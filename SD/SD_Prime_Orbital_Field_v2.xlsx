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ructural Primes" sheetId="2" state="visible" r:id="rId2"/>
    <sheet xmlns:r="http://schemas.openxmlformats.org/officeDocument/2006/relationships" name="Full Orbit Catalogue" sheetId="3" state="visible" r:id="rId3"/>
    <sheet xmlns:r="http://schemas.openxmlformats.org/officeDocument/2006/relationships" name="64 Harmonic Nodes" sheetId="4" state="visible" r:id="rId4"/>
    <sheet xmlns:r="http://schemas.openxmlformats.org/officeDocument/2006/relationships" name="Prime Harmonic Nodes" sheetId="5" state="visible" r:id="rId5"/>
    <sheet xmlns:r="http://schemas.openxmlformats.org/officeDocument/2006/relationships" name="Harmonic Triad + Music" sheetId="6" state="visible" r:id="rId6"/>
    <sheet xmlns:r="http://schemas.openxmlformats.org/officeDocument/2006/relationships" name="Beat Frequencies" sheetId="7" state="visible" r:id="rId7"/>
    <sheet xmlns:r="http://schemas.openxmlformats.org/officeDocument/2006/relationships" name="Ratio Propag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0A1A3A"/>
      <sz val="28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color rgb="00333333"/>
      <sz val="9"/>
    </font>
    <font>
      <name val="Arial"/>
      <i val="1"/>
      <color rgb="00666666"/>
      <sz val="9"/>
    </font>
    <font>
      <name val="Arial"/>
      <b val="1"/>
      <color rgb="00FFFFFF"/>
      <sz val="13"/>
    </font>
    <font>
      <name val="Arial"/>
      <b val="1"/>
      <color rgb="000A1A3A"/>
      <sz val="9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1A1A00"/>
      <sz val="9"/>
    </font>
    <font>
      <name val="Arial"/>
      <color rgb="00FFFFFF"/>
      <sz val="10"/>
    </font>
    <font>
      <name val="Arial"/>
      <b val="1"/>
      <color rgb="000A1A3A"/>
      <sz val="11"/>
    </font>
    <font>
      <name val="Arial"/>
      <i val="1"/>
      <color rgb="00555555"/>
      <sz val="9"/>
    </font>
    <font>
      <name val="Arial"/>
      <i val="1"/>
      <color rgb="00444444"/>
      <sz val="9"/>
    </font>
    <font>
      <name val="Arial"/>
      <color rgb="001A1A00"/>
      <sz val="10"/>
    </font>
    <font>
      <name val="Arial"/>
      <i val="1"/>
      <color rgb="00333333"/>
      <sz val="9"/>
    </font>
    <font>
      <name val="Arial"/>
      <b val="1"/>
      <color rgb="001A5C3A"/>
      <sz val="9"/>
    </font>
    <font>
      <name val="Arial"/>
      <b val="1"/>
      <color rgb="004A1A6A"/>
      <sz val="9"/>
    </font>
    <font>
      <name val="Arial"/>
      <color rgb="00333333"/>
      <sz val="10"/>
    </font>
  </fonts>
  <fills count="25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EEF2F8"/>
      </patternFill>
    </fill>
    <fill>
      <patternFill patternType="solid">
        <fgColor rgb="001A5C3A"/>
      </patternFill>
    </fill>
    <fill>
      <patternFill patternType="solid">
        <fgColor rgb="004A1A6A"/>
      </patternFill>
    </fill>
    <fill>
      <patternFill patternType="solid">
        <fgColor rgb="000A1A3A"/>
      </patternFill>
    </fill>
    <fill>
      <patternFill patternType="solid">
        <fgColor rgb="00A61C00"/>
      </patternFill>
    </fill>
    <fill>
      <patternFill patternType="solid">
        <fgColor rgb="001B6B4A"/>
      </patternFill>
    </fill>
    <fill>
      <patternFill patternType="solid">
        <fgColor rgb="004A1260"/>
      </patternFill>
    </fill>
    <fill>
      <patternFill patternType="solid">
        <fgColor rgb="00D4A017"/>
      </patternFill>
    </fill>
    <fill>
      <patternFill patternType="solid">
        <fgColor rgb="00BF4A00"/>
      </patternFill>
    </fill>
    <fill>
      <patternFill patternType="solid">
        <fgColor rgb="001A3A5C"/>
      </patternFill>
    </fill>
    <fill>
      <patternFill patternType="solid">
        <fgColor rgb="008B0000"/>
      </patternFill>
    </fill>
    <fill>
      <patternFill patternType="solid">
        <fgColor rgb="00C87533"/>
      </patternFill>
    </fill>
    <fill>
      <patternFill patternType="solid">
        <fgColor rgb="001C3D5A"/>
      </patternFill>
    </fill>
    <fill>
      <patternFill patternType="solid">
        <fgColor rgb="000D5C4A"/>
      </patternFill>
    </fill>
    <fill>
      <patternFill patternType="solid">
        <fgColor rgb="001A4A6B"/>
      </patternFill>
    </fill>
    <fill>
      <patternFill patternType="solid">
        <fgColor rgb="004A0D6B"/>
      </patternFill>
    </fill>
    <fill>
      <patternFill patternType="solid">
        <fgColor rgb="00FFFFFF"/>
      </patternFill>
    </fill>
    <fill>
      <patternFill patternType="solid">
        <fgColor rgb="00B84A00"/>
      </patternFill>
    </fill>
    <fill>
      <patternFill patternType="solid">
        <fgColor rgb="000D4A6B"/>
      </patternFill>
    </fill>
    <fill>
      <patternFill patternType="solid">
        <fgColor rgb="00FDF6DC"/>
      </patternFill>
    </fill>
    <fill>
      <patternFill patternType="solid">
        <fgColor rgb="00E8F5EE"/>
      </patternFill>
    </fill>
    <fill>
      <patternFill patternType="solid">
        <fgColor rgb="00F0E8F8"/>
      </patternFill>
    </fill>
  </fills>
  <borders count="26">
    <border>
      <left/>
      <right/>
      <top/>
      <bottom/>
      <diagonal/>
    </border>
    <border>
      <left style="medium">
        <color rgb="001A3A6A"/>
      </left>
      <right style="medium">
        <color rgb="001A3A6A"/>
      </right>
      <top style="medium">
        <color rgb="001A3A6A"/>
      </top>
      <bottom style="medium">
        <color rgb="001A3A6A"/>
      </bottom>
    </border>
    <border>
      <left/>
      <right/>
      <top style="medium">
        <color rgb="001A3A6A"/>
      </top>
      <bottom/>
      <diagonal/>
    </border>
    <border>
      <left/>
      <right style="medium">
        <color rgb="001A3A6A"/>
      </right>
      <top style="medium">
        <color rgb="001A3A6A"/>
      </top>
      <bottom/>
      <diagonal/>
    </border>
    <border>
      <left/>
      <right/>
      <top style="medium">
        <color rgb="001A3A6A"/>
      </top>
      <bottom style="medium">
        <color rgb="001A3A6A"/>
      </bottom>
      <diagonal/>
    </border>
    <border>
      <left/>
      <right style="medium">
        <color rgb="001A3A6A"/>
      </right>
      <top style="medium">
        <color rgb="001A3A6A"/>
      </top>
      <bottom style="medium">
        <color rgb="001A3A6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1A5C3A"/>
      </left>
      <right style="medium">
        <color rgb="001A5C3A"/>
      </right>
      <top style="medium">
        <color rgb="001A5C3A"/>
      </top>
      <bottom style="medium">
        <color rgb="001A5C3A"/>
      </bottom>
    </border>
    <border>
      <left/>
      <right/>
      <top style="medium">
        <color rgb="001A5C3A"/>
      </top>
      <bottom/>
      <diagonal/>
    </border>
    <border>
      <left/>
      <right style="medium">
        <color rgb="001A5C3A"/>
      </right>
      <top style="medium">
        <color rgb="001A5C3A"/>
      </top>
      <bottom/>
      <diagonal/>
    </border>
    <border>
      <left/>
      <right/>
      <top style="medium">
        <color rgb="001A5C3A"/>
      </top>
      <bottom style="medium">
        <color rgb="001A5C3A"/>
      </bottom>
      <diagonal/>
    </border>
    <border>
      <left/>
      <right style="medium">
        <color rgb="001A5C3A"/>
      </right>
      <top style="medium">
        <color rgb="001A5C3A"/>
      </top>
      <bottom style="medium">
        <color rgb="001A5C3A"/>
      </bottom>
      <diagonal/>
    </border>
    <border>
      <left style="medium">
        <color rgb="004A1A6A"/>
      </left>
      <right style="medium">
        <color rgb="004A1A6A"/>
      </right>
      <top style="medium">
        <color rgb="004A1A6A"/>
      </top>
      <bottom style="medium">
        <color rgb="004A1A6A"/>
      </bottom>
    </border>
    <border>
      <left/>
      <right/>
      <top style="medium">
        <color rgb="004A1A6A"/>
      </top>
      <bottom/>
      <diagonal/>
    </border>
    <border>
      <left/>
      <right style="medium">
        <color rgb="004A1A6A"/>
      </right>
      <top style="medium">
        <color rgb="004A1A6A"/>
      </top>
      <bottom/>
      <diagonal/>
    </border>
    <border>
      <left/>
      <right/>
      <top style="medium">
        <color rgb="004A1A6A"/>
      </top>
      <bottom style="medium">
        <color rgb="004A1A6A"/>
      </bottom>
      <diagonal/>
    </border>
    <border>
      <left/>
      <right style="medium">
        <color rgb="004A1A6A"/>
      </right>
      <top style="medium">
        <color rgb="004A1A6A"/>
      </top>
      <bottom style="medium">
        <color rgb="004A1A6A"/>
      </bottom>
      <diagonal/>
    </border>
    <border>
      <left style="medium">
        <color rgb="000A1A3A"/>
      </left>
      <right style="medium">
        <color rgb="000A1A3A"/>
      </right>
      <top style="medium">
        <color rgb="000A1A3A"/>
      </top>
      <bottom style="medium">
        <color rgb="000A1A3A"/>
      </bottom>
    </border>
    <border>
      <left/>
      <right/>
      <top style="medium">
        <color rgb="000A1A3A"/>
      </top>
      <bottom/>
      <diagonal/>
    </border>
    <border>
      <left/>
      <right style="medium">
        <color rgb="000A1A3A"/>
      </right>
      <top style="medium">
        <color rgb="000A1A3A"/>
      </top>
      <bottom/>
      <diagonal/>
    </border>
    <border>
      <left/>
      <right/>
      <top style="medium">
        <color rgb="000A1A3A"/>
      </top>
      <bottom style="medium">
        <color rgb="000A1A3A"/>
      </bottom>
      <diagonal/>
    </border>
    <border>
      <left/>
      <right style="medium">
        <color rgb="000A1A3A"/>
      </right>
      <top style="medium">
        <color rgb="000A1A3A"/>
      </top>
      <bottom style="medium">
        <color rgb="000A1A3A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6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3" borderId="6" applyAlignment="1" pivotButton="0" quotePrefix="0" xfId="0">
      <alignment vertical="center" wrapText="1"/>
    </xf>
    <xf numFmtId="0" fontId="3" fillId="4" borderId="11" applyAlignment="1" pivotButton="0" quotePrefix="0" xfId="0">
      <alignment vertical="center" wrapText="1"/>
    </xf>
    <xf numFmtId="0" fontId="0" fillId="0" borderId="14" pivotButton="0" quotePrefix="0" xfId="0"/>
    <xf numFmtId="0" fontId="0" fillId="0" borderId="15" pivotButton="0" quotePrefix="0" xfId="0"/>
    <xf numFmtId="0" fontId="3" fillId="5" borderId="16" applyAlignment="1" pivotButton="0" quotePrefix="0" xfId="0">
      <alignment vertical="center" wrapText="1"/>
    </xf>
    <xf numFmtId="0" fontId="0" fillId="0" borderId="19" pivotButton="0" quotePrefix="0" xfId="0"/>
    <xf numFmtId="0" fontId="0" fillId="0" borderId="20" pivotButton="0" quotePrefix="0" xfId="0"/>
    <xf numFmtId="0" fontId="6" fillId="6" borderId="21" applyAlignment="1" pivotButton="0" quotePrefix="0" xfId="0">
      <alignment vertical="center" wrapText="1"/>
    </xf>
    <xf numFmtId="0" fontId="0" fillId="0" borderId="24" pivotButton="0" quotePrefix="0" xfId="0"/>
    <xf numFmtId="0" fontId="0" fillId="0" borderId="25" pivotButton="0" quotePrefix="0" xfId="0"/>
    <xf numFmtId="0" fontId="7" fillId="3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9" fillId="7" borderId="6" applyAlignment="1" pivotButton="0" quotePrefix="0" xfId="0">
      <alignment vertical="center" wrapText="1"/>
    </xf>
    <xf numFmtId="0" fontId="8" fillId="8" borderId="6" applyAlignment="1" pivotButton="0" quotePrefix="0" xfId="0">
      <alignment vertical="center" wrapText="1"/>
    </xf>
    <xf numFmtId="0" fontId="9" fillId="8" borderId="6" applyAlignment="1" pivotButton="0" quotePrefix="0" xfId="0">
      <alignment vertical="center" wrapText="1"/>
    </xf>
    <xf numFmtId="0" fontId="8" fillId="9" borderId="6" applyAlignment="1" pivotButton="0" quotePrefix="0" xfId="0">
      <alignment vertical="center" wrapText="1"/>
    </xf>
    <xf numFmtId="0" fontId="9" fillId="9" borderId="6" applyAlignment="1" pivotButton="0" quotePrefix="0" xfId="0">
      <alignment vertical="center" wrapText="1"/>
    </xf>
    <xf numFmtId="0" fontId="10" fillId="10" borderId="6" applyAlignment="1" pivotButton="0" quotePrefix="0" xfId="0">
      <alignment vertical="center" wrapText="1"/>
    </xf>
    <xf numFmtId="0" fontId="11" fillId="10" borderId="6" applyAlignment="1" pivotButton="0" quotePrefix="0" xfId="0">
      <alignment vertical="center" wrapText="1"/>
    </xf>
    <xf numFmtId="0" fontId="8" fillId="11" borderId="6" applyAlignment="1" pivotButton="0" quotePrefix="0" xfId="0">
      <alignment vertical="center" wrapText="1"/>
    </xf>
    <xf numFmtId="0" fontId="9" fillId="11" borderId="6" applyAlignment="1" pivotButton="0" quotePrefix="0" xfId="0">
      <alignment vertical="center" wrapText="1"/>
    </xf>
    <xf numFmtId="0" fontId="8" fillId="12" borderId="6" applyAlignment="1" pivotButton="0" quotePrefix="0" xfId="0">
      <alignment vertical="center" wrapText="1"/>
    </xf>
    <xf numFmtId="0" fontId="9" fillId="12" borderId="6" applyAlignment="1" pivotButton="0" quotePrefix="0" xfId="0">
      <alignment vertical="center" wrapText="1"/>
    </xf>
    <xf numFmtId="0" fontId="8" fillId="13" borderId="6" applyAlignment="1" pivotButton="0" quotePrefix="0" xfId="0">
      <alignment vertical="center" wrapText="1"/>
    </xf>
    <xf numFmtId="0" fontId="9" fillId="13" borderId="6" applyAlignment="1" pivotButton="0" quotePrefix="0" xfId="0">
      <alignment vertical="center" wrapText="1"/>
    </xf>
    <xf numFmtId="0" fontId="10" fillId="14" borderId="6" applyAlignment="1" pivotButton="0" quotePrefix="0" xfId="0">
      <alignment vertical="center" wrapText="1"/>
    </xf>
    <xf numFmtId="0" fontId="11" fillId="14" borderId="6" applyAlignment="1" pivotButton="0" quotePrefix="0" xfId="0">
      <alignment vertical="center" wrapText="1"/>
    </xf>
    <xf numFmtId="0" fontId="8" fillId="15" borderId="6" applyAlignment="1" pivotButton="0" quotePrefix="0" xfId="0">
      <alignment vertical="center" wrapText="1"/>
    </xf>
    <xf numFmtId="0" fontId="9" fillId="15" borderId="6" applyAlignment="1" pivotButton="0" quotePrefix="0" xfId="0">
      <alignment vertical="center" wrapText="1"/>
    </xf>
    <xf numFmtId="0" fontId="8" fillId="16" borderId="6" applyAlignment="1" pivotButton="0" quotePrefix="0" xfId="0">
      <alignment vertical="center" wrapText="1"/>
    </xf>
    <xf numFmtId="0" fontId="9" fillId="16" borderId="6" applyAlignment="1" pivotButton="0" quotePrefix="0" xfId="0">
      <alignment vertical="center" wrapText="1"/>
    </xf>
    <xf numFmtId="0" fontId="8" fillId="17" borderId="6" applyAlignment="1" pivotButton="0" quotePrefix="0" xfId="0">
      <alignment vertical="center" wrapText="1"/>
    </xf>
    <xf numFmtId="0" fontId="9" fillId="17" borderId="6" applyAlignment="1" pivotButton="0" quotePrefix="0" xfId="0">
      <alignment vertical="center" wrapText="1"/>
    </xf>
    <xf numFmtId="0" fontId="8" fillId="18" borderId="6" applyAlignment="1" pivotButton="0" quotePrefix="0" xfId="0">
      <alignment vertical="center" wrapText="1"/>
    </xf>
    <xf numFmtId="0" fontId="9" fillId="18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1" fillId="3" borderId="6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12" fillId="6" borderId="21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1" fillId="19" borderId="6" applyAlignment="1" pivotButton="0" quotePrefix="0" xfId="0">
      <alignment vertical="center" wrapText="1"/>
    </xf>
    <xf numFmtId="0" fontId="9" fillId="20" borderId="6" applyAlignment="1" pivotButton="0" quotePrefix="0" xfId="0">
      <alignment vertical="center" wrapText="1"/>
    </xf>
    <xf numFmtId="0" fontId="9" fillId="21" borderId="6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13" fillId="10" borderId="6" applyAlignment="1" pivotButton="0" quotePrefix="0" xfId="0">
      <alignment vertical="center" wrapText="1"/>
    </xf>
    <xf numFmtId="0" fontId="14" fillId="8" borderId="6" applyAlignment="1" pivotButton="0" quotePrefix="0" xfId="0">
      <alignment vertical="center" wrapText="1"/>
    </xf>
    <xf numFmtId="0" fontId="14" fillId="9" borderId="6" applyAlignment="1" pivotButton="0" quotePrefix="0" xfId="0">
      <alignment vertical="center" wrapText="1"/>
    </xf>
    <xf numFmtId="0" fontId="14" fillId="7" borderId="6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22" borderId="6" applyAlignment="1" pivotButton="0" quotePrefix="0" xfId="0">
      <alignment vertical="center" wrapText="1"/>
    </xf>
    <xf numFmtId="0" fontId="18" fillId="3" borderId="6" applyAlignment="1" pivotButton="0" quotePrefix="0" xfId="0">
      <alignment vertical="center" wrapText="1"/>
    </xf>
    <xf numFmtId="0" fontId="6" fillId="5" borderId="16" applyAlignment="1" pivotButton="0" quotePrefix="0" xfId="0">
      <alignment vertical="center" wrapText="1"/>
    </xf>
    <xf numFmtId="0" fontId="19" fillId="0" borderId="0" pivotButton="0" quotePrefix="0" xfId="0"/>
    <xf numFmtId="0" fontId="4" fillId="22" borderId="6" applyAlignment="1" pivotButton="0" quotePrefix="0" xfId="0">
      <alignment vertical="center" wrapText="1"/>
    </xf>
    <xf numFmtId="0" fontId="7" fillId="22" borderId="6" applyAlignment="1" pivotButton="0" quotePrefix="0" xfId="0">
      <alignment vertical="center" wrapText="1"/>
    </xf>
    <xf numFmtId="0" fontId="4" fillId="19" borderId="6" applyAlignment="1" pivotButton="0" quotePrefix="0" xfId="0">
      <alignment vertical="center" wrapText="1"/>
    </xf>
    <xf numFmtId="0" fontId="7" fillId="19" borderId="6" applyAlignment="1" pivotButton="0" quotePrefix="0" xfId="0">
      <alignment vertical="center" wrapText="1"/>
    </xf>
    <xf numFmtId="0" fontId="12" fillId="4" borderId="21" applyAlignment="1" pivotButton="0" quotePrefix="0" xfId="0">
      <alignment horizontal="center" vertical="center" wrapText="1"/>
    </xf>
    <xf numFmtId="0" fontId="4" fillId="23" borderId="6" applyAlignment="1" pivotButton="0" quotePrefix="0" xfId="0">
      <alignment vertical="center" wrapText="1"/>
    </xf>
    <xf numFmtId="0" fontId="20" fillId="23" borderId="6" applyAlignment="1" pivotButton="0" quotePrefix="0" xfId="0">
      <alignment vertical="center" wrapText="1"/>
    </xf>
    <xf numFmtId="0" fontId="20" fillId="19" borderId="6" applyAlignment="1" pivotButton="0" quotePrefix="0" xfId="0">
      <alignment vertical="center" wrapText="1"/>
    </xf>
    <xf numFmtId="0" fontId="12" fillId="5" borderId="21" applyAlignment="1" pivotButton="0" quotePrefix="0" xfId="0">
      <alignment horizontal="center" vertical="center" wrapText="1"/>
    </xf>
    <xf numFmtId="0" fontId="4" fillId="24" borderId="6" applyAlignment="1" pivotButton="0" quotePrefix="0" xfId="0">
      <alignment vertical="center" wrapText="1"/>
    </xf>
    <xf numFmtId="0" fontId="21" fillId="24" borderId="6" applyAlignment="1" pivotButton="0" quotePrefix="0" xfId="0">
      <alignment vertical="center" wrapText="1"/>
    </xf>
    <xf numFmtId="0" fontId="21" fillId="19" borderId="6" applyAlignment="1" pivotButton="0" quotePrefix="0" xfId="0">
      <alignment vertical="center" wrapText="1"/>
    </xf>
    <xf numFmtId="0" fontId="13" fillId="22" borderId="6" applyAlignment="1" pivotButton="0" quotePrefix="0" xfId="0">
      <alignment vertical="center" wrapText="1"/>
    </xf>
    <xf numFmtId="0" fontId="13" fillId="3" borderId="6" applyAlignment="1" pivotButton="0" quotePrefix="0" xfId="0">
      <alignment vertical="center" wrapText="1"/>
    </xf>
    <xf numFmtId="0" fontId="13" fillId="24" borderId="6" applyAlignment="1" pivotButton="0" quotePrefix="0" xfId="0">
      <alignment vertical="center" wrapText="1"/>
    </xf>
    <xf numFmtId="0" fontId="22" fillId="3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2" customWidth="1" min="3" max="3"/>
    <col width="18" customWidth="1" min="4" max="4"/>
  </cols>
  <sheetData>
    <row r="1" ht="38" customHeight="1">
      <c r="B1" s="1" t="inlineStr">
        <is>
          <t>SD PRIME ORBITAL FIELD</t>
        </is>
      </c>
    </row>
    <row r="2">
      <c r="B2" s="2" t="inlineStr">
        <is>
          <t>Orbit of 43891  ·  Prime Field · Harmonic Nodes · Ratio Propagation  ·  March 2026  ·  A1Thru9Z Co.</t>
        </is>
      </c>
    </row>
    <row r="4" ht="22" customHeight="1">
      <c r="B4" s="3" t="inlineStr">
        <is>
          <t>PART I — PRIME ORBITAL FIELD</t>
        </is>
      </c>
      <c r="C4" s="4" t="n"/>
      <c r="D4" s="5" t="n"/>
    </row>
    <row r="5" ht="40" customHeight="1">
      <c r="B5" s="6" t="inlineStr">
        <is>
          <t>4,567 primes in {1…43,890}. Every prime in the orbit catalogued with its step position, step factorisation, structural prime content, boundary prime status, and structural identity. The star field map: background primes + structural landmarks.</t>
        </is>
      </c>
      <c r="C5" s="7" t="n"/>
      <c r="D5" s="8" t="n"/>
    </row>
    <row r="6" ht="16" customHeight="1">
      <c r="B6" s="9" t="inlineStr">
        <is>
          <t>↳  Sheets: Structural Primes · Full Orbit Catalogue</t>
        </is>
      </c>
      <c r="C6" s="7" t="n"/>
      <c r="D6" s="8" t="n"/>
    </row>
    <row r="8" ht="22" customHeight="1">
      <c r="B8" s="10" t="inlineStr">
        <is>
          <t>PART II — HARMONIC NODES</t>
        </is>
      </c>
      <c r="C8" s="11" t="n"/>
      <c r="D8" s="12" t="n"/>
    </row>
    <row r="9" ht="40" customHeight="1">
      <c r="B9" s="6" t="inlineStr">
        <is>
          <t>64 harmonic nodes at divisors of 43890. Three-tier structure: pure harmonic nodes, prime harmonic nodes (8 primes at divisor steps), and resonance primes (BPs as lock-in resonance conditions). Includes the harmonic triad, spinor node, bus/upper primorial checkpoints, beat frequencies, and musical interval correspondences.</t>
        </is>
      </c>
      <c r="C9" s="7" t="n"/>
      <c r="D9" s="8" t="n"/>
    </row>
    <row r="10" ht="16" customHeight="1">
      <c r="B10" s="9" t="inlineStr">
        <is>
          <t>↳  Sheets: 64 Harmonic Nodes · Prime Harmonic Nodes · Harmonic Triad · Beat Frequencies</t>
        </is>
      </c>
      <c r="C10" s="7" t="n"/>
      <c r="D10" s="8" t="n"/>
    </row>
    <row r="12" ht="22" customHeight="1">
      <c r="B12" s="13" t="inlineStr">
        <is>
          <t>PART III — RATIO PROPAGATION</t>
        </is>
      </c>
      <c r="C12" s="14" t="n"/>
      <c r="D12" s="15" t="n"/>
    </row>
    <row r="13" ht="40" customHeight="1">
      <c r="B13" s="6" t="inlineStr">
        <is>
          <t>The five primitive ratios (1/2, 1/3, 1/9, 1/17, 108) that propagate across every domain of the SD system — geometry, physics, number theory, algebra, quantum mechanics. Not analogies: the same object in different frames. Includes cross-domain tables, self-similarity levels, boundary principle, and the unifying statement.</t>
        </is>
      </c>
      <c r="C13" s="7" t="n"/>
      <c r="D13" s="8" t="n"/>
    </row>
    <row r="14" ht="16" customHeight="1">
      <c r="B14" s="9" t="inlineStr">
        <is>
          <t>↳  Sheet: Ratio Propagation</t>
        </is>
      </c>
      <c r="C14" s="7" t="n"/>
      <c r="D14" s="8" t="n"/>
    </row>
    <row r="16" ht="26" customHeight="1">
      <c r="B16" s="16" t="inlineStr">
        <is>
          <t>FIELD STATISTICS</t>
        </is>
      </c>
      <c r="C16" s="17" t="n"/>
      <c r="D16" s="18" t="n"/>
    </row>
    <row r="17" ht="16" customHeight="1">
      <c r="B17" s="6" t="inlineStr">
        <is>
          <t>Total primes in orbit {1…43890}</t>
        </is>
      </c>
      <c r="C17" s="19" t="inlineStr">
        <is>
          <t>4,567</t>
        </is>
      </c>
      <c r="D17" s="6" t="inlineStr">
        <is>
          <t>All primes p with 2 ≤ p ≤ 43,890</t>
        </is>
      </c>
    </row>
    <row r="18" ht="16" customHeight="1">
      <c r="B18" s="6" t="inlineStr">
        <is>
          <t>Named structural primes</t>
        </is>
      </c>
      <c r="C18" s="19" t="inlineStr">
        <is>
          <t>48</t>
        </is>
      </c>
      <c r="D18" s="6" t="inlineStr">
        <is>
          <t>Primes with identified SD structural roles</t>
        </is>
      </c>
    </row>
    <row r="19" ht="16" customHeight="1">
      <c r="B19" s="6" t="inlineStr">
        <is>
          <t>Strong boundary primes</t>
        </is>
      </c>
      <c r="C19" s="19" t="inlineStr">
        <is>
          <t>8</t>
        </is>
      </c>
      <c r="D19" s="6" t="inlineStr">
        <is>
          <t>29 · 41 · 67 · 71 · 73 · 109 · 331 · 1801</t>
        </is>
      </c>
    </row>
    <row r="20" ht="16" customHeight="1">
      <c r="B20" s="6" t="inlineStr">
        <is>
          <t>Weak boundary primes</t>
        </is>
      </c>
      <c r="C20" s="19" t="inlineStr">
        <is>
          <t>10</t>
        </is>
      </c>
      <c r="D20" s="6" t="inlineStr">
        <is>
          <t>37 · 43 · 79 · 113 · 157 · 193 · 211 · 271 · 421 · 433</t>
        </is>
      </c>
    </row>
    <row r="21" ht="16" customHeight="1">
      <c r="B21" s="6" t="inlineStr">
        <is>
          <t>Harmonic nodes (divisors of 43890)</t>
        </is>
      </c>
      <c r="C21" s="19" t="inlineStr">
        <is>
          <t>64</t>
        </is>
      </c>
      <c r="D21" s="6" t="inlineStr">
        <is>
          <t>Sub-orbits. Each divisor = one harmonic wavelength.</t>
        </is>
      </c>
    </row>
    <row r="22" ht="16" customHeight="1">
      <c r="B22" s="6" t="inlineStr">
        <is>
          <t>Prime harmonic nodes</t>
        </is>
      </c>
      <c r="C22" s="19" t="inlineStr">
        <is>
          <t>8</t>
        </is>
      </c>
      <c r="D22" s="6" t="inlineStr">
        <is>
          <t>Primes at harmonic steps: 3 · 1583 · 8039 · 22273 · 3919 · 31153 · 41387 · 38611</t>
        </is>
      </c>
    </row>
    <row r="23" ht="16" customHeight="1">
      <c r="B23" s="6" t="inlineStr">
        <is>
          <t>Primitive recurring ratios</t>
        </is>
      </c>
      <c r="C23" s="19" t="inlineStr">
        <is>
          <t>5</t>
        </is>
      </c>
      <c r="D23" s="6" t="inlineStr">
        <is>
          <t>1/2 · 1/3 · 1/9 · 1/17 · 108</t>
        </is>
      </c>
    </row>
    <row r="24" ht="16" customHeight="1">
      <c r="B24" s="6" t="inlineStr">
        <is>
          <t>Background field primes</t>
        </is>
      </c>
      <c r="C24" s="19" t="inlineStr">
        <is>
          <t>~4,050</t>
        </is>
      </c>
      <c r="D24" s="6" t="inlineStr">
        <is>
          <t>No named structural role in current SD framework</t>
        </is>
      </c>
    </row>
    <row r="26" ht="26" customHeight="1">
      <c r="B26" s="16" t="inlineStr">
        <is>
          <t>COLOUR LEGEND</t>
        </is>
      </c>
      <c r="C26" s="17" t="n"/>
      <c r="D26" s="18" t="n"/>
    </row>
    <row r="27" ht="16" customHeight="1">
      <c r="B27" s="20" t="inlineStr">
        <is>
          <t>Spinor Node</t>
        </is>
      </c>
      <c r="C27" s="21" t="inlineStr">
        <is>
          <t>d=21945 (orbit/2) · rec10=−1 · SU(2) half-turn</t>
        </is>
      </c>
      <c r="D27" s="8" t="n"/>
    </row>
    <row r="28" ht="16" customHeight="1">
      <c r="B28" s="22" t="inlineStr">
        <is>
          <t>Bus Primorial Node</t>
        </is>
      </c>
      <c r="C28" s="23" t="inlineStr">
        <is>
          <t>d=7315 (orbit/6) · rec10=210=2×3×5×7</t>
        </is>
      </c>
      <c r="D28" s="8" t="n"/>
    </row>
    <row r="29" ht="16" customHeight="1">
      <c r="B29" s="24" t="inlineStr">
        <is>
          <t>Upper Primorial</t>
        </is>
      </c>
      <c r="C29" s="25" t="inlineStr">
        <is>
          <t>d=14630 (orbit/3) · rec10=209=11×19</t>
        </is>
      </c>
      <c r="D29" s="8" t="n"/>
    </row>
    <row r="30" ht="16" customHeight="1">
      <c r="B30" s="26" t="inlineStr">
        <is>
          <t>Prime Harmonic</t>
        </is>
      </c>
      <c r="C30" s="27" t="inlineStr">
        <is>
          <t>Harmonic node where orbit value is prime</t>
        </is>
      </c>
      <c r="D30" s="8" t="n"/>
    </row>
    <row r="31" ht="16" customHeight="1">
      <c r="B31" s="28" t="inlineStr">
        <is>
          <t>Beat Frequency</t>
        </is>
      </c>
      <c r="C31" s="29" t="inlineStr">
        <is>
          <t>Coupling step (not a harmonic — interference node)</t>
        </is>
      </c>
      <c r="D31" s="8" t="n"/>
    </row>
    <row r="32" ht="16" customHeight="1">
      <c r="B32" s="30" t="inlineStr">
        <is>
          <t>Named Composite</t>
        </is>
      </c>
      <c r="C32" s="31" t="inlineStr">
        <is>
          <t>Orbit value at harmonic is a named SD composite</t>
        </is>
      </c>
      <c r="D32" s="8" t="n"/>
    </row>
    <row r="33" ht="16" customHeight="1">
      <c r="B33" s="32" t="inlineStr">
        <is>
          <t>Strong BP</t>
        </is>
      </c>
      <c r="C33" s="33" t="inlineStr">
        <is>
          <t>Boundary prime · ord=parent · self-referential</t>
        </is>
      </c>
      <c r="D33" s="8" t="n"/>
    </row>
    <row r="34" ht="16" customHeight="1">
      <c r="B34" s="34" t="inlineStr">
        <is>
          <t>Weak BP</t>
        </is>
      </c>
      <c r="C34" s="35" t="inlineStr">
        <is>
          <t>Boundary prime · binary stripped · odd backbone</t>
        </is>
      </c>
      <c r="D34" s="8" t="n"/>
    </row>
    <row r="35" ht="16" customHeight="1">
      <c r="B35" s="36" t="inlineStr">
        <is>
          <t>Named Structural</t>
        </is>
      </c>
      <c r="C35" s="37" t="inlineStr">
        <is>
          <t>Named structural prime (not a BP)</t>
        </is>
      </c>
      <c r="D35" s="8" t="n"/>
    </row>
    <row r="36" ht="16" customHeight="1">
      <c r="B36" s="38" t="inlineStr">
        <is>
          <t>Pure Bus Step</t>
        </is>
      </c>
      <c r="C36" s="39" t="inlineStr">
        <is>
          <t>Step factors ⊆ {2,3,5,7}</t>
        </is>
      </c>
      <c r="D36" s="8" t="n"/>
    </row>
    <row r="37" ht="16" customHeight="1">
      <c r="B37" s="40" t="inlineStr">
        <is>
          <t>Excluded in Step</t>
        </is>
      </c>
      <c r="C37" s="41" t="inlineStr">
        <is>
          <t>Step contains excluded prime 13 or 17</t>
        </is>
      </c>
      <c r="D37" s="8" t="n"/>
    </row>
    <row r="38" ht="16" customHeight="1">
      <c r="B38" s="42" t="inlineStr">
        <is>
          <t>Alignment in Step</t>
        </is>
      </c>
      <c r="C38" s="43" t="inlineStr">
        <is>
          <t>Step contains alignment base 11</t>
        </is>
      </c>
      <c r="D38" s="8" t="n"/>
    </row>
    <row r="39" ht="16" customHeight="1">
      <c r="B39" s="44" t="inlineStr">
        <is>
          <t>Background Field</t>
        </is>
      </c>
      <c r="C39" s="45" t="inlineStr">
        <is>
          <t>No structural role identified</t>
        </is>
      </c>
      <c r="D39" s="8" t="n"/>
    </row>
  </sheetData>
  <mergeCells count="26">
    <mergeCell ref="C34:D34"/>
    <mergeCell ref="B14:D14"/>
    <mergeCell ref="C30:D30"/>
    <mergeCell ref="C33:D33"/>
    <mergeCell ref="B1:D1"/>
    <mergeCell ref="B8:D8"/>
    <mergeCell ref="B13:D13"/>
    <mergeCell ref="C35:D35"/>
    <mergeCell ref="B10:D10"/>
    <mergeCell ref="C29:D29"/>
    <mergeCell ref="B9:D9"/>
    <mergeCell ref="C31:D31"/>
    <mergeCell ref="B6:D6"/>
    <mergeCell ref="B5:D5"/>
    <mergeCell ref="C27:D27"/>
    <mergeCell ref="B4:D4"/>
    <mergeCell ref="B26:D26"/>
    <mergeCell ref="C36:D36"/>
    <mergeCell ref="C39:D39"/>
    <mergeCell ref="B16:D16"/>
    <mergeCell ref="C32:D32"/>
    <mergeCell ref="C38:D38"/>
    <mergeCell ref="C37:D37"/>
    <mergeCell ref="C28:D28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30" customWidth="1" min="4" max="4"/>
    <col width="20" customWidth="1" min="5" max="5"/>
    <col width="14" customWidth="1" min="6" max="6"/>
    <col width="14" customWidth="1" min="7" max="7"/>
    <col width="54" customWidth="1" min="8" max="8"/>
  </cols>
  <sheetData>
    <row r="1" ht="26" customHeight="1">
      <c r="A1" s="46" t="inlineStr">
        <is>
          <t>PART I — STRUCTURAL PRIMES</t>
        </is>
      </c>
      <c r="B1" s="4" t="n"/>
      <c r="C1" s="4" t="n"/>
      <c r="D1" s="4" t="n"/>
      <c r="E1" s="4" t="n"/>
      <c r="F1" s="4" t="n"/>
      <c r="G1" s="4" t="n"/>
      <c r="H1" s="5" t="n"/>
    </row>
    <row r="2" ht="22" customHeight="1">
      <c r="A2" s="47" t="inlineStr">
        <is>
          <t>#</t>
        </is>
      </c>
      <c r="B2" s="47" t="inlineStr">
        <is>
          <t>Prime p</t>
        </is>
      </c>
      <c r="C2" s="47" t="inlineStr">
        <is>
          <t>Orbit Step</t>
        </is>
      </c>
      <c r="D2" s="47" t="inlineStr">
        <is>
          <t>Step Factorisation</t>
        </is>
      </c>
      <c r="E2" s="47" t="inlineStr">
        <is>
          <t>Step Name</t>
        </is>
      </c>
      <c r="F2" s="47" t="inlineStr">
        <is>
          <t>BP Status</t>
        </is>
      </c>
      <c r="G2" s="47" t="inlineStr">
        <is>
          <t>ord(11,p)</t>
        </is>
      </c>
      <c r="H2" s="47" t="inlineStr">
        <is>
          <t>Structural Identity</t>
        </is>
      </c>
    </row>
    <row r="3" ht="16" customHeight="1">
      <c r="A3" s="37" t="inlineStr">
        <is>
          <t>1</t>
        </is>
      </c>
      <c r="B3" s="37" t="inlineStr">
        <is>
          <t>2</t>
        </is>
      </c>
      <c r="C3" s="37" t="inlineStr">
        <is>
          <t>31485</t>
        </is>
      </c>
      <c r="D3" s="37" t="inlineStr">
        <is>
          <t>3×5×2099</t>
        </is>
      </c>
      <c r="E3" s="37" t="inlineStr"/>
      <c r="F3" s="37" t="inlineStr">
        <is>
          <t>—</t>
        </is>
      </c>
      <c r="G3" s="37" t="inlineStr">
        <is>
          <t>1</t>
        </is>
      </c>
      <c r="H3" s="37" t="inlineStr">
        <is>
          <t>binary · D(2) · first distinction</t>
        </is>
      </c>
    </row>
    <row r="4" ht="16" customHeight="1">
      <c r="A4" s="27" t="inlineStr">
        <is>
          <t>2</t>
        </is>
      </c>
      <c r="B4" s="27" t="inlineStr">
        <is>
          <t>3</t>
        </is>
      </c>
      <c r="C4" s="27" t="inlineStr">
        <is>
          <t>1</t>
        </is>
      </c>
      <c r="D4" s="27" t="inlineStr">
        <is>
          <t>1</t>
        </is>
      </c>
      <c r="E4" s="27" t="inlineStr">
        <is>
          <t>L1 / Generator</t>
        </is>
      </c>
      <c r="F4" s="27" t="inlineStr">
        <is>
          <t>—</t>
        </is>
      </c>
      <c r="G4" s="27" t="inlineStr">
        <is>
          <t>2</t>
        </is>
      </c>
      <c r="H4" s="27" t="inlineStr">
        <is>
          <t>ternary · L1 anchor · orbit generator · colour base</t>
        </is>
      </c>
    </row>
    <row r="5" ht="16" customHeight="1">
      <c r="A5" s="37" t="inlineStr">
        <is>
          <t>3</t>
        </is>
      </c>
      <c r="B5" s="37" t="inlineStr">
        <is>
          <t>5</t>
        </is>
      </c>
      <c r="C5" s="37" t="inlineStr">
        <is>
          <t>26658</t>
        </is>
      </c>
      <c r="D5" s="37" t="inlineStr">
        <is>
          <t>2×3×3×1481</t>
        </is>
      </c>
      <c r="E5" s="37" t="inlineStr"/>
      <c r="F5" s="37" t="inlineStr">
        <is>
          <t>—</t>
        </is>
      </c>
      <c r="G5" s="37" t="inlineStr">
        <is>
          <t>1</t>
        </is>
      </c>
      <c r="H5" s="37" t="inlineStr">
        <is>
          <t>pentac · L3 multiplier · rev10 base · DoFoF axis</t>
        </is>
      </c>
    </row>
    <row r="6" ht="16" customHeight="1">
      <c r="A6" s="37" t="inlineStr">
        <is>
          <t>4</t>
        </is>
      </c>
      <c r="B6" s="37" t="inlineStr">
        <is>
          <t>7</t>
        </is>
      </c>
      <c r="C6" s="37" t="inlineStr">
        <is>
          <t>36951</t>
        </is>
      </c>
      <c r="D6" s="37" t="inlineStr">
        <is>
          <t>3×109×113</t>
        </is>
      </c>
      <c r="E6" s="37" t="inlineStr"/>
      <c r="F6" s="37" t="inlineStr">
        <is>
          <t>—</t>
        </is>
      </c>
      <c r="G6" s="37" t="inlineStr">
        <is>
          <t>3</t>
        </is>
      </c>
      <c r="H6" s="37" t="inlineStr">
        <is>
          <t>tower · BCS tower · Fano plane lines · gate</t>
        </is>
      </c>
    </row>
    <row r="7" ht="16" customHeight="1">
      <c r="A7" s="37" t="inlineStr">
        <is>
          <t>5</t>
        </is>
      </c>
      <c r="B7" s="37" t="inlineStr">
        <is>
          <t>11</t>
        </is>
      </c>
      <c r="C7" s="37" t="inlineStr">
        <is>
          <t>17411</t>
        </is>
      </c>
      <c r="D7" s="37" t="inlineStr">
        <is>
          <t>23×757</t>
        </is>
      </c>
      <c r="E7" s="37" t="inlineStr"/>
      <c r="F7" s="37" t="inlineStr">
        <is>
          <t>—</t>
        </is>
      </c>
      <c r="G7" s="37" t="inlineStr">
        <is>
          <t>—</t>
        </is>
      </c>
      <c r="H7" s="37" t="inlineStr">
        <is>
          <t>alignment base · orbit prime · CKM β denominator</t>
        </is>
      </c>
    </row>
    <row r="8" ht="16" customHeight="1">
      <c r="A8" s="37" t="inlineStr">
        <is>
          <t>6</t>
        </is>
      </c>
      <c r="B8" s="37" t="inlineStr">
        <is>
          <t>13</t>
        </is>
      </c>
      <c r="C8" s="37" t="inlineStr">
        <is>
          <t>24018</t>
        </is>
      </c>
      <c r="D8" s="37" t="inlineStr">
        <is>
          <t>2×3×4003</t>
        </is>
      </c>
      <c r="E8" s="37" t="inlineStr"/>
      <c r="F8" s="37" t="inlineStr">
        <is>
          <t>—</t>
        </is>
      </c>
      <c r="G8" s="37" t="inlineStr">
        <is>
          <t>12</t>
        </is>
      </c>
      <c r="H8" s="37" t="inlineStr">
        <is>
          <t>window gate · E8 rank via DoFoF · excluded from period</t>
        </is>
      </c>
    </row>
    <row r="9" ht="16" customHeight="1">
      <c r="A9" s="37" t="inlineStr">
        <is>
          <t>7</t>
        </is>
      </c>
      <c r="B9" s="37" t="inlineStr">
        <is>
          <t>17</t>
        </is>
      </c>
      <c r="C9" s="37" t="inlineStr">
        <is>
          <t>27089</t>
        </is>
      </c>
      <c r="D9" s="37" t="inlineStr">
        <is>
          <t>103×263</t>
        </is>
      </c>
      <c r="E9" s="37" t="inlineStr"/>
      <c r="F9" s="37" t="inlineStr">
        <is>
          <t>—</t>
        </is>
      </c>
      <c r="G9" s="37" t="inlineStr">
        <is>
          <t>16</t>
        </is>
      </c>
      <c r="H9" s="37" t="inlineStr">
        <is>
          <t>IPOV DoF · EM generator · m_top · excluded from period</t>
        </is>
      </c>
    </row>
    <row r="10" ht="16" customHeight="1">
      <c r="A10" s="37" t="inlineStr">
        <is>
          <t>8</t>
        </is>
      </c>
      <c r="B10" s="37" t="inlineStr">
        <is>
          <t>19</t>
        </is>
      </c>
      <c r="C10" s="37" t="inlineStr">
        <is>
          <t>41109</t>
        </is>
      </c>
      <c r="D10" s="37" t="inlineStr">
        <is>
          <t>3×71×193</t>
        </is>
      </c>
      <c r="E10" s="37" t="inlineStr"/>
      <c r="F10" s="37" t="inlineStr">
        <is>
          <t>—</t>
        </is>
      </c>
      <c r="G10" s="37" t="inlineStr">
        <is>
          <t>3</t>
        </is>
      </c>
      <c r="H10" s="37" t="inlineStr">
        <is>
          <t>co-pin · orbit ceiling · base-19 BCS</t>
        </is>
      </c>
    </row>
    <row r="11" ht="16" customHeight="1">
      <c r="A11" s="37" t="inlineStr">
        <is>
          <t>9</t>
        </is>
      </c>
      <c r="B11" s="37" t="inlineStr">
        <is>
          <t>23</t>
        </is>
      </c>
      <c r="C11" s="37" t="inlineStr">
        <is>
          <t>24938</t>
        </is>
      </c>
      <c r="D11" s="37" t="inlineStr">
        <is>
          <t>2×37×337</t>
        </is>
      </c>
      <c r="E11" s="37" t="inlineStr"/>
      <c r="F11" s="37" t="inlineStr">
        <is>
          <t>—</t>
        </is>
      </c>
      <c r="G11" s="37" t="inlineStr">
        <is>
          <t>22</t>
        </is>
      </c>
      <c r="H11" s="37" t="inlineStr">
        <is>
          <t>α_floor adjacent · θ₁₃ link · 138=2×3×23</t>
        </is>
      </c>
    </row>
    <row r="12" ht="16" customHeight="1">
      <c r="A12" s="33" t="inlineStr">
        <is>
          <t>10</t>
        </is>
      </c>
      <c r="B12" s="33" t="inlineStr">
        <is>
          <t>29</t>
        </is>
      </c>
      <c r="C12" s="33" t="inlineStr">
        <is>
          <t>18807</t>
        </is>
      </c>
      <c r="D12" s="33" t="inlineStr">
        <is>
          <t>3×6269</t>
        </is>
      </c>
      <c r="E12" s="33" t="inlineStr"/>
      <c r="F12" s="33" t="inlineStr">
        <is>
          <t>STRONG</t>
        </is>
      </c>
      <c r="G12" s="33" t="inlineStr">
        <is>
          <t>28</t>
        </is>
      </c>
      <c r="H12" s="33" t="inlineStr">
        <is>
          <t>strong BP of 28 · face×gate · dual-role bridge</t>
        </is>
      </c>
    </row>
    <row r="13" ht="16" customHeight="1">
      <c r="A13" s="35" t="inlineStr">
        <is>
          <t>11</t>
        </is>
      </c>
      <c r="B13" s="35" t="inlineStr">
        <is>
          <t>37</t>
        </is>
      </c>
      <c r="C13" s="35" t="inlineStr">
        <is>
          <t>14182</t>
        </is>
      </c>
      <c r="D13" s="35" t="inlineStr">
        <is>
          <t>2×7×1013</t>
        </is>
      </c>
      <c r="E13" s="35" t="inlineStr"/>
      <c r="F13" s="35" t="inlineStr">
        <is>
          <t>WEAK</t>
        </is>
      </c>
      <c r="G13" s="35" t="inlineStr">
        <is>
          <t>6</t>
        </is>
      </c>
      <c r="H13" s="35" t="inlineStr">
        <is>
          <t>staircase prime · upper register sum · coupling prime</t>
        </is>
      </c>
    </row>
    <row r="14" ht="16" customHeight="1">
      <c r="A14" s="33" t="inlineStr">
        <is>
          <t>12</t>
        </is>
      </c>
      <c r="B14" s="33" t="inlineStr">
        <is>
          <t>41</t>
        </is>
      </c>
      <c r="C14" s="33" t="inlineStr">
        <is>
          <t>25586</t>
        </is>
      </c>
      <c r="D14" s="33" t="inlineStr">
        <is>
          <t>2×11×1163</t>
        </is>
      </c>
      <c r="E14" s="33" t="inlineStr"/>
      <c r="F14" s="33" t="inlineStr">
        <is>
          <t>STRONG</t>
        </is>
      </c>
      <c r="G14" s="33" t="inlineStr">
        <is>
          <t>40</t>
        </is>
      </c>
      <c r="H14" s="33" t="inlineStr">
        <is>
          <t>strong BP of 40 · 5-rail ceiling · chain 41→83→167</t>
        </is>
      </c>
    </row>
    <row r="15" ht="16" customHeight="1">
      <c r="A15" s="35" t="inlineStr">
        <is>
          <t>13</t>
        </is>
      </c>
      <c r="B15" s="35" t="inlineStr">
        <is>
          <t>43</t>
        </is>
      </c>
      <c r="C15" s="35" t="inlineStr">
        <is>
          <t>40491</t>
        </is>
      </c>
      <c r="D15" s="35" t="inlineStr">
        <is>
          <t>3×3×11×409</t>
        </is>
      </c>
      <c r="E15" s="35" t="inlineStr"/>
      <c r="F15" s="35" t="inlineStr">
        <is>
          <t>WEAK</t>
        </is>
      </c>
      <c r="G15" s="35" t="inlineStr">
        <is>
          <t>7</t>
        </is>
      </c>
      <c r="H15" s="35" t="inlineStr">
        <is>
          <t>weak BP of 42 · turnover×gate</t>
        </is>
      </c>
    </row>
    <row r="16" ht="16" customHeight="1">
      <c r="A16" s="37" t="inlineStr">
        <is>
          <t>14</t>
        </is>
      </c>
      <c r="B16" s="37" t="inlineStr">
        <is>
          <t>47</t>
        </is>
      </c>
      <c r="C16" s="37" t="inlineStr">
        <is>
          <t>4220</t>
        </is>
      </c>
      <c r="D16" s="37" t="inlineStr">
        <is>
          <t>2×2×5×211</t>
        </is>
      </c>
      <c r="E16" s="37" t="inlineStr"/>
      <c r="F16" s="37" t="inlineStr">
        <is>
          <t>—</t>
        </is>
      </c>
      <c r="G16" s="37" t="inlineStr">
        <is>
          <t>46</t>
        </is>
      </c>
      <c r="H16" s="37" t="inlineStr">
        <is>
          <t>lower BP of 48 · EW×3-rail</t>
        </is>
      </c>
    </row>
    <row r="17" ht="16" customHeight="1">
      <c r="A17" s="37" t="inlineStr">
        <is>
          <t>15</t>
        </is>
      </c>
      <c r="B17" s="37" t="inlineStr">
        <is>
          <t>53</t>
        </is>
      </c>
      <c r="C17" s="37" t="inlineStr">
        <is>
          <t>14876</t>
        </is>
      </c>
      <c r="D17" s="37" t="inlineStr">
        <is>
          <t>2×2×3719</t>
        </is>
      </c>
      <c r="E17" s="37" t="inlineStr"/>
      <c r="F17" s="37" t="inlineStr">
        <is>
          <t>—</t>
        </is>
      </c>
      <c r="G17" s="37" t="inlineStr">
        <is>
          <t>26</t>
        </is>
      </c>
      <c r="H17" s="37" t="inlineStr">
        <is>
          <t>L5 multiplier · half-group BP of 54</t>
        </is>
      </c>
    </row>
    <row r="18" ht="16" customHeight="1">
      <c r="A18" s="27" t="inlineStr">
        <is>
          <t>16</t>
        </is>
      </c>
      <c r="B18" s="27" t="inlineStr">
        <is>
          <t>59</t>
        </is>
      </c>
      <c r="C18" s="27" t="inlineStr">
        <is>
          <t>16388</t>
        </is>
      </c>
      <c r="D18" s="27" t="inlineStr">
        <is>
          <t>2×2×17×241</t>
        </is>
      </c>
      <c r="E18" s="27" t="inlineStr">
        <is>
          <t>Strong Coupling Step</t>
        </is>
      </c>
      <c r="F18" s="27" t="inlineStr">
        <is>
          <t>—</t>
        </is>
      </c>
      <c r="G18" s="27" t="inlineStr">
        <is>
          <t>58</t>
        </is>
      </c>
      <c r="H18" s="27" t="inlineStr">
        <is>
          <t>strong coupling numerator · rec10(16388) · in EM step 9027</t>
        </is>
      </c>
    </row>
    <row r="19" ht="16" customHeight="1">
      <c r="A19" s="33" t="inlineStr">
        <is>
          <t>17</t>
        </is>
      </c>
      <c r="B19" s="33" t="inlineStr">
        <is>
          <t>67</t>
        </is>
      </c>
      <c r="C19" s="33" t="inlineStr">
        <is>
          <t>21911</t>
        </is>
      </c>
      <c r="D19" s="33" t="inlineStr">
        <is>
          <t>21911</t>
        </is>
      </c>
      <c r="E19" s="33" t="inlineStr"/>
      <c r="F19" s="33" t="inlineStr">
        <is>
          <t>STRONG</t>
        </is>
      </c>
      <c r="G19" s="33" t="inlineStr">
        <is>
          <t>66</t>
        </is>
      </c>
      <c r="H19" s="33" t="inlineStr">
        <is>
          <t>strong BP of 66 · turnover×alignment</t>
        </is>
      </c>
    </row>
    <row r="20" ht="16" customHeight="1">
      <c r="A20" s="33" t="inlineStr">
        <is>
          <t>18</t>
        </is>
      </c>
      <c r="B20" s="33" t="inlineStr">
        <is>
          <t>71</t>
        </is>
      </c>
      <c r="C20" s="33" t="inlineStr">
        <is>
          <t>35050</t>
        </is>
      </c>
      <c r="D20" s="33" t="inlineStr">
        <is>
          <t>2×5×5×701</t>
        </is>
      </c>
      <c r="E20" s="33" t="inlineStr"/>
      <c r="F20" s="33" t="inlineStr">
        <is>
          <t>STRONG</t>
        </is>
      </c>
      <c r="G20" s="33" t="inlineStr">
        <is>
          <t>70</t>
        </is>
      </c>
      <c r="H20" s="33" t="inlineStr">
        <is>
          <t>strong BP of 70 · three non-3 bus primes</t>
        </is>
      </c>
    </row>
    <row r="21" ht="16" customHeight="1">
      <c r="A21" s="33" t="inlineStr">
        <is>
          <t>19</t>
        </is>
      </c>
      <c r="B21" s="33" t="inlineStr">
        <is>
          <t>73</t>
        </is>
      </c>
      <c r="C21" s="33" t="inlineStr">
        <is>
          <t>22922</t>
        </is>
      </c>
      <c r="D21" s="33" t="inlineStr">
        <is>
          <t>2×73×157</t>
        </is>
      </c>
      <c r="E21" s="33" t="inlineStr"/>
      <c r="F21" s="33" t="inlineStr">
        <is>
          <t>STRONG</t>
        </is>
      </c>
      <c r="G21" s="33" t="inlineStr">
        <is>
          <t>72</t>
        </is>
      </c>
      <c r="H21" s="33" t="inlineStr">
        <is>
          <t>strong BP of 72 · ceiling×target</t>
        </is>
      </c>
    </row>
    <row r="22" ht="16" customHeight="1">
      <c r="A22" s="35" t="inlineStr">
        <is>
          <t>20</t>
        </is>
      </c>
      <c r="B22" s="35" t="inlineStr">
        <is>
          <t>79</t>
        </is>
      </c>
      <c r="C22" s="35" t="inlineStr">
        <is>
          <t>37527</t>
        </is>
      </c>
      <c r="D22" s="35" t="inlineStr">
        <is>
          <t>3×7×1787</t>
        </is>
      </c>
      <c r="E22" s="35" t="inlineStr"/>
      <c r="F22" s="35" t="inlineStr">
        <is>
          <t>WEAK</t>
        </is>
      </c>
      <c r="G22" s="35" t="inlineStr">
        <is>
          <t>39</t>
        </is>
      </c>
      <c r="H22" s="35" t="inlineStr">
        <is>
          <t>EM precision bridge · 108−28−1 · lotus−BCS−gen</t>
        </is>
      </c>
    </row>
    <row r="23" ht="16" customHeight="1">
      <c r="A23" s="37" t="inlineStr">
        <is>
          <t>21</t>
        </is>
      </c>
      <c r="B23" s="37" t="inlineStr">
        <is>
          <t>83</t>
        </is>
      </c>
      <c r="C23" s="37" t="inlineStr">
        <is>
          <t>32174</t>
        </is>
      </c>
      <c r="D23" s="37" t="inlineStr">
        <is>
          <t>2×16087</t>
        </is>
      </c>
      <c r="E23" s="37" t="inlineStr"/>
      <c r="F23" s="37" t="inlineStr">
        <is>
          <t>—</t>
        </is>
      </c>
      <c r="G23" s="37" t="inlineStr">
        <is>
          <t>41</t>
        </is>
      </c>
      <c r="H23" s="37" t="inlineStr">
        <is>
          <t>half-group chain · 41→83 · lower BP of 84</t>
        </is>
      </c>
    </row>
    <row r="24" ht="16" customHeight="1">
      <c r="A24" s="37" t="inlineStr">
        <is>
          <t>22</t>
        </is>
      </c>
      <c r="B24" s="37" t="inlineStr">
        <is>
          <t>89</t>
        </is>
      </c>
      <c r="C24" s="37" t="inlineStr">
        <is>
          <t>595</t>
        </is>
      </c>
      <c r="D24" s="37" t="inlineStr">
        <is>
          <t>5×7×17</t>
        </is>
      </c>
      <c r="E24" s="37" t="inlineStr"/>
      <c r="F24" s="37" t="inlineStr">
        <is>
          <t>—</t>
        </is>
      </c>
      <c r="G24" s="37" t="inlineStr">
        <is>
          <t>22</t>
        </is>
      </c>
      <c r="H24" s="37" t="inlineStr">
        <is>
          <t>×4 exceptional BP of 90 · 6675=3×5²×89 · 89=81+8</t>
        </is>
      </c>
    </row>
    <row r="25" ht="16" customHeight="1">
      <c r="A25" s="37" t="inlineStr">
        <is>
          <t>23</t>
        </is>
      </c>
      <c r="B25" s="37" t="inlineStr">
        <is>
          <t>107</t>
        </is>
      </c>
      <c r="C25" s="37" t="inlineStr">
        <is>
          <t>19058</t>
        </is>
      </c>
      <c r="D25" s="37" t="inlineStr">
        <is>
          <t>2×13×733</t>
        </is>
      </c>
      <c r="E25" s="37" t="inlineStr"/>
      <c r="F25" s="37" t="inlineStr">
        <is>
          <t>—</t>
        </is>
      </c>
      <c r="G25" s="37" t="inlineStr">
        <is>
          <t>53</t>
        </is>
      </c>
      <c r="H25" s="37" t="inlineStr">
        <is>
          <t>half-group lower BP of 108 (lotus) · retains 53</t>
        </is>
      </c>
    </row>
    <row r="26" ht="16" customHeight="1">
      <c r="A26" s="33" t="inlineStr">
        <is>
          <t>24</t>
        </is>
      </c>
      <c r="B26" s="33" t="inlineStr">
        <is>
          <t>109</t>
        </is>
      </c>
      <c r="C26" s="33" t="inlineStr">
        <is>
          <t>35360</t>
        </is>
      </c>
      <c r="D26" s="33" t="inlineStr">
        <is>
          <t>2×2×2×2×2×5×13×17</t>
        </is>
      </c>
      <c r="E26" s="33" t="inlineStr"/>
      <c r="F26" s="33" t="inlineStr">
        <is>
          <t>STRONG</t>
        </is>
      </c>
      <c r="G26" s="33" t="inlineStr">
        <is>
          <t>108</t>
        </is>
      </c>
      <c r="H26" s="33" t="inlineStr">
        <is>
          <t>lotus prime · strong BP of 108 · sandwich 108←109→110</t>
        </is>
      </c>
    </row>
    <row r="27" ht="16" customHeight="1">
      <c r="A27" s="35" t="inlineStr">
        <is>
          <t>25</t>
        </is>
      </c>
      <c r="B27" s="35" t="inlineStr">
        <is>
          <t>113</t>
        </is>
      </c>
      <c r="C27" s="35" t="inlineStr">
        <is>
          <t>33865</t>
        </is>
      </c>
      <c r="D27" s="35" t="inlineStr">
        <is>
          <t>5×13×521</t>
        </is>
      </c>
      <c r="E27" s="35" t="inlineStr"/>
      <c r="F27" s="35" t="inlineStr">
        <is>
          <t>WEAK</t>
        </is>
      </c>
      <c r="G27" s="35" t="inlineStr">
        <is>
          <t>56</t>
        </is>
      </c>
      <c r="H27" s="35" t="inlineStr">
        <is>
          <t>secondary alignment · PSL(2,7) via 9×113 · weak BP of 112</t>
        </is>
      </c>
    </row>
    <row r="28" ht="16" customHeight="1">
      <c r="A28" s="37" t="inlineStr">
        <is>
          <t>26</t>
        </is>
      </c>
      <c r="B28" s="37" t="inlineStr">
        <is>
          <t>131</t>
        </is>
      </c>
      <c r="C28" s="37" t="inlineStr">
        <is>
          <t>4862</t>
        </is>
      </c>
      <c r="D28" s="37" t="inlineStr">
        <is>
          <t>2×11×13×17</t>
        </is>
      </c>
      <c r="E28" s="37" t="inlineStr"/>
      <c r="F28" s="37" t="inlineStr">
        <is>
          <t>—</t>
        </is>
      </c>
      <c r="G28" s="37" t="inlineStr">
        <is>
          <t>65</t>
        </is>
      </c>
      <c r="H28" s="37" t="inlineStr">
        <is>
          <t>half-group lower BP of 132=12×11</t>
        </is>
      </c>
    </row>
    <row r="29" ht="16" customHeight="1">
      <c r="A29" s="27" t="inlineStr">
        <is>
          <t>27</t>
        </is>
      </c>
      <c r="B29" s="27" t="inlineStr">
        <is>
          <t>137</t>
        </is>
      </c>
      <c r="C29" s="27" t="inlineStr">
        <is>
          <t>9027</t>
        </is>
      </c>
      <c r="D29" s="27" t="inlineStr">
        <is>
          <t>3×3×17×59</t>
        </is>
      </c>
      <c r="E29" s="27" t="inlineStr">
        <is>
          <t>EM Alpha Step</t>
        </is>
      </c>
      <c r="F29" s="27" t="inlineStr">
        <is>
          <t>—</t>
        </is>
      </c>
      <c r="G29" s="27" t="inlineStr">
        <is>
          <t>68</t>
        </is>
      </c>
      <c r="H29" s="27" t="inlineStr">
        <is>
          <t>α-floor · rec10(9027) · EM coupling integer floor</t>
        </is>
      </c>
    </row>
    <row r="30" ht="16" customHeight="1">
      <c r="A30" s="35" t="inlineStr">
        <is>
          <t>28</t>
        </is>
      </c>
      <c r="B30" s="35" t="inlineStr">
        <is>
          <t>157</t>
        </is>
      </c>
      <c r="C30" s="35" t="inlineStr">
        <is>
          <t>42435</t>
        </is>
      </c>
      <c r="D30" s="35" t="inlineStr">
        <is>
          <t>3×3×5×23×41</t>
        </is>
      </c>
      <c r="E30" s="35" t="inlineStr"/>
      <c r="F30" s="35" t="inlineStr">
        <is>
          <t>WEAK</t>
        </is>
      </c>
      <c r="G30" s="35" t="inlineStr">
        <is>
          <t>39</t>
        </is>
      </c>
      <c r="H30" s="35" t="inlineStr">
        <is>
          <t>weak BP of 156 · E8-angular×E8-prime</t>
        </is>
      </c>
    </row>
    <row r="31" ht="16" customHeight="1">
      <c r="A31" s="37" t="inlineStr">
        <is>
          <t>29</t>
        </is>
      </c>
      <c r="B31" s="37" t="inlineStr">
        <is>
          <t>167</t>
        </is>
      </c>
      <c r="C31" s="37" t="inlineStr">
        <is>
          <t>38515</t>
        </is>
      </c>
      <c r="D31" s="37" t="inlineStr">
        <is>
          <t>5×7703</t>
        </is>
      </c>
      <c r="E31" s="37" t="inlineStr"/>
      <c r="F31" s="37" t="inlineStr">
        <is>
          <t>—</t>
        </is>
      </c>
      <c r="G31" s="37" t="inlineStr">
        <is>
          <t>83</t>
        </is>
      </c>
      <c r="H31" s="37" t="inlineStr">
        <is>
          <t>half-group chain end · lower BP of 168=|PSL(2,7)|</t>
        </is>
      </c>
    </row>
    <row r="32" ht="16" customHeight="1">
      <c r="A32" s="37" t="inlineStr">
        <is>
          <t>30</t>
        </is>
      </c>
      <c r="B32" s="37" t="inlineStr">
        <is>
          <t>173</t>
        </is>
      </c>
      <c r="C32" s="37" t="inlineStr">
        <is>
          <t>8958</t>
        </is>
      </c>
      <c r="D32" s="37" t="inlineStr">
        <is>
          <t>2×3×1493</t>
        </is>
      </c>
      <c r="E32" s="37" t="inlineStr"/>
      <c r="F32" s="37" t="inlineStr">
        <is>
          <t>—</t>
        </is>
      </c>
      <c r="G32" s="37" t="inlineStr">
        <is>
          <t>172</t>
        </is>
      </c>
      <c r="H32" s="37" t="inlineStr">
        <is>
          <t>173=137+36=α_floor+ring² · in ring step 31486</t>
        </is>
      </c>
    </row>
    <row r="33" ht="16" customHeight="1">
      <c r="A33" s="37" t="inlineStr">
        <is>
          <t>31</t>
        </is>
      </c>
      <c r="B33" s="37" t="inlineStr">
        <is>
          <t>179</t>
        </is>
      </c>
      <c r="C33" s="37" t="inlineStr">
        <is>
          <t>28247</t>
        </is>
      </c>
      <c r="D33" s="37" t="inlineStr">
        <is>
          <t>47×601</t>
        </is>
      </c>
      <c r="E33" s="37" t="inlineStr"/>
      <c r="F33" s="37" t="inlineStr">
        <is>
          <t>—</t>
        </is>
      </c>
      <c r="G33" s="37" t="inlineStr">
        <is>
          <t>178</t>
        </is>
      </c>
      <c r="H33" s="37" t="inlineStr">
        <is>
          <t>retained by 359 · rec10(179)=55=5×11 · frontier</t>
        </is>
      </c>
    </row>
    <row r="34" ht="16" customHeight="1">
      <c r="A34" s="35" t="inlineStr">
        <is>
          <t>32</t>
        </is>
      </c>
      <c r="B34" s="35" t="inlineStr">
        <is>
          <t>193</t>
        </is>
      </c>
      <c r="C34" s="35" t="inlineStr">
        <is>
          <t>17565</t>
        </is>
      </c>
      <c r="D34" s="35" t="inlineStr">
        <is>
          <t>3×5×1171</t>
        </is>
      </c>
      <c r="E34" s="35" t="inlineStr"/>
      <c r="F34" s="35" t="inlineStr">
        <is>
          <t>WEAK</t>
        </is>
      </c>
      <c r="G34" s="35" t="inlineStr">
        <is>
          <t>64</t>
        </is>
      </c>
      <c r="H34" s="35" t="inlineStr">
        <is>
          <t>weak BP of 192 · binary⁶×3-rail</t>
        </is>
      </c>
    </row>
    <row r="35" ht="16" customHeight="1">
      <c r="A35" s="35" t="inlineStr">
        <is>
          <t>33</t>
        </is>
      </c>
      <c r="B35" s="35" t="inlineStr">
        <is>
          <t>211</t>
        </is>
      </c>
      <c r="C35" s="35" t="inlineStr">
        <is>
          <t>3658</t>
        </is>
      </c>
      <c r="D35" s="35" t="inlineStr">
        <is>
          <t>2×31×59</t>
        </is>
      </c>
      <c r="E35" s="35" t="inlineStr"/>
      <c r="F35" s="35" t="inlineStr">
        <is>
          <t>WEAK</t>
        </is>
      </c>
      <c r="G35" s="35" t="inlineStr">
        <is>
          <t>35</t>
        </is>
      </c>
      <c r="H35" s="35" t="inlineStr">
        <is>
          <t>weak BP of 210 · all four bus primes</t>
        </is>
      </c>
    </row>
    <row r="36" ht="16" customHeight="1">
      <c r="A36" s="37" t="inlineStr">
        <is>
          <t>34</t>
        </is>
      </c>
      <c r="B36" s="37" t="inlineStr">
        <is>
          <t>239</t>
        </is>
      </c>
      <c r="C36" s="37" t="inlineStr">
        <is>
          <t>22134</t>
        </is>
      </c>
      <c r="D36" s="37" t="inlineStr">
        <is>
          <t>2×3×7×17×31</t>
        </is>
      </c>
      <c r="E36" s="37" t="inlineStr"/>
      <c r="F36" s="37" t="inlineStr">
        <is>
          <t>—</t>
        </is>
      </c>
      <c r="G36" s="37" t="inlineStr">
        <is>
          <t>119</t>
        </is>
      </c>
      <c r="H36" s="37" t="inlineStr">
        <is>
          <t>lower BP of 240=E8 roots · strips 2-rail</t>
        </is>
      </c>
    </row>
    <row r="37" ht="16" customHeight="1">
      <c r="A37" s="37" t="inlineStr">
        <is>
          <t>35</t>
        </is>
      </c>
      <c r="B37" s="37" t="inlineStr">
        <is>
          <t>241</t>
        </is>
      </c>
      <c r="C37" s="37" t="inlineStr">
        <is>
          <t>36078</t>
        </is>
      </c>
      <c r="D37" s="37" t="inlineStr">
        <is>
          <t>2×3×7×859</t>
        </is>
      </c>
      <c r="E37" s="37" t="inlineStr"/>
      <c r="F37" s="37" t="inlineStr">
        <is>
          <t>—</t>
        </is>
      </c>
      <c r="G37" s="37" t="inlineStr">
        <is>
          <t>48</t>
        </is>
      </c>
      <c r="H37" s="37" t="inlineStr">
        <is>
          <t>weak BP of 240 · in strong coupling step 16388 · 241=E8_roots+1</t>
        </is>
      </c>
    </row>
    <row r="38" ht="16" customHeight="1">
      <c r="A38" s="35" t="inlineStr">
        <is>
          <t>36</t>
        </is>
      </c>
      <c r="B38" s="35" t="inlineStr">
        <is>
          <t>271</t>
        </is>
      </c>
      <c r="C38" s="35" t="inlineStr">
        <is>
          <t>29812</t>
        </is>
      </c>
      <c r="D38" s="35" t="inlineStr">
        <is>
          <t>2×2×29×257</t>
        </is>
      </c>
      <c r="E38" s="35" t="inlineStr"/>
      <c r="F38" s="35" t="inlineStr">
        <is>
          <t>WEAK</t>
        </is>
      </c>
      <c r="G38" s="35" t="inlineStr">
        <is>
          <t>135</t>
        </is>
      </c>
      <c r="H38" s="35" t="inlineStr">
        <is>
          <t>weak BP of 270</t>
        </is>
      </c>
    </row>
    <row r="39" ht="16" customHeight="1">
      <c r="A39" s="37" t="inlineStr">
        <is>
          <t>37</t>
        </is>
      </c>
      <c r="B39" s="37" t="inlineStr">
        <is>
          <t>317</t>
        </is>
      </c>
      <c r="C39" s="37" t="inlineStr">
        <is>
          <t>10986</t>
        </is>
      </c>
      <c r="D39" s="37" t="inlineStr">
        <is>
          <t>2×3×1831</t>
        </is>
      </c>
      <c r="E39" s="37" t="inlineStr"/>
      <c r="F39" s="37" t="inlineStr">
        <is>
          <t>—</t>
        </is>
      </c>
      <c r="G39" s="37" t="inlineStr">
        <is>
          <t>79</t>
        </is>
      </c>
      <c r="H39" s="37" t="inlineStr">
        <is>
          <t>ord=79 · rev10(317)=5×19×137 · EM precision carrier</t>
        </is>
      </c>
    </row>
    <row r="40" ht="16" customHeight="1">
      <c r="A40" s="33" t="inlineStr">
        <is>
          <t>38</t>
        </is>
      </c>
      <c r="B40" s="33" t="inlineStr">
        <is>
          <t>331</t>
        </is>
      </c>
      <c r="C40" s="33" t="inlineStr">
        <is>
          <t>2322</t>
        </is>
      </c>
      <c r="D40" s="33" t="inlineStr">
        <is>
          <t>2×3×3×3×43</t>
        </is>
      </c>
      <c r="E40" s="33" t="inlineStr"/>
      <c r="F40" s="33" t="inlineStr">
        <is>
          <t>STRONG</t>
        </is>
      </c>
      <c r="G40" s="33" t="inlineStr">
        <is>
          <t>330</t>
        </is>
      </c>
      <c r="H40" s="33" t="inlineStr">
        <is>
          <t>strong BP of 330 · bus×alignment</t>
        </is>
      </c>
    </row>
    <row r="41" ht="16" customHeight="1">
      <c r="A41" s="37" t="inlineStr">
        <is>
          <t>39</t>
        </is>
      </c>
      <c r="B41" s="37" t="inlineStr">
        <is>
          <t>359</t>
        </is>
      </c>
      <c r="C41" s="37" t="inlineStr">
        <is>
          <t>40068</t>
        </is>
      </c>
      <c r="D41" s="37" t="inlineStr">
        <is>
          <t>2×2×3×3×3×7×53</t>
        </is>
      </c>
      <c r="E41" s="37" t="inlineStr"/>
      <c r="F41" s="37" t="inlineStr">
        <is>
          <t>—</t>
        </is>
      </c>
      <c r="G41" s="37" t="inlineStr">
        <is>
          <t>179</t>
        </is>
      </c>
      <c r="H41" s="37" t="inlineStr">
        <is>
          <t>lower BP of 360=full rotation · retains 179</t>
        </is>
      </c>
    </row>
    <row r="42" ht="16" customHeight="1">
      <c r="A42" s="35" t="inlineStr">
        <is>
          <t>40</t>
        </is>
      </c>
      <c r="B42" s="35" t="inlineStr">
        <is>
          <t>421</t>
        </is>
      </c>
      <c r="C42" s="35" t="inlineStr">
        <is>
          <t>10310</t>
        </is>
      </c>
      <c r="D42" s="35" t="inlineStr">
        <is>
          <t>2×5×1031</t>
        </is>
      </c>
      <c r="E42" s="35" t="inlineStr"/>
      <c r="F42" s="35" t="inlineStr">
        <is>
          <t>WEAK</t>
        </is>
      </c>
      <c r="G42" s="35" t="inlineStr">
        <is>
          <t>105</t>
        </is>
      </c>
      <c r="H42" s="35" t="inlineStr">
        <is>
          <t>weak BP of 420 · faces×odd bus</t>
        </is>
      </c>
    </row>
    <row r="43" ht="16" customHeight="1">
      <c r="A43" s="35" t="inlineStr">
        <is>
          <t>41</t>
        </is>
      </c>
      <c r="B43" s="35" t="inlineStr">
        <is>
          <t>433</t>
        </is>
      </c>
      <c r="C43" s="35" t="inlineStr">
        <is>
          <t>12152</t>
        </is>
      </c>
      <c r="D43" s="35" t="inlineStr">
        <is>
          <t>2×2×2×7×7×31</t>
        </is>
      </c>
      <c r="E43" s="35" t="inlineStr"/>
      <c r="F43" s="35" t="inlineStr">
        <is>
          <t>WEAK</t>
        </is>
      </c>
      <c r="G43" s="35" t="inlineStr">
        <is>
          <t>216</t>
        </is>
      </c>
      <c r="H43" s="35" t="inlineStr">
        <is>
          <t>weak BP of 432 · EW×lotus · strips 2-rail</t>
        </is>
      </c>
    </row>
    <row r="44" ht="16" customHeight="1">
      <c r="A44" s="37" t="inlineStr">
        <is>
          <t>42</t>
        </is>
      </c>
      <c r="B44" s="37" t="inlineStr">
        <is>
          <t>601</t>
        </is>
      </c>
      <c r="C44" s="37" t="inlineStr">
        <is>
          <t>30510</t>
        </is>
      </c>
      <c r="D44" s="37" t="inlineStr">
        <is>
          <t>2×3×3×3×5×113</t>
        </is>
      </c>
      <c r="E44" s="37" t="inlineStr"/>
      <c r="F44" s="37" t="inlineStr">
        <is>
          <t>—</t>
        </is>
      </c>
      <c r="G44" s="37" t="inlineStr">
        <is>
          <t>600</t>
        </is>
      </c>
      <c r="H44" s="37" t="inlineStr">
        <is>
          <t>in step 28247=47×601 (step where rec10=179)</t>
        </is>
      </c>
    </row>
    <row r="45" ht="16" customHeight="1">
      <c r="A45" s="37" t="inlineStr">
        <is>
          <t>43</t>
        </is>
      </c>
      <c r="B45" s="37" t="inlineStr">
        <is>
          <t>809</t>
        </is>
      </c>
      <c r="C45" s="37" t="inlineStr">
        <is>
          <t>42701</t>
        </is>
      </c>
      <c r="D45" s="37" t="inlineStr">
        <is>
          <t>42701</t>
        </is>
      </c>
      <c r="E45" s="37" t="inlineStr"/>
      <c r="F45" s="37" t="inlineStr">
        <is>
          <t>—</t>
        </is>
      </c>
      <c r="G45" s="37" t="inlineStr">
        <is>
          <t>808</t>
        </is>
      </c>
      <c r="H45" s="37" t="inlineStr">
        <is>
          <t>in 42068=4×13×809 · weak coupling first correction denom</t>
        </is>
      </c>
    </row>
    <row r="46" ht="16" customHeight="1">
      <c r="A46" s="37" t="inlineStr">
        <is>
          <t>44</t>
        </is>
      </c>
      <c r="B46" s="37" t="inlineStr">
        <is>
          <t>1009</t>
        </is>
      </c>
      <c r="C46" s="37" t="inlineStr">
        <is>
          <t>25082</t>
        </is>
      </c>
      <c r="D46" s="37" t="inlineStr">
        <is>
          <t>2×12541</t>
        </is>
      </c>
      <c r="E46" s="37" t="inlineStr"/>
      <c r="F46" s="37" t="inlineStr">
        <is>
          <t>—</t>
        </is>
      </c>
      <c r="G46" s="37" t="inlineStr">
        <is>
          <t>1008</t>
        </is>
      </c>
      <c r="H46" s="37" t="inlineStr">
        <is>
          <t>strong BP of 1008=2⁴×3²×7 · rev10(1)=29×1009</t>
        </is>
      </c>
    </row>
    <row r="47" ht="16" customHeight="1">
      <c r="A47" s="37" t="inlineStr">
        <is>
          <t>45</t>
        </is>
      </c>
      <c r="B47" s="37" t="inlineStr">
        <is>
          <t>1571</t>
        </is>
      </c>
      <c r="C47" s="37" t="inlineStr">
        <is>
          <t>4969</t>
        </is>
      </c>
      <c r="D47" s="37" t="inlineStr">
        <is>
          <t>4969</t>
        </is>
      </c>
      <c r="E47" s="37" t="inlineStr"/>
      <c r="F47" s="37" t="inlineStr">
        <is>
          <t>—</t>
        </is>
      </c>
      <c r="G47" s="37" t="inlineStr">
        <is>
          <t>1570</t>
        </is>
      </c>
      <c r="H47" s="37" t="inlineStr">
        <is>
          <t>strong BP of 1570 · in weak coupling step 9426</t>
        </is>
      </c>
    </row>
    <row r="48" ht="16" customHeight="1">
      <c r="A48" s="33" t="inlineStr">
        <is>
          <t>46</t>
        </is>
      </c>
      <c r="B48" s="33" t="inlineStr">
        <is>
          <t>1801</t>
        </is>
      </c>
      <c r="C48" s="33" t="inlineStr">
        <is>
          <t>15124</t>
        </is>
      </c>
      <c r="D48" s="33" t="inlineStr">
        <is>
          <t>2×2×19×199</t>
        </is>
      </c>
      <c r="E48" s="33" t="inlineStr"/>
      <c r="F48" s="33" t="inlineStr">
        <is>
          <t>STRONG</t>
        </is>
      </c>
      <c r="G48" s="33" t="inlineStr">
        <is>
          <t>1800</t>
        </is>
      </c>
      <c r="H48" s="33" t="inlineStr">
        <is>
          <t>strong BP of 1800=360×5 · full rotation×5-rail</t>
        </is>
      </c>
    </row>
    <row r="49" ht="16" customHeight="1">
      <c r="A49" s="37" t="inlineStr">
        <is>
          <t>47</t>
        </is>
      </c>
      <c r="B49" s="37" t="inlineStr">
        <is>
          <t>2731</t>
        </is>
      </c>
      <c r="C49" s="37" t="inlineStr">
        <is>
          <t>34462</t>
        </is>
      </c>
      <c r="D49" s="37" t="inlineStr">
        <is>
          <t>2×17231</t>
        </is>
      </c>
      <c r="E49" s="37" t="inlineStr"/>
      <c r="F49" s="37" t="inlineStr">
        <is>
          <t>—</t>
        </is>
      </c>
      <c r="G49" s="37" t="inlineStr">
        <is>
          <t>2730</t>
        </is>
      </c>
      <c r="H49" s="37" t="inlineStr">
        <is>
          <t>strong BP of 2730=bus×13 · weak vertex rev10</t>
        </is>
      </c>
    </row>
    <row r="50" ht="16" customHeight="1">
      <c r="A50" s="27" t="inlineStr">
        <is>
          <t>48</t>
        </is>
      </c>
      <c r="B50" s="27" t="inlineStr">
        <is>
          <t>43783</t>
        </is>
      </c>
      <c r="C50" s="27" t="inlineStr">
        <is>
          <t>41028</t>
        </is>
      </c>
      <c r="D50" s="27" t="inlineStr">
        <is>
          <t>2×2×3×13×263</t>
        </is>
      </c>
      <c r="E50" s="27" t="inlineStr">
        <is>
          <t>Window Gate</t>
        </is>
      </c>
      <c r="F50" s="27" t="inlineStr">
        <is>
          <t>—</t>
        </is>
      </c>
      <c r="G50" s="27" t="inlineStr">
        <is>
          <t>—</t>
        </is>
      </c>
      <c r="H50" s="27" t="inlineStr">
        <is>
          <t>window gate value = MOD−108 · rec10(41028)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2" customWidth="1" min="4" max="4"/>
    <col width="14" customWidth="1" min="5" max="5"/>
    <col width="22" customWidth="1" min="6" max="6"/>
  </cols>
  <sheetData>
    <row r="1" ht="22" customHeight="1">
      <c r="A1" s="48" t="inlineStr">
        <is>
          <t>Prime p</t>
        </is>
      </c>
      <c r="B1" s="48" t="inlineStr">
        <is>
          <t>Orbit Step</t>
        </is>
      </c>
      <c r="C1" s="48" t="inlineStr">
        <is>
          <t>Step Factors</t>
        </is>
      </c>
      <c r="D1" s="48" t="inlineStr">
        <is>
          <t>Struct. Primes in Step</t>
        </is>
      </c>
      <c r="E1" s="48" t="inlineStr">
        <is>
          <t>BP Status</t>
        </is>
      </c>
      <c r="F1" s="48" t="inlineStr">
        <is>
          <t>Notes</t>
        </is>
      </c>
    </row>
    <row r="2" ht="13" customHeight="1">
      <c r="A2" s="37" t="inlineStr">
        <is>
          <t>2</t>
        </is>
      </c>
      <c r="B2" s="37" t="inlineStr">
        <is>
          <t>31485</t>
        </is>
      </c>
      <c r="C2" s="37" t="inlineStr">
        <is>
          <t>3×5×2099</t>
        </is>
      </c>
      <c r="D2" s="37" t="inlineStr">
        <is>
          <t>3·5</t>
        </is>
      </c>
      <c r="E2" s="37" t="inlineStr"/>
      <c r="F2" s="37" t="inlineStr">
        <is>
          <t>binary · D(2) · first distinction</t>
        </is>
      </c>
    </row>
    <row r="3" ht="13" customHeight="1">
      <c r="A3" s="27" t="inlineStr">
        <is>
          <t>3</t>
        </is>
      </c>
      <c r="B3" s="27" t="inlineStr">
        <is>
          <t>1</t>
        </is>
      </c>
      <c r="C3" s="27" t="inlineStr">
        <is>
          <t>1</t>
        </is>
      </c>
      <c r="D3" s="27" t="inlineStr">
        <is>
          <t>—</t>
        </is>
      </c>
      <c r="E3" s="27" t="inlineStr"/>
      <c r="F3" s="27" t="inlineStr">
        <is>
          <t>ternary · L1 anchor · orbit generator · colour base</t>
        </is>
      </c>
    </row>
    <row r="4" ht="13" customHeight="1">
      <c r="A4" s="37" t="inlineStr">
        <is>
          <t>5</t>
        </is>
      </c>
      <c r="B4" s="37" t="inlineStr">
        <is>
          <t>26658</t>
        </is>
      </c>
      <c r="C4" s="37" t="inlineStr">
        <is>
          <t>2×3×3×1481</t>
        </is>
      </c>
      <c r="D4" s="37" t="inlineStr">
        <is>
          <t>2·3</t>
        </is>
      </c>
      <c r="E4" s="37" t="inlineStr"/>
      <c r="F4" s="37" t="inlineStr">
        <is>
          <t>pentac · L3 multiplier · rev10 base · DoFoF axis</t>
        </is>
      </c>
    </row>
    <row r="5" ht="13" customHeight="1">
      <c r="A5" s="37" t="inlineStr">
        <is>
          <t>7</t>
        </is>
      </c>
      <c r="B5" s="37" t="inlineStr">
        <is>
          <t>36951</t>
        </is>
      </c>
      <c r="C5" s="37" t="inlineStr">
        <is>
          <t>3×109×113</t>
        </is>
      </c>
      <c r="D5" s="37" t="inlineStr">
        <is>
          <t>3</t>
        </is>
      </c>
      <c r="E5" s="37" t="inlineStr"/>
      <c r="F5" s="37" t="inlineStr">
        <is>
          <t>tower · BCS tower · Fano plane lines · gate</t>
        </is>
      </c>
    </row>
    <row r="6" ht="13" customHeight="1">
      <c r="A6" s="37" t="inlineStr">
        <is>
          <t>11</t>
        </is>
      </c>
      <c r="B6" s="37" t="inlineStr">
        <is>
          <t>17411</t>
        </is>
      </c>
      <c r="C6" s="37" t="inlineStr">
        <is>
          <t>23×757</t>
        </is>
      </c>
      <c r="D6" s="37" t="inlineStr">
        <is>
          <t>—</t>
        </is>
      </c>
      <c r="E6" s="37" t="inlineStr"/>
      <c r="F6" s="37" t="inlineStr">
        <is>
          <t>alignment base · orbit prime · CKM β denominator</t>
        </is>
      </c>
    </row>
    <row r="7" ht="13" customHeight="1">
      <c r="A7" s="37" t="inlineStr">
        <is>
          <t>13</t>
        </is>
      </c>
      <c r="B7" s="37" t="inlineStr">
        <is>
          <t>24018</t>
        </is>
      </c>
      <c r="C7" s="37" t="inlineStr">
        <is>
          <t>2×3×4003</t>
        </is>
      </c>
      <c r="D7" s="37" t="inlineStr">
        <is>
          <t>2·3</t>
        </is>
      </c>
      <c r="E7" s="37" t="inlineStr"/>
      <c r="F7" s="37" t="inlineStr">
        <is>
          <t>window gate · E8 rank via DoFoF · excluded from period</t>
        </is>
      </c>
    </row>
    <row r="8" ht="13" customHeight="1">
      <c r="A8" s="37" t="inlineStr">
        <is>
          <t>17</t>
        </is>
      </c>
      <c r="B8" s="37" t="inlineStr">
        <is>
          <t>27089</t>
        </is>
      </c>
      <c r="C8" s="37" t="inlineStr">
        <is>
          <t>103×263</t>
        </is>
      </c>
      <c r="D8" s="37" t="inlineStr">
        <is>
          <t>—</t>
        </is>
      </c>
      <c r="E8" s="37" t="inlineStr"/>
      <c r="F8" s="37" t="inlineStr">
        <is>
          <t>IPOV DoF · EM generator · m_top · excluded from period</t>
        </is>
      </c>
    </row>
    <row r="9" ht="13" customHeight="1">
      <c r="A9" s="37" t="inlineStr">
        <is>
          <t>19</t>
        </is>
      </c>
      <c r="B9" s="37" t="inlineStr">
        <is>
          <t>41109</t>
        </is>
      </c>
      <c r="C9" s="37" t="inlineStr">
        <is>
          <t>3×71×193</t>
        </is>
      </c>
      <c r="D9" s="37" t="inlineStr">
        <is>
          <t>3</t>
        </is>
      </c>
      <c r="E9" s="37" t="inlineStr"/>
      <c r="F9" s="37" t="inlineStr">
        <is>
          <t>co-pin · orbit ceiling · base-19 BCS</t>
        </is>
      </c>
    </row>
    <row r="10" ht="13" customHeight="1">
      <c r="A10" s="37" t="inlineStr">
        <is>
          <t>23</t>
        </is>
      </c>
      <c r="B10" s="37" t="inlineStr">
        <is>
          <t>24938</t>
        </is>
      </c>
      <c r="C10" s="37" t="inlineStr">
        <is>
          <t>2×37×337</t>
        </is>
      </c>
      <c r="D10" s="37" t="inlineStr">
        <is>
          <t>2</t>
        </is>
      </c>
      <c r="E10" s="37" t="inlineStr"/>
      <c r="F10" s="37" t="inlineStr">
        <is>
          <t>α_floor adjacent · θ₁₃ link · 138=2×3×23</t>
        </is>
      </c>
    </row>
    <row r="11" ht="13" customHeight="1">
      <c r="A11" s="33" t="inlineStr">
        <is>
          <t>29</t>
        </is>
      </c>
      <c r="B11" s="33" t="inlineStr">
        <is>
          <t>18807</t>
        </is>
      </c>
      <c r="C11" s="33" t="inlineStr">
        <is>
          <t>3×6269</t>
        </is>
      </c>
      <c r="D11" s="33" t="inlineStr">
        <is>
          <t>3</t>
        </is>
      </c>
      <c r="E11" s="33" t="inlineStr">
        <is>
          <t>STRONG</t>
        </is>
      </c>
      <c r="F11" s="33" t="inlineStr">
        <is>
          <t>strong BP of 28 · face×gate · dual-role bridge</t>
        </is>
      </c>
    </row>
    <row r="12" ht="13" customHeight="1">
      <c r="A12" s="45" t="inlineStr">
        <is>
          <t>31</t>
        </is>
      </c>
      <c r="B12" s="45" t="inlineStr">
        <is>
          <t>3594</t>
        </is>
      </c>
      <c r="C12" s="45" t="inlineStr">
        <is>
          <t>2×3×599</t>
        </is>
      </c>
      <c r="D12" s="45" t="inlineStr">
        <is>
          <t>2·3</t>
        </is>
      </c>
      <c r="E12" s="45" t="inlineStr"/>
      <c r="F12" s="45" t="inlineStr"/>
    </row>
    <row r="13" ht="13" customHeight="1">
      <c r="A13" s="35" t="inlineStr">
        <is>
          <t>37</t>
        </is>
      </c>
      <c r="B13" s="35" t="inlineStr">
        <is>
          <t>14182</t>
        </is>
      </c>
      <c r="C13" s="35" t="inlineStr">
        <is>
          <t>2×7×1013</t>
        </is>
      </c>
      <c r="D13" s="35" t="inlineStr">
        <is>
          <t>2·7</t>
        </is>
      </c>
      <c r="E13" s="35" t="inlineStr">
        <is>
          <t>WEAK</t>
        </is>
      </c>
      <c r="F13" s="35" t="inlineStr">
        <is>
          <t>staircase prime · upper register sum · coupling prime</t>
        </is>
      </c>
    </row>
    <row r="14" ht="13" customHeight="1">
      <c r="A14" s="33" t="inlineStr">
        <is>
          <t>41</t>
        </is>
      </c>
      <c r="B14" s="33" t="inlineStr">
        <is>
          <t>25586</t>
        </is>
      </c>
      <c r="C14" s="33" t="inlineStr">
        <is>
          <t>2×11×1163</t>
        </is>
      </c>
      <c r="D14" s="33" t="inlineStr">
        <is>
          <t>2·11</t>
        </is>
      </c>
      <c r="E14" s="33" t="inlineStr">
        <is>
          <t>STRONG</t>
        </is>
      </c>
      <c r="F14" s="33" t="inlineStr">
        <is>
          <t>strong BP of 40 · 5-rail ceiling · chain 41→83→167</t>
        </is>
      </c>
    </row>
    <row r="15" ht="13" customHeight="1">
      <c r="A15" s="35" t="inlineStr">
        <is>
          <t>43</t>
        </is>
      </c>
      <c r="B15" s="35" t="inlineStr">
        <is>
          <t>40491</t>
        </is>
      </c>
      <c r="C15" s="35" t="inlineStr">
        <is>
          <t>3×3×11×409</t>
        </is>
      </c>
      <c r="D15" s="35" t="inlineStr">
        <is>
          <t>3·11</t>
        </is>
      </c>
      <c r="E15" s="35" t="inlineStr">
        <is>
          <t>WEAK</t>
        </is>
      </c>
      <c r="F15" s="35" t="inlineStr">
        <is>
          <t>weak BP of 42 · turnover×gate</t>
        </is>
      </c>
    </row>
    <row r="16" ht="13" customHeight="1">
      <c r="A16" s="37" t="inlineStr">
        <is>
          <t>47</t>
        </is>
      </c>
      <c r="B16" s="37" t="inlineStr">
        <is>
          <t>4220</t>
        </is>
      </c>
      <c r="C16" s="37" t="inlineStr">
        <is>
          <t>2×2×5×211</t>
        </is>
      </c>
      <c r="D16" s="37" t="inlineStr">
        <is>
          <t>2·5</t>
        </is>
      </c>
      <c r="E16" s="37" t="inlineStr"/>
      <c r="F16" s="37" t="inlineStr">
        <is>
          <t>lower BP of 48 · EW×3-rail</t>
        </is>
      </c>
    </row>
    <row r="17" ht="13" customHeight="1">
      <c r="A17" s="37" t="inlineStr">
        <is>
          <t>53</t>
        </is>
      </c>
      <c r="B17" s="37" t="inlineStr">
        <is>
          <t>14876</t>
        </is>
      </c>
      <c r="C17" s="37" t="inlineStr">
        <is>
          <t>2×2×3719</t>
        </is>
      </c>
      <c r="D17" s="37" t="inlineStr">
        <is>
          <t>2</t>
        </is>
      </c>
      <c r="E17" s="37" t="inlineStr"/>
      <c r="F17" s="37" t="inlineStr">
        <is>
          <t>L5 multiplier · half-group BP of 54</t>
        </is>
      </c>
    </row>
    <row r="18" ht="13" customHeight="1">
      <c r="A18" s="27" t="inlineStr">
        <is>
          <t>59</t>
        </is>
      </c>
      <c r="B18" s="27" t="inlineStr">
        <is>
          <t>16388</t>
        </is>
      </c>
      <c r="C18" s="27" t="inlineStr">
        <is>
          <t>2×2×17×241</t>
        </is>
      </c>
      <c r="D18" s="27" t="inlineStr">
        <is>
          <t>2·17</t>
        </is>
      </c>
      <c r="E18" s="27" t="inlineStr"/>
      <c r="F18" s="27" t="inlineStr">
        <is>
          <t>strong coupling numerator · rec10(16388) · in EM step 9027</t>
        </is>
      </c>
    </row>
    <row r="19" ht="13" customHeight="1">
      <c r="A19" s="43" t="inlineStr">
        <is>
          <t>61</t>
        </is>
      </c>
      <c r="B19" s="43" t="inlineStr">
        <is>
          <t>41767</t>
        </is>
      </c>
      <c r="C19" s="43" t="inlineStr">
        <is>
          <t>11×3797</t>
        </is>
      </c>
      <c r="D19" s="43" t="inlineStr">
        <is>
          <t>11</t>
        </is>
      </c>
      <c r="E19" s="43" t="inlineStr"/>
      <c r="F19" s="43" t="inlineStr"/>
    </row>
    <row r="20" ht="13" customHeight="1">
      <c r="A20" s="33" t="inlineStr">
        <is>
          <t>67</t>
        </is>
      </c>
      <c r="B20" s="33" t="inlineStr">
        <is>
          <t>21911</t>
        </is>
      </c>
      <c r="C20" s="33" t="inlineStr">
        <is>
          <t>21911</t>
        </is>
      </c>
      <c r="D20" s="33" t="inlineStr">
        <is>
          <t>—</t>
        </is>
      </c>
      <c r="E20" s="33" t="inlineStr">
        <is>
          <t>STRONG</t>
        </is>
      </c>
      <c r="F20" s="33" t="inlineStr">
        <is>
          <t>strong BP of 66 · turnover×alignment</t>
        </is>
      </c>
    </row>
    <row r="21" ht="13" customHeight="1">
      <c r="A21" s="33" t="inlineStr">
        <is>
          <t>71</t>
        </is>
      </c>
      <c r="B21" s="33" t="inlineStr">
        <is>
          <t>35050</t>
        </is>
      </c>
      <c r="C21" s="33" t="inlineStr">
        <is>
          <t>2×5×5×701</t>
        </is>
      </c>
      <c r="D21" s="33" t="inlineStr">
        <is>
          <t>2·5</t>
        </is>
      </c>
      <c r="E21" s="33" t="inlineStr">
        <is>
          <t>STRONG</t>
        </is>
      </c>
      <c r="F21" s="33" t="inlineStr">
        <is>
          <t>strong BP of 70 · three non-3 bus primes</t>
        </is>
      </c>
    </row>
    <row r="22" ht="13" customHeight="1">
      <c r="A22" s="33" t="inlineStr">
        <is>
          <t>73</t>
        </is>
      </c>
      <c r="B22" s="33" t="inlineStr">
        <is>
          <t>22922</t>
        </is>
      </c>
      <c r="C22" s="33" t="inlineStr">
        <is>
          <t>2×73×157</t>
        </is>
      </c>
      <c r="D22" s="33" t="inlineStr">
        <is>
          <t>2</t>
        </is>
      </c>
      <c r="E22" s="33" t="inlineStr">
        <is>
          <t>STRONG</t>
        </is>
      </c>
      <c r="F22" s="33" t="inlineStr">
        <is>
          <t>strong BP of 72 · ceiling×target</t>
        </is>
      </c>
    </row>
    <row r="23" ht="13" customHeight="1">
      <c r="A23" s="35" t="inlineStr">
        <is>
          <t>79</t>
        </is>
      </c>
      <c r="B23" s="35" t="inlineStr">
        <is>
          <t>37527</t>
        </is>
      </c>
      <c r="C23" s="35" t="inlineStr">
        <is>
          <t>3×7×1787</t>
        </is>
      </c>
      <c r="D23" s="35" t="inlineStr">
        <is>
          <t>3·7</t>
        </is>
      </c>
      <c r="E23" s="35" t="inlineStr">
        <is>
          <t>WEAK</t>
        </is>
      </c>
      <c r="F23" s="35" t="inlineStr">
        <is>
          <t>EM precision bridge · 108−28−1 · lotus−BCS−gen</t>
        </is>
      </c>
    </row>
    <row r="24" ht="13" customHeight="1">
      <c r="A24" s="37" t="inlineStr">
        <is>
          <t>83</t>
        </is>
      </c>
      <c r="B24" s="37" t="inlineStr">
        <is>
          <t>32174</t>
        </is>
      </c>
      <c r="C24" s="37" t="inlineStr">
        <is>
          <t>2×16087</t>
        </is>
      </c>
      <c r="D24" s="37" t="inlineStr">
        <is>
          <t>2</t>
        </is>
      </c>
      <c r="E24" s="37" t="inlineStr"/>
      <c r="F24" s="37" t="inlineStr">
        <is>
          <t>half-group chain · 41→83 · lower BP of 84</t>
        </is>
      </c>
    </row>
    <row r="25" ht="13" customHeight="1">
      <c r="A25" s="37" t="inlineStr">
        <is>
          <t>89</t>
        </is>
      </c>
      <c r="B25" s="37" t="inlineStr">
        <is>
          <t>595</t>
        </is>
      </c>
      <c r="C25" s="37" t="inlineStr">
        <is>
          <t>5×7×17</t>
        </is>
      </c>
      <c r="D25" s="37" t="inlineStr">
        <is>
          <t>5·7·17</t>
        </is>
      </c>
      <c r="E25" s="37" t="inlineStr"/>
      <c r="F25" s="37" t="inlineStr">
        <is>
          <t>×4 exceptional BP of 90 · 6675=3×5²×89 · 89=81+8</t>
        </is>
      </c>
    </row>
    <row r="26" ht="13" customHeight="1">
      <c r="A26" s="45" t="inlineStr">
        <is>
          <t>97</t>
        </is>
      </c>
      <c r="B26" s="45" t="inlineStr">
        <is>
          <t>17110</t>
        </is>
      </c>
      <c r="C26" s="45" t="inlineStr">
        <is>
          <t>2×5×29×59</t>
        </is>
      </c>
      <c r="D26" s="45" t="inlineStr">
        <is>
          <t>2·5</t>
        </is>
      </c>
      <c r="E26" s="45" t="inlineStr"/>
      <c r="F26" s="45" t="inlineStr"/>
    </row>
    <row r="27" ht="13" customHeight="1">
      <c r="A27" s="49" t="inlineStr">
        <is>
          <t>101</t>
        </is>
      </c>
      <c r="B27" s="49" t="inlineStr">
        <is>
          <t>34915</t>
        </is>
      </c>
      <c r="C27" s="49" t="inlineStr">
        <is>
          <t>5×6983</t>
        </is>
      </c>
      <c r="D27" s="49" t="inlineStr">
        <is>
          <t>5</t>
        </is>
      </c>
      <c r="E27" s="49" t="inlineStr"/>
      <c r="F27" s="49" t="inlineStr"/>
    </row>
    <row r="28" ht="13" customHeight="1">
      <c r="A28" s="45" t="inlineStr">
        <is>
          <t>103</t>
        </is>
      </c>
      <c r="B28" s="45" t="inlineStr">
        <is>
          <t>23317</t>
        </is>
      </c>
      <c r="C28" s="45" t="inlineStr">
        <is>
          <t>7×3331</t>
        </is>
      </c>
      <c r="D28" s="45" t="inlineStr">
        <is>
          <t>7</t>
        </is>
      </c>
      <c r="E28" s="45" t="inlineStr"/>
      <c r="F28" s="45" t="inlineStr"/>
    </row>
    <row r="29" ht="13" customHeight="1">
      <c r="A29" s="37" t="inlineStr">
        <is>
          <t>107</t>
        </is>
      </c>
      <c r="B29" s="37" t="inlineStr">
        <is>
          <t>19058</t>
        </is>
      </c>
      <c r="C29" s="37" t="inlineStr">
        <is>
          <t>2×13×733</t>
        </is>
      </c>
      <c r="D29" s="37" t="inlineStr">
        <is>
          <t>2·13</t>
        </is>
      </c>
      <c r="E29" s="37" t="inlineStr"/>
      <c r="F29" s="37" t="inlineStr">
        <is>
          <t>half-group lower BP of 108 (lotus) · retains 53</t>
        </is>
      </c>
    </row>
    <row r="30" ht="13" customHeight="1">
      <c r="A30" s="33" t="inlineStr">
        <is>
          <t>109</t>
        </is>
      </c>
      <c r="B30" s="33" t="inlineStr">
        <is>
          <t>35360</t>
        </is>
      </c>
      <c r="C30" s="33" t="inlineStr">
        <is>
          <t>2×2×2×2×2×5×13×17</t>
        </is>
      </c>
      <c r="D30" s="33" t="inlineStr">
        <is>
          <t>2·5·13·17</t>
        </is>
      </c>
      <c r="E30" s="33" t="inlineStr">
        <is>
          <t>STRONG</t>
        </is>
      </c>
      <c r="F30" s="33" t="inlineStr">
        <is>
          <t>lotus prime · strong BP of 108 · sandwich 108←109→110</t>
        </is>
      </c>
    </row>
    <row r="31" ht="13" customHeight="1">
      <c r="A31" s="35" t="inlineStr">
        <is>
          <t>113</t>
        </is>
      </c>
      <c r="B31" s="35" t="inlineStr">
        <is>
          <t>33865</t>
        </is>
      </c>
      <c r="C31" s="35" t="inlineStr">
        <is>
          <t>5×13×521</t>
        </is>
      </c>
      <c r="D31" s="35" t="inlineStr">
        <is>
          <t>5·13</t>
        </is>
      </c>
      <c r="E31" s="35" t="inlineStr">
        <is>
          <t>WEAK</t>
        </is>
      </c>
      <c r="F31" s="35" t="inlineStr">
        <is>
          <t>secondary alignment · PSL(2,7) via 9×113 · weak BP of 112</t>
        </is>
      </c>
    </row>
    <row r="32" ht="13" customHeight="1">
      <c r="A32" s="41" t="inlineStr">
        <is>
          <t>127</t>
        </is>
      </c>
      <c r="B32" s="41" t="inlineStr">
        <is>
          <t>30537</t>
        </is>
      </c>
      <c r="C32" s="41" t="inlineStr">
        <is>
          <t>3×3×3×3×13×29</t>
        </is>
      </c>
      <c r="D32" s="41" t="inlineStr">
        <is>
          <t>3·13</t>
        </is>
      </c>
      <c r="E32" s="41" t="inlineStr"/>
      <c r="F32" s="41" t="inlineStr"/>
    </row>
    <row r="33" ht="13" customHeight="1">
      <c r="A33" s="37" t="inlineStr">
        <is>
          <t>131</t>
        </is>
      </c>
      <c r="B33" s="37" t="inlineStr">
        <is>
          <t>4862</t>
        </is>
      </c>
      <c r="C33" s="37" t="inlineStr">
        <is>
          <t>2×11×13×17</t>
        </is>
      </c>
      <c r="D33" s="37" t="inlineStr">
        <is>
          <t>2·11·13·17</t>
        </is>
      </c>
      <c r="E33" s="37" t="inlineStr"/>
      <c r="F33" s="37" t="inlineStr">
        <is>
          <t>half-group lower BP of 132=12×11</t>
        </is>
      </c>
    </row>
    <row r="34" ht="13" customHeight="1">
      <c r="A34" s="27" t="inlineStr">
        <is>
          <t>137</t>
        </is>
      </c>
      <c r="B34" s="27" t="inlineStr">
        <is>
          <t>9027</t>
        </is>
      </c>
      <c r="C34" s="27" t="inlineStr">
        <is>
          <t>3×3×17×59</t>
        </is>
      </c>
      <c r="D34" s="27" t="inlineStr">
        <is>
          <t>3·17</t>
        </is>
      </c>
      <c r="E34" s="27" t="inlineStr"/>
      <c r="F34" s="27" t="inlineStr">
        <is>
          <t>α-floor · rec10(9027) · EM coupling integer floor</t>
        </is>
      </c>
    </row>
    <row r="35" ht="13" customHeight="1">
      <c r="A35" s="49" t="inlineStr">
        <is>
          <t>139</t>
        </is>
      </c>
      <c r="B35" s="49" t="inlineStr">
        <is>
          <t>4695</t>
        </is>
      </c>
      <c r="C35" s="49" t="inlineStr">
        <is>
          <t>3×5×313</t>
        </is>
      </c>
      <c r="D35" s="49" t="inlineStr">
        <is>
          <t>3·5</t>
        </is>
      </c>
      <c r="E35" s="49" t="inlineStr"/>
      <c r="F35" s="49" t="inlineStr"/>
    </row>
    <row r="36" ht="13" customHeight="1">
      <c r="A36" s="45" t="inlineStr">
        <is>
          <t>149</t>
        </is>
      </c>
      <c r="B36" s="45" t="inlineStr">
        <is>
          <t>14194</t>
        </is>
      </c>
      <c r="C36" s="45" t="inlineStr">
        <is>
          <t>2×47×151</t>
        </is>
      </c>
      <c r="D36" s="45" t="inlineStr">
        <is>
          <t>2</t>
        </is>
      </c>
      <c r="E36" s="45" t="inlineStr"/>
      <c r="F36" s="45" t="inlineStr"/>
    </row>
    <row r="37" ht="13" customHeight="1">
      <c r="A37" s="41" t="inlineStr">
        <is>
          <t>151</t>
        </is>
      </c>
      <c r="B37" s="41" t="inlineStr">
        <is>
          <t>23800</t>
        </is>
      </c>
      <c r="C37" s="41" t="inlineStr">
        <is>
          <t>2×2×2×5×5×7×17</t>
        </is>
      </c>
      <c r="D37" s="41" t="inlineStr">
        <is>
          <t>2·5·7·17</t>
        </is>
      </c>
      <c r="E37" s="41" t="inlineStr"/>
      <c r="F37" s="41" t="inlineStr"/>
    </row>
    <row r="38" ht="13" customHeight="1">
      <c r="A38" s="35" t="inlineStr">
        <is>
          <t>157</t>
        </is>
      </c>
      <c r="B38" s="35" t="inlineStr">
        <is>
          <t>42435</t>
        </is>
      </c>
      <c r="C38" s="35" t="inlineStr">
        <is>
          <t>3×3×5×23×41</t>
        </is>
      </c>
      <c r="D38" s="35" t="inlineStr">
        <is>
          <t>3·5</t>
        </is>
      </c>
      <c r="E38" s="35" t="inlineStr">
        <is>
          <t>WEAK</t>
        </is>
      </c>
      <c r="F38" s="35" t="inlineStr">
        <is>
          <t>weak BP of 156 · E8-angular×E8-prime</t>
        </is>
      </c>
    </row>
    <row r="39" ht="13" customHeight="1">
      <c r="A39" s="49" t="inlineStr">
        <is>
          <t>163</t>
        </is>
      </c>
      <c r="B39" s="49" t="inlineStr">
        <is>
          <t>5894</t>
        </is>
      </c>
      <c r="C39" s="49" t="inlineStr">
        <is>
          <t>2×7×421</t>
        </is>
      </c>
      <c r="D39" s="49" t="inlineStr">
        <is>
          <t>2·7</t>
        </is>
      </c>
      <c r="E39" s="49" t="inlineStr"/>
      <c r="F39" s="49" t="inlineStr"/>
    </row>
    <row r="40" ht="13" customHeight="1">
      <c r="A40" s="37" t="inlineStr">
        <is>
          <t>167</t>
        </is>
      </c>
      <c r="B40" s="37" t="inlineStr">
        <is>
          <t>38515</t>
        </is>
      </c>
      <c r="C40" s="37" t="inlineStr">
        <is>
          <t>5×7703</t>
        </is>
      </c>
      <c r="D40" s="37" t="inlineStr">
        <is>
          <t>5</t>
        </is>
      </c>
      <c r="E40" s="37" t="inlineStr"/>
      <c r="F40" s="37" t="inlineStr">
        <is>
          <t>half-group chain end · lower BP of 168=|PSL(2,7)|</t>
        </is>
      </c>
    </row>
    <row r="41" ht="13" customHeight="1">
      <c r="A41" s="37" t="inlineStr">
        <is>
          <t>173</t>
        </is>
      </c>
      <c r="B41" s="37" t="inlineStr">
        <is>
          <t>8958</t>
        </is>
      </c>
      <c r="C41" s="37" t="inlineStr">
        <is>
          <t>2×3×1493</t>
        </is>
      </c>
      <c r="D41" s="37" t="inlineStr">
        <is>
          <t>2·3</t>
        </is>
      </c>
      <c r="E41" s="37" t="inlineStr"/>
      <c r="F41" s="37" t="inlineStr">
        <is>
          <t>173=137+36=α_floor+ring² · in ring step 31486</t>
        </is>
      </c>
    </row>
    <row r="42" ht="13" customHeight="1">
      <c r="A42" s="37" t="inlineStr">
        <is>
          <t>179</t>
        </is>
      </c>
      <c r="B42" s="37" t="inlineStr">
        <is>
          <t>28247</t>
        </is>
      </c>
      <c r="C42" s="37" t="inlineStr">
        <is>
          <t>47×601</t>
        </is>
      </c>
      <c r="D42" s="37" t="inlineStr">
        <is>
          <t>—</t>
        </is>
      </c>
      <c r="E42" s="37" t="inlineStr"/>
      <c r="F42" s="37" t="inlineStr">
        <is>
          <t>retained by 359 · rec10(179)=55=5×11 · frontier</t>
        </is>
      </c>
    </row>
    <row r="43" ht="13" customHeight="1">
      <c r="A43" s="49" t="inlineStr">
        <is>
          <t>181</t>
        </is>
      </c>
      <c r="B43" s="49" t="inlineStr">
        <is>
          <t>123</t>
        </is>
      </c>
      <c r="C43" s="49" t="inlineStr">
        <is>
          <t>3×41</t>
        </is>
      </c>
      <c r="D43" s="49" t="inlineStr">
        <is>
          <t>3</t>
        </is>
      </c>
      <c r="E43" s="49" t="inlineStr"/>
      <c r="F43" s="49" t="inlineStr"/>
    </row>
    <row r="44" ht="13" customHeight="1">
      <c r="A44" s="45" t="inlineStr">
        <is>
          <t>191</t>
        </is>
      </c>
      <c r="B44" s="45" t="inlineStr">
        <is>
          <t>28718</t>
        </is>
      </c>
      <c r="C44" s="45" t="inlineStr">
        <is>
          <t>2×83×173</t>
        </is>
      </c>
      <c r="D44" s="45" t="inlineStr">
        <is>
          <t>2</t>
        </is>
      </c>
      <c r="E44" s="45" t="inlineStr"/>
      <c r="F44" s="45" t="inlineStr"/>
    </row>
    <row r="45" ht="13" customHeight="1">
      <c r="A45" s="35" t="inlineStr">
        <is>
          <t>193</t>
        </is>
      </c>
      <c r="B45" s="35" t="inlineStr">
        <is>
          <t>17565</t>
        </is>
      </c>
      <c r="C45" s="35" t="inlineStr">
        <is>
          <t>3×5×1171</t>
        </is>
      </c>
      <c r="D45" s="35" t="inlineStr">
        <is>
          <t>3·5</t>
        </is>
      </c>
      <c r="E45" s="35" t="inlineStr">
        <is>
          <t>WEAK</t>
        </is>
      </c>
      <c r="F45" s="35" t="inlineStr">
        <is>
          <t>weak BP of 192 · binary⁶×3-rail</t>
        </is>
      </c>
    </row>
    <row r="46" ht="13" customHeight="1">
      <c r="A46" s="45" t="inlineStr">
        <is>
          <t>197</t>
        </is>
      </c>
      <c r="B46" s="45" t="inlineStr">
        <is>
          <t>18712</t>
        </is>
      </c>
      <c r="C46" s="45" t="inlineStr">
        <is>
          <t>2×2×2×2339</t>
        </is>
      </c>
      <c r="D46" s="45" t="inlineStr">
        <is>
          <t>2</t>
        </is>
      </c>
      <c r="E46" s="45" t="inlineStr"/>
      <c r="F46" s="45" t="inlineStr"/>
    </row>
    <row r="47" ht="13" customHeight="1">
      <c r="A47" s="49" t="inlineStr">
        <is>
          <t>199</t>
        </is>
      </c>
      <c r="B47" s="49" t="inlineStr">
        <is>
          <t>16869</t>
        </is>
      </c>
      <c r="C47" s="49" t="inlineStr">
        <is>
          <t>3×5623</t>
        </is>
      </c>
      <c r="D47" s="49" t="inlineStr">
        <is>
          <t>3</t>
        </is>
      </c>
      <c r="E47" s="49" t="inlineStr"/>
      <c r="F47" s="49" t="inlineStr"/>
    </row>
    <row r="48" ht="13" customHeight="1">
      <c r="A48" s="35" t="inlineStr">
        <is>
          <t>211</t>
        </is>
      </c>
      <c r="B48" s="35" t="inlineStr">
        <is>
          <t>3658</t>
        </is>
      </c>
      <c r="C48" s="35" t="inlineStr">
        <is>
          <t>2×31×59</t>
        </is>
      </c>
      <c r="D48" s="35" t="inlineStr">
        <is>
          <t>2</t>
        </is>
      </c>
      <c r="E48" s="35" t="inlineStr">
        <is>
          <t>WEAK</t>
        </is>
      </c>
      <c r="F48" s="35" t="inlineStr">
        <is>
          <t>weak BP of 210 · all four bus primes</t>
        </is>
      </c>
    </row>
    <row r="49" ht="13" customHeight="1">
      <c r="A49" s="50" t="inlineStr">
        <is>
          <t>223</t>
        </is>
      </c>
      <c r="B49" s="50" t="inlineStr">
        <is>
          <t>14621</t>
        </is>
      </c>
      <c r="C49" s="50" t="inlineStr">
        <is>
          <t>14621</t>
        </is>
      </c>
      <c r="D49" s="50" t="inlineStr">
        <is>
          <t>—</t>
        </is>
      </c>
      <c r="E49" s="50" t="inlineStr"/>
      <c r="F49" s="50" t="inlineStr"/>
    </row>
    <row r="50" ht="13" customHeight="1">
      <c r="A50" s="51" t="inlineStr">
        <is>
          <t>227</t>
        </is>
      </c>
      <c r="B50" s="51" t="inlineStr">
        <is>
          <t>25308</t>
        </is>
      </c>
      <c r="C50" s="51" t="inlineStr">
        <is>
          <t>2×2×3×3×19×37</t>
        </is>
      </c>
      <c r="D50" s="51" t="inlineStr">
        <is>
          <t>2·3·19</t>
        </is>
      </c>
      <c r="E50" s="51" t="inlineStr"/>
      <c r="F50" s="51" t="inlineStr"/>
    </row>
    <row r="51" ht="13" customHeight="1">
      <c r="A51" s="50" t="inlineStr">
        <is>
          <t>229</t>
        </is>
      </c>
      <c r="B51" s="50" t="inlineStr">
        <is>
          <t>41011</t>
        </is>
      </c>
      <c r="C51" s="50" t="inlineStr">
        <is>
          <t>41011</t>
        </is>
      </c>
      <c r="D51" s="50" t="inlineStr">
        <is>
          <t>—</t>
        </is>
      </c>
      <c r="E51" s="50" t="inlineStr"/>
      <c r="F51" s="50" t="inlineStr"/>
    </row>
    <row r="52" ht="13" customHeight="1">
      <c r="A52" s="45" t="inlineStr">
        <is>
          <t>233</t>
        </is>
      </c>
      <c r="B52" s="45" t="inlineStr">
        <is>
          <t>17453</t>
        </is>
      </c>
      <c r="C52" s="45" t="inlineStr">
        <is>
          <t>31×563</t>
        </is>
      </c>
      <c r="D52" s="45" t="inlineStr">
        <is>
          <t>—</t>
        </is>
      </c>
      <c r="E52" s="45" t="inlineStr"/>
      <c r="F52" s="45" t="inlineStr"/>
    </row>
    <row r="53" ht="13" customHeight="1">
      <c r="A53" s="37" t="inlineStr">
        <is>
          <t>239</t>
        </is>
      </c>
      <c r="B53" s="37" t="inlineStr">
        <is>
          <t>22134</t>
        </is>
      </c>
      <c r="C53" s="37" t="inlineStr">
        <is>
          <t>2×3×7×17×31</t>
        </is>
      </c>
      <c r="D53" s="37" t="inlineStr">
        <is>
          <t>2·3·7·17</t>
        </is>
      </c>
      <c r="E53" s="37" t="inlineStr"/>
      <c r="F53" s="37" t="inlineStr">
        <is>
          <t>lower BP of 240=E8 roots · strips 2-rail</t>
        </is>
      </c>
    </row>
    <row r="54" ht="13" customHeight="1">
      <c r="A54" s="37" t="inlineStr">
        <is>
          <t>241</t>
        </is>
      </c>
      <c r="B54" s="37" t="inlineStr">
        <is>
          <t>36078</t>
        </is>
      </c>
      <c r="C54" s="37" t="inlineStr">
        <is>
          <t>2×3×7×859</t>
        </is>
      </c>
      <c r="D54" s="37" t="inlineStr">
        <is>
          <t>2·3·7</t>
        </is>
      </c>
      <c r="E54" s="37" t="inlineStr"/>
      <c r="F54" s="37" t="inlineStr">
        <is>
          <t>weak BP of 240 · in strong coupling step 16388 · 241=E8_roots+1</t>
        </is>
      </c>
    </row>
    <row r="55" ht="13" customHeight="1">
      <c r="A55" s="50" t="inlineStr">
        <is>
          <t>251</t>
        </is>
      </c>
      <c r="B55" s="50" t="inlineStr">
        <is>
          <t>12197</t>
        </is>
      </c>
      <c r="C55" s="50" t="inlineStr">
        <is>
          <t>12197</t>
        </is>
      </c>
      <c r="D55" s="50" t="inlineStr">
        <is>
          <t>—</t>
        </is>
      </c>
      <c r="E55" s="50" t="inlineStr"/>
      <c r="F55" s="50" t="inlineStr"/>
    </row>
    <row r="56" ht="13" customHeight="1">
      <c r="A56" s="45" t="inlineStr">
        <is>
          <t>257</t>
        </is>
      </c>
      <c r="B56" s="45" t="inlineStr">
        <is>
          <t>2515</t>
        </is>
      </c>
      <c r="C56" s="45" t="inlineStr">
        <is>
          <t>5×503</t>
        </is>
      </c>
      <c r="D56" s="45" t="inlineStr">
        <is>
          <t>5</t>
        </is>
      </c>
      <c r="E56" s="45" t="inlineStr"/>
      <c r="F56" s="45" t="inlineStr"/>
    </row>
    <row r="57" ht="13" customHeight="1">
      <c r="A57" s="49" t="inlineStr">
        <is>
          <t>263</t>
        </is>
      </c>
      <c r="B57" s="49" t="inlineStr">
        <is>
          <t>19629</t>
        </is>
      </c>
      <c r="C57" s="49" t="inlineStr">
        <is>
          <t>3×3×3×727</t>
        </is>
      </c>
      <c r="D57" s="49" t="inlineStr">
        <is>
          <t>3</t>
        </is>
      </c>
      <c r="E57" s="49" t="inlineStr"/>
      <c r="F57" s="49" t="inlineStr"/>
    </row>
    <row r="58" ht="13" customHeight="1">
      <c r="A58" s="45" t="inlineStr">
        <is>
          <t>269</t>
        </is>
      </c>
      <c r="B58" s="45" t="inlineStr">
        <is>
          <t>8652</t>
        </is>
      </c>
      <c r="C58" s="45" t="inlineStr">
        <is>
          <t>2×2×3×7×103</t>
        </is>
      </c>
      <c r="D58" s="45" t="inlineStr">
        <is>
          <t>2·3·7</t>
        </is>
      </c>
      <c r="E58" s="45" t="inlineStr"/>
      <c r="F58" s="45" t="inlineStr"/>
    </row>
    <row r="59" ht="13" customHeight="1">
      <c r="A59" s="35" t="inlineStr">
        <is>
          <t>271</t>
        </is>
      </c>
      <c r="B59" s="35" t="inlineStr">
        <is>
          <t>29812</t>
        </is>
      </c>
      <c r="C59" s="35" t="inlineStr">
        <is>
          <t>2×2×29×257</t>
        </is>
      </c>
      <c r="D59" s="35" t="inlineStr">
        <is>
          <t>2</t>
        </is>
      </c>
      <c r="E59" s="35" t="inlineStr">
        <is>
          <t>WEAK</t>
        </is>
      </c>
      <c r="F59" s="35" t="inlineStr">
        <is>
          <t>weak BP of 270</t>
        </is>
      </c>
    </row>
    <row r="60" ht="13" customHeight="1">
      <c r="A60" s="45" t="inlineStr">
        <is>
          <t>277</t>
        </is>
      </c>
      <c r="B60" s="45" t="inlineStr">
        <is>
          <t>32907</t>
        </is>
      </c>
      <c r="C60" s="45" t="inlineStr">
        <is>
          <t>3×7×1567</t>
        </is>
      </c>
      <c r="D60" s="45" t="inlineStr">
        <is>
          <t>3·7</t>
        </is>
      </c>
      <c r="E60" s="45" t="inlineStr"/>
      <c r="F60" s="45" t="inlineStr"/>
    </row>
    <row r="61" ht="13" customHeight="1">
      <c r="A61" s="49" t="inlineStr">
        <is>
          <t>281</t>
        </is>
      </c>
      <c r="B61" s="49" t="inlineStr">
        <is>
          <t>22915</t>
        </is>
      </c>
      <c r="C61" s="49" t="inlineStr">
        <is>
          <t>5×4583</t>
        </is>
      </c>
      <c r="D61" s="49" t="inlineStr">
        <is>
          <t>5</t>
        </is>
      </c>
      <c r="E61" s="49" t="inlineStr"/>
      <c r="F61" s="49" t="inlineStr"/>
    </row>
    <row r="62" ht="13" customHeight="1">
      <c r="A62" s="51" t="inlineStr">
        <is>
          <t>283</t>
        </is>
      </c>
      <c r="B62" s="51" t="inlineStr">
        <is>
          <t>3306</t>
        </is>
      </c>
      <c r="C62" s="51" t="inlineStr">
        <is>
          <t>2×3×19×29</t>
        </is>
      </c>
      <c r="D62" s="51" t="inlineStr">
        <is>
          <t>2·3·19</t>
        </is>
      </c>
      <c r="E62" s="51" t="inlineStr"/>
      <c r="F62" s="51" t="inlineStr"/>
    </row>
    <row r="63" ht="13" customHeight="1">
      <c r="A63" s="49" t="inlineStr">
        <is>
          <t>293</t>
        </is>
      </c>
      <c r="B63" s="49" t="inlineStr">
        <is>
          <t>19366</t>
        </is>
      </c>
      <c r="C63" s="49" t="inlineStr">
        <is>
          <t>2×23×421</t>
        </is>
      </c>
      <c r="D63" s="49" t="inlineStr">
        <is>
          <t>2</t>
        </is>
      </c>
      <c r="E63" s="49" t="inlineStr"/>
      <c r="F63" s="49" t="inlineStr"/>
    </row>
    <row r="64" ht="13" customHeight="1">
      <c r="A64" s="45" t="inlineStr">
        <is>
          <t>307</t>
        </is>
      </c>
      <c r="B64" s="45" t="inlineStr">
        <is>
          <t>16714</t>
        </is>
      </c>
      <c r="C64" s="45" t="inlineStr">
        <is>
          <t>2×61×137</t>
        </is>
      </c>
      <c r="D64" s="45" t="inlineStr">
        <is>
          <t>2</t>
        </is>
      </c>
      <c r="E64" s="45" t="inlineStr"/>
      <c r="F64" s="45" t="inlineStr"/>
    </row>
    <row r="65" ht="13" customHeight="1">
      <c r="A65" s="49" t="inlineStr">
        <is>
          <t>311</t>
        </is>
      </c>
      <c r="B65" s="49" t="inlineStr">
        <is>
          <t>7167</t>
        </is>
      </c>
      <c r="C65" s="49" t="inlineStr">
        <is>
          <t>3×2389</t>
        </is>
      </c>
      <c r="D65" s="49" t="inlineStr">
        <is>
          <t>3</t>
        </is>
      </c>
      <c r="E65" s="49" t="inlineStr"/>
      <c r="F65" s="49" t="inlineStr"/>
    </row>
    <row r="66" ht="13" customHeight="1">
      <c r="A66" s="45" t="inlineStr">
        <is>
          <t>313</t>
        </is>
      </c>
      <c r="B66" s="45" t="inlineStr">
        <is>
          <t>18196</t>
        </is>
      </c>
      <c r="C66" s="45" t="inlineStr">
        <is>
          <t>2×2×4549</t>
        </is>
      </c>
      <c r="D66" s="45" t="inlineStr">
        <is>
          <t>2</t>
        </is>
      </c>
      <c r="E66" s="45" t="inlineStr"/>
      <c r="F66" s="45" t="inlineStr"/>
    </row>
    <row r="67" ht="13" customHeight="1">
      <c r="A67" s="37" t="inlineStr">
        <is>
          <t>317</t>
        </is>
      </c>
      <c r="B67" s="37" t="inlineStr">
        <is>
          <t>10986</t>
        </is>
      </c>
      <c r="C67" s="37" t="inlineStr">
        <is>
          <t>2×3×1831</t>
        </is>
      </c>
      <c r="D67" s="37" t="inlineStr">
        <is>
          <t>2·3</t>
        </is>
      </c>
      <c r="E67" s="37" t="inlineStr"/>
      <c r="F67" s="37" t="inlineStr">
        <is>
          <t>ord=79 · rev10(317)=5×19×137 · EM precision carrier</t>
        </is>
      </c>
    </row>
    <row r="68" ht="13" customHeight="1">
      <c r="A68" s="33" t="inlineStr">
        <is>
          <t>331</t>
        </is>
      </c>
      <c r="B68" s="33" t="inlineStr">
        <is>
          <t>2322</t>
        </is>
      </c>
      <c r="C68" s="33" t="inlineStr">
        <is>
          <t>2×3×3×3×43</t>
        </is>
      </c>
      <c r="D68" s="33" t="inlineStr">
        <is>
          <t>2·3</t>
        </is>
      </c>
      <c r="E68" s="33" t="inlineStr">
        <is>
          <t>STRONG</t>
        </is>
      </c>
      <c r="F68" s="33" t="inlineStr">
        <is>
          <t>strong BP of 330 · bus×alignment</t>
        </is>
      </c>
    </row>
    <row r="69" ht="13" customHeight="1">
      <c r="A69" s="49" t="inlineStr">
        <is>
          <t>337</t>
        </is>
      </c>
      <c r="B69" s="49" t="inlineStr">
        <is>
          <t>27568</t>
        </is>
      </c>
      <c r="C69" s="49" t="inlineStr">
        <is>
          <t>2×2×2×2×1723</t>
        </is>
      </c>
      <c r="D69" s="49" t="inlineStr">
        <is>
          <t>2</t>
        </is>
      </c>
      <c r="E69" s="49" t="inlineStr"/>
      <c r="F69" s="49" t="inlineStr"/>
    </row>
    <row r="70" ht="13" customHeight="1">
      <c r="A70" s="50" t="inlineStr">
        <is>
          <t>347</t>
        </is>
      </c>
      <c r="B70" s="50" t="inlineStr">
        <is>
          <t>1543</t>
        </is>
      </c>
      <c r="C70" s="50" t="inlineStr">
        <is>
          <t>1543</t>
        </is>
      </c>
      <c r="D70" s="50" t="inlineStr">
        <is>
          <t>—</t>
        </is>
      </c>
      <c r="E70" s="50" t="inlineStr"/>
      <c r="F70" s="50" t="inlineStr"/>
    </row>
    <row r="71" ht="13" customHeight="1">
      <c r="A71" s="49" t="inlineStr">
        <is>
          <t>349</t>
        </is>
      </c>
      <c r="B71" s="49" t="inlineStr">
        <is>
          <t>7626</t>
        </is>
      </c>
      <c r="C71" s="49" t="inlineStr">
        <is>
          <t>2×3×31×41</t>
        </is>
      </c>
      <c r="D71" s="49" t="inlineStr">
        <is>
          <t>2·3</t>
        </is>
      </c>
      <c r="E71" s="49" t="inlineStr"/>
      <c r="F71" s="49" t="inlineStr"/>
    </row>
    <row r="72" ht="13" customHeight="1">
      <c r="A72" s="50" t="inlineStr">
        <is>
          <t>353</t>
        </is>
      </c>
      <c r="B72" s="50" t="inlineStr">
        <is>
          <t>19421</t>
        </is>
      </c>
      <c r="C72" s="50" t="inlineStr">
        <is>
          <t>19421</t>
        </is>
      </c>
      <c r="D72" s="50" t="inlineStr">
        <is>
          <t>—</t>
        </is>
      </c>
      <c r="E72" s="50" t="inlineStr"/>
      <c r="F72" s="50" t="inlineStr"/>
    </row>
    <row r="73" ht="13" customHeight="1">
      <c r="A73" s="37" t="inlineStr">
        <is>
          <t>359</t>
        </is>
      </c>
      <c r="B73" s="37" t="inlineStr">
        <is>
          <t>40068</t>
        </is>
      </c>
      <c r="C73" s="37" t="inlineStr">
        <is>
          <t>2×2×3×3×3×7×53</t>
        </is>
      </c>
      <c r="D73" s="37" t="inlineStr">
        <is>
          <t>2·3·7</t>
        </is>
      </c>
      <c r="E73" s="37" t="inlineStr"/>
      <c r="F73" s="37" t="inlineStr">
        <is>
          <t>lower BP of 360=full rotation · retains 179</t>
        </is>
      </c>
    </row>
    <row r="74" ht="13" customHeight="1">
      <c r="A74" s="43" t="inlineStr">
        <is>
          <t>367</t>
        </is>
      </c>
      <c r="B74" s="43" t="inlineStr">
        <is>
          <t>24750</t>
        </is>
      </c>
      <c r="C74" s="43" t="inlineStr">
        <is>
          <t>2×3×3×5×5×5×11</t>
        </is>
      </c>
      <c r="D74" s="43" t="inlineStr">
        <is>
          <t>2·3·5·11</t>
        </is>
      </c>
      <c r="E74" s="43" t="inlineStr"/>
      <c r="F74" s="43" t="inlineStr"/>
    </row>
    <row r="75" ht="13" customHeight="1">
      <c r="A75" s="43" t="inlineStr">
        <is>
          <t>373</t>
        </is>
      </c>
      <c r="B75" s="43" t="inlineStr">
        <is>
          <t>21604</t>
        </is>
      </c>
      <c r="C75" s="43" t="inlineStr">
        <is>
          <t>2×2×11×491</t>
        </is>
      </c>
      <c r="D75" s="43" t="inlineStr">
        <is>
          <t>2·11</t>
        </is>
      </c>
      <c r="E75" s="43" t="inlineStr"/>
      <c r="F75" s="43" t="inlineStr"/>
    </row>
    <row r="76" ht="13" customHeight="1">
      <c r="A76" s="41" t="inlineStr">
        <is>
          <t>379</t>
        </is>
      </c>
      <c r="B76" s="41" t="inlineStr">
        <is>
          <t>28925</t>
        </is>
      </c>
      <c r="C76" s="41" t="inlineStr">
        <is>
          <t>5×5×13×89</t>
        </is>
      </c>
      <c r="D76" s="41" t="inlineStr">
        <is>
          <t>5·13</t>
        </is>
      </c>
      <c r="E76" s="41" t="inlineStr"/>
      <c r="F76" s="41" t="inlineStr"/>
    </row>
    <row r="77" ht="13" customHeight="1">
      <c r="A77" s="49" t="inlineStr">
        <is>
          <t>383</t>
        </is>
      </c>
      <c r="B77" s="49" t="inlineStr">
        <is>
          <t>34251</t>
        </is>
      </c>
      <c r="C77" s="49" t="inlineStr">
        <is>
          <t>3×7×7×233</t>
        </is>
      </c>
      <c r="D77" s="49" t="inlineStr">
        <is>
          <t>3·7</t>
        </is>
      </c>
      <c r="E77" s="49" t="inlineStr"/>
      <c r="F77" s="49" t="inlineStr"/>
    </row>
    <row r="78" ht="13" customHeight="1">
      <c r="A78" s="45" t="inlineStr">
        <is>
          <t>389</t>
        </is>
      </c>
      <c r="B78" s="45" t="inlineStr">
        <is>
          <t>15032</t>
        </is>
      </c>
      <c r="C78" s="45" t="inlineStr">
        <is>
          <t>2×2×2×1879</t>
        </is>
      </c>
      <c r="D78" s="45" t="inlineStr">
        <is>
          <t>2</t>
        </is>
      </c>
      <c r="E78" s="45" t="inlineStr"/>
      <c r="F78" s="45" t="inlineStr"/>
    </row>
    <row r="79" ht="13" customHeight="1">
      <c r="A79" s="49" t="inlineStr">
        <is>
          <t>397</t>
        </is>
      </c>
      <c r="B79" s="49" t="inlineStr">
        <is>
          <t>41388</t>
        </is>
      </c>
      <c r="C79" s="49" t="inlineStr">
        <is>
          <t>2×2×3×3449</t>
        </is>
      </c>
      <c r="D79" s="49" t="inlineStr">
        <is>
          <t>2·3</t>
        </is>
      </c>
      <c r="E79" s="49" t="inlineStr"/>
      <c r="F79" s="49" t="inlineStr"/>
    </row>
    <row r="80" ht="13" customHeight="1">
      <c r="A80" s="50" t="inlineStr">
        <is>
          <t>401</t>
        </is>
      </c>
      <c r="B80" s="50" t="inlineStr">
        <is>
          <t>35149</t>
        </is>
      </c>
      <c r="C80" s="50" t="inlineStr">
        <is>
          <t>35149</t>
        </is>
      </c>
      <c r="D80" s="50" t="inlineStr">
        <is>
          <t>—</t>
        </is>
      </c>
      <c r="E80" s="50" t="inlineStr"/>
      <c r="F80" s="50" t="inlineStr"/>
    </row>
    <row r="81" ht="13" customHeight="1">
      <c r="A81" s="49" t="inlineStr">
        <is>
          <t>409</t>
        </is>
      </c>
      <c r="B81" s="49" t="inlineStr">
        <is>
          <t>3832</t>
        </is>
      </c>
      <c r="C81" s="49" t="inlineStr">
        <is>
          <t>2×2×2×479</t>
        </is>
      </c>
      <c r="D81" s="49" t="inlineStr">
        <is>
          <t>2</t>
        </is>
      </c>
      <c r="E81" s="49" t="inlineStr"/>
      <c r="F81" s="49" t="inlineStr"/>
    </row>
    <row r="82" ht="13" customHeight="1">
      <c r="A82" s="50" t="inlineStr">
        <is>
          <t>419</t>
        </is>
      </c>
      <c r="B82" s="50" t="inlineStr">
        <is>
          <t>10973</t>
        </is>
      </c>
      <c r="C82" s="50" t="inlineStr">
        <is>
          <t>10973</t>
        </is>
      </c>
      <c r="D82" s="50" t="inlineStr">
        <is>
          <t>—</t>
        </is>
      </c>
      <c r="E82" s="50" t="inlineStr"/>
      <c r="F82" s="50" t="inlineStr"/>
    </row>
    <row r="83" ht="13" customHeight="1">
      <c r="A83" s="35" t="inlineStr">
        <is>
          <t>421</t>
        </is>
      </c>
      <c r="B83" s="35" t="inlineStr">
        <is>
          <t>10310</t>
        </is>
      </c>
      <c r="C83" s="35" t="inlineStr">
        <is>
          <t>2×5×1031</t>
        </is>
      </c>
      <c r="D83" s="35" t="inlineStr">
        <is>
          <t>2·5</t>
        </is>
      </c>
      <c r="E83" s="35" t="inlineStr">
        <is>
          <t>WEAK</t>
        </is>
      </c>
      <c r="F83" s="35" t="inlineStr">
        <is>
          <t>weak BP of 420 · faces×odd bus</t>
        </is>
      </c>
    </row>
    <row r="84" ht="13" customHeight="1">
      <c r="A84" s="45" t="inlineStr">
        <is>
          <t>431</t>
        </is>
      </c>
      <c r="B84" s="45" t="inlineStr">
        <is>
          <t>20365</t>
        </is>
      </c>
      <c r="C84" s="45" t="inlineStr">
        <is>
          <t>5×4073</t>
        </is>
      </c>
      <c r="D84" s="45" t="inlineStr">
        <is>
          <t>5</t>
        </is>
      </c>
      <c r="E84" s="45" t="inlineStr"/>
      <c r="F84" s="45" t="inlineStr"/>
    </row>
    <row r="85" ht="13" customHeight="1">
      <c r="A85" s="35" t="inlineStr">
        <is>
          <t>433</t>
        </is>
      </c>
      <c r="B85" s="35" t="inlineStr">
        <is>
          <t>12152</t>
        </is>
      </c>
      <c r="C85" s="35" t="inlineStr">
        <is>
          <t>2×2×2×7×7×31</t>
        </is>
      </c>
      <c r="D85" s="35" t="inlineStr">
        <is>
          <t>2·7</t>
        </is>
      </c>
      <c r="E85" s="35" t="inlineStr">
        <is>
          <t>WEAK</t>
        </is>
      </c>
      <c r="F85" s="35" t="inlineStr">
        <is>
          <t>weak BP of 432 · EW×lotus · strips 2-rail</t>
        </is>
      </c>
    </row>
    <row r="86" ht="13" customHeight="1">
      <c r="A86" s="45" t="inlineStr">
        <is>
          <t>439</t>
        </is>
      </c>
      <c r="B86" s="45" t="inlineStr">
        <is>
          <t>15386</t>
        </is>
      </c>
      <c r="C86" s="45" t="inlineStr">
        <is>
          <t>2×7×7×157</t>
        </is>
      </c>
      <c r="D86" s="45" t="inlineStr">
        <is>
          <t>2·7</t>
        </is>
      </c>
      <c r="E86" s="45" t="inlineStr"/>
      <c r="F86" s="45" t="inlineStr"/>
    </row>
    <row r="87" ht="13" customHeight="1">
      <c r="A87" s="49" t="inlineStr">
        <is>
          <t>443</t>
        </is>
      </c>
      <c r="B87" s="49" t="inlineStr">
        <is>
          <t>19216</t>
        </is>
      </c>
      <c r="C87" s="49" t="inlineStr">
        <is>
          <t>2×2×2×2×1201</t>
        </is>
      </c>
      <c r="D87" s="49" t="inlineStr">
        <is>
          <t>2</t>
        </is>
      </c>
      <c r="E87" s="49" t="inlineStr"/>
      <c r="F87" s="49" t="inlineStr"/>
    </row>
    <row r="88" ht="13" customHeight="1">
      <c r="A88" s="45" t="inlineStr">
        <is>
          <t>449</t>
        </is>
      </c>
      <c r="B88" s="45" t="inlineStr">
        <is>
          <t>40466</t>
        </is>
      </c>
      <c r="C88" s="45" t="inlineStr">
        <is>
          <t>2×20233</t>
        </is>
      </c>
      <c r="D88" s="45" t="inlineStr">
        <is>
          <t>2</t>
        </is>
      </c>
      <c r="E88" s="45" t="inlineStr"/>
      <c r="F88" s="45" t="inlineStr"/>
    </row>
    <row r="89" ht="13" customHeight="1">
      <c r="A89" s="41" t="inlineStr">
        <is>
          <t>457</t>
        </is>
      </c>
      <c r="B89" s="41" t="inlineStr">
        <is>
          <t>37298</t>
        </is>
      </c>
      <c r="C89" s="41" t="inlineStr">
        <is>
          <t>2×17×1097</t>
        </is>
      </c>
      <c r="D89" s="41" t="inlineStr">
        <is>
          <t>2·17</t>
        </is>
      </c>
      <c r="E89" s="41" t="inlineStr"/>
      <c r="F89" s="41" t="inlineStr"/>
    </row>
    <row r="90" ht="13" customHeight="1">
      <c r="A90" s="45" t="inlineStr">
        <is>
          <t>461</t>
        </is>
      </c>
      <c r="B90" s="45" t="inlineStr">
        <is>
          <t>23824</t>
        </is>
      </c>
      <c r="C90" s="45" t="inlineStr">
        <is>
          <t>2×2×2×2×1489</t>
        </is>
      </c>
      <c r="D90" s="45" t="inlineStr">
        <is>
          <t>2</t>
        </is>
      </c>
      <c r="E90" s="45" t="inlineStr"/>
      <c r="F90" s="45" t="inlineStr"/>
    </row>
    <row r="91" ht="13" customHeight="1">
      <c r="A91" s="49" t="inlineStr">
        <is>
          <t>463</t>
        </is>
      </c>
      <c r="B91" s="49" t="inlineStr">
        <is>
          <t>11828</t>
        </is>
      </c>
      <c r="C91" s="49" t="inlineStr">
        <is>
          <t>2×2×2957</t>
        </is>
      </c>
      <c r="D91" s="49" t="inlineStr">
        <is>
          <t>2</t>
        </is>
      </c>
      <c r="E91" s="49" t="inlineStr"/>
      <c r="F91" s="49" t="inlineStr"/>
    </row>
    <row r="92" ht="13" customHeight="1">
      <c r="A92" s="45" t="inlineStr">
        <is>
          <t>467</t>
        </is>
      </c>
      <c r="B92" s="45" t="inlineStr">
        <is>
          <t>1246</t>
        </is>
      </c>
      <c r="C92" s="45" t="inlineStr">
        <is>
          <t>2×7×89</t>
        </is>
      </c>
      <c r="D92" s="45" t="inlineStr">
        <is>
          <t>2·7</t>
        </is>
      </c>
      <c r="E92" s="45" t="inlineStr"/>
      <c r="F92" s="45" t="inlineStr"/>
    </row>
    <row r="93" ht="13" customHeight="1">
      <c r="A93" s="49" t="inlineStr">
        <is>
          <t>479</t>
        </is>
      </c>
      <c r="B93" s="49" t="inlineStr">
        <is>
          <t>16261</t>
        </is>
      </c>
      <c r="C93" s="49" t="inlineStr">
        <is>
          <t>7×23×101</t>
        </is>
      </c>
      <c r="D93" s="49" t="inlineStr">
        <is>
          <t>7</t>
        </is>
      </c>
      <c r="E93" s="49" t="inlineStr"/>
      <c r="F93" s="49" t="inlineStr"/>
    </row>
    <row r="94" ht="13" customHeight="1">
      <c r="A94" s="51" t="inlineStr">
        <is>
          <t>487</t>
        </is>
      </c>
      <c r="B94" s="51" t="inlineStr">
        <is>
          <t>5567</t>
        </is>
      </c>
      <c r="C94" s="51" t="inlineStr">
        <is>
          <t>19×293</t>
        </is>
      </c>
      <c r="D94" s="51" t="inlineStr">
        <is>
          <t>19</t>
        </is>
      </c>
      <c r="E94" s="51" t="inlineStr"/>
      <c r="F94" s="51" t="inlineStr"/>
    </row>
    <row r="95" ht="13" customHeight="1">
      <c r="A95" s="49" t="inlineStr">
        <is>
          <t>491</t>
        </is>
      </c>
      <c r="B95" s="49" t="inlineStr">
        <is>
          <t>34701</t>
        </is>
      </c>
      <c r="C95" s="49" t="inlineStr">
        <is>
          <t>3×43×269</t>
        </is>
      </c>
      <c r="D95" s="49" t="inlineStr">
        <is>
          <t>3</t>
        </is>
      </c>
      <c r="E95" s="49" t="inlineStr"/>
      <c r="F95" s="49" t="inlineStr"/>
    </row>
    <row r="96" ht="13" customHeight="1">
      <c r="A96" s="45" t="inlineStr">
        <is>
          <t>499</t>
        </is>
      </c>
      <c r="B96" s="45" t="inlineStr">
        <is>
          <t>12866</t>
        </is>
      </c>
      <c r="C96" s="45" t="inlineStr">
        <is>
          <t>2×7×919</t>
        </is>
      </c>
      <c r="D96" s="45" t="inlineStr">
        <is>
          <t>2·7</t>
        </is>
      </c>
      <c r="E96" s="45" t="inlineStr"/>
      <c r="F96" s="45" t="inlineStr"/>
    </row>
    <row r="97" ht="13" customHeight="1">
      <c r="A97" s="49" t="inlineStr">
        <is>
          <t>503</t>
        </is>
      </c>
      <c r="B97" s="49" t="inlineStr">
        <is>
          <t>41408</t>
        </is>
      </c>
      <c r="C97" s="49" t="inlineStr">
        <is>
          <t>2×2×2×2×2×2×647</t>
        </is>
      </c>
      <c r="D97" s="49" t="inlineStr">
        <is>
          <t>2</t>
        </is>
      </c>
      <c r="E97" s="49" t="inlineStr"/>
      <c r="F97" s="49" t="inlineStr"/>
    </row>
    <row r="98" ht="13" customHeight="1">
      <c r="A98" s="51" t="inlineStr">
        <is>
          <t>509</t>
        </is>
      </c>
      <c r="B98" s="51" t="inlineStr">
        <is>
          <t>17879</t>
        </is>
      </c>
      <c r="C98" s="51" t="inlineStr">
        <is>
          <t>19×941</t>
        </is>
      </c>
      <c r="D98" s="51" t="inlineStr">
        <is>
          <t>19</t>
        </is>
      </c>
      <c r="E98" s="51" t="inlineStr"/>
      <c r="F98" s="51" t="inlineStr"/>
    </row>
    <row r="99" ht="13" customHeight="1">
      <c r="A99" s="49" t="inlineStr">
        <is>
          <t>521</t>
        </is>
      </c>
      <c r="B99" s="49" t="inlineStr">
        <is>
          <t>40340</t>
        </is>
      </c>
      <c r="C99" s="49" t="inlineStr">
        <is>
          <t>2×2×5×2017</t>
        </is>
      </c>
      <c r="D99" s="49" t="inlineStr">
        <is>
          <t>2·5</t>
        </is>
      </c>
      <c r="E99" s="49" t="inlineStr"/>
      <c r="F99" s="49" t="inlineStr"/>
    </row>
    <row r="100" ht="13" customHeight="1">
      <c r="A100" s="45" t="inlineStr">
        <is>
          <t>523</t>
        </is>
      </c>
      <c r="B100" s="45" t="inlineStr">
        <is>
          <t>13444</t>
        </is>
      </c>
      <c r="C100" s="45" t="inlineStr">
        <is>
          <t>2×2×3361</t>
        </is>
      </c>
      <c r="D100" s="45" t="inlineStr">
        <is>
          <t>2</t>
        </is>
      </c>
      <c r="E100" s="45" t="inlineStr"/>
      <c r="F100" s="45" t="inlineStr"/>
    </row>
    <row r="101" ht="13" customHeight="1">
      <c r="A101" s="49" t="inlineStr">
        <is>
          <t>541</t>
        </is>
      </c>
      <c r="B101" s="49" t="inlineStr">
        <is>
          <t>29255</t>
        </is>
      </c>
      <c r="C101" s="49" t="inlineStr">
        <is>
          <t>5×5851</t>
        </is>
      </c>
      <c r="D101" s="49" t="inlineStr">
        <is>
          <t>5</t>
        </is>
      </c>
      <c r="E101" s="49" t="inlineStr"/>
      <c r="F101" s="49" t="inlineStr"/>
    </row>
    <row r="102" ht="13" customHeight="1">
      <c r="A102" s="50" t="inlineStr">
        <is>
          <t>547</t>
        </is>
      </c>
      <c r="B102" s="50" t="inlineStr">
        <is>
          <t>5879</t>
        </is>
      </c>
      <c r="C102" s="50" t="inlineStr">
        <is>
          <t>5879</t>
        </is>
      </c>
      <c r="D102" s="50" t="inlineStr">
        <is>
          <t>—</t>
        </is>
      </c>
      <c r="E102" s="50" t="inlineStr"/>
      <c r="F102" s="50" t="inlineStr"/>
    </row>
    <row r="103" ht="13" customHeight="1">
      <c r="A103" s="49" t="inlineStr">
        <is>
          <t>557</t>
        </is>
      </c>
      <c r="B103" s="49" t="inlineStr">
        <is>
          <t>37584</t>
        </is>
      </c>
      <c r="C103" s="49" t="inlineStr">
        <is>
          <t>2×2×2×2×3×3×3×3×29</t>
        </is>
      </c>
      <c r="D103" s="49" t="inlineStr">
        <is>
          <t>2·3</t>
        </is>
      </c>
      <c r="E103" s="49" t="inlineStr"/>
      <c r="F103" s="49" t="inlineStr"/>
    </row>
    <row r="104" ht="13" customHeight="1">
      <c r="A104" s="45" t="inlineStr">
        <is>
          <t>563</t>
        </is>
      </c>
      <c r="B104" s="45" t="inlineStr">
        <is>
          <t>13324</t>
        </is>
      </c>
      <c r="C104" s="45" t="inlineStr">
        <is>
          <t>2×2×3331</t>
        </is>
      </c>
      <c r="D104" s="45" t="inlineStr">
        <is>
          <t>2</t>
        </is>
      </c>
      <c r="E104" s="45" t="inlineStr"/>
      <c r="F104" s="45" t="inlineStr"/>
    </row>
    <row r="105" ht="13" customHeight="1">
      <c r="A105" s="50" t="inlineStr">
        <is>
          <t>569</t>
        </is>
      </c>
      <c r="B105" s="50" t="inlineStr">
        <is>
          <t>23087</t>
        </is>
      </c>
      <c r="C105" s="50" t="inlineStr">
        <is>
          <t>23087</t>
        </is>
      </c>
      <c r="D105" s="50" t="inlineStr">
        <is>
          <t>—</t>
        </is>
      </c>
      <c r="E105" s="50" t="inlineStr"/>
      <c r="F105" s="50" t="inlineStr"/>
    </row>
    <row r="106" ht="13" customHeight="1">
      <c r="A106" s="50" t="inlineStr">
        <is>
          <t>571</t>
        </is>
      </c>
      <c r="B106" s="50" t="inlineStr">
        <is>
          <t>5827</t>
        </is>
      </c>
      <c r="C106" s="50" t="inlineStr">
        <is>
          <t>5827</t>
        </is>
      </c>
      <c r="D106" s="50" t="inlineStr">
        <is>
          <t>—</t>
        </is>
      </c>
      <c r="E106" s="50" t="inlineStr"/>
      <c r="F106" s="50" t="inlineStr"/>
    </row>
    <row r="107" ht="13" customHeight="1">
      <c r="A107" s="41" t="inlineStr">
        <is>
          <t>577</t>
        </is>
      </c>
      <c r="B107" s="41" t="inlineStr">
        <is>
          <t>29665</t>
        </is>
      </c>
      <c r="C107" s="41" t="inlineStr">
        <is>
          <t>5×17×349</t>
        </is>
      </c>
      <c r="D107" s="41" t="inlineStr">
        <is>
          <t>5·17</t>
        </is>
      </c>
      <c r="E107" s="41" t="inlineStr"/>
      <c r="F107" s="41" t="inlineStr"/>
    </row>
    <row r="108" ht="13" customHeight="1">
      <c r="A108" s="50" t="inlineStr">
        <is>
          <t>587</t>
        </is>
      </c>
      <c r="B108" s="50" t="inlineStr">
        <is>
          <t>79</t>
        </is>
      </c>
      <c r="C108" s="50" t="inlineStr">
        <is>
          <t>79</t>
        </is>
      </c>
      <c r="D108" s="50" t="inlineStr">
        <is>
          <t>—</t>
        </is>
      </c>
      <c r="E108" s="50" t="inlineStr"/>
      <c r="F108" s="50" t="inlineStr"/>
    </row>
    <row r="109" ht="13" customHeight="1">
      <c r="A109" s="49" t="inlineStr">
        <is>
          <t>593</t>
        </is>
      </c>
      <c r="B109" s="49" t="inlineStr">
        <is>
          <t>20170</t>
        </is>
      </c>
      <c r="C109" s="49" t="inlineStr">
        <is>
          <t>2×5×2017</t>
        </is>
      </c>
      <c r="D109" s="49" t="inlineStr">
        <is>
          <t>2·5</t>
        </is>
      </c>
      <c r="E109" s="49" t="inlineStr"/>
      <c r="F109" s="49" t="inlineStr"/>
    </row>
    <row r="110" ht="13" customHeight="1">
      <c r="A110" s="45" t="inlineStr">
        <is>
          <t>599</t>
        </is>
      </c>
      <c r="B110" s="45" t="inlineStr">
        <is>
          <t>43689</t>
        </is>
      </c>
      <c r="C110" s="45" t="inlineStr">
        <is>
          <t>3×14563</t>
        </is>
      </c>
      <c r="D110" s="45" t="inlineStr">
        <is>
          <t>3</t>
        </is>
      </c>
      <c r="E110" s="45" t="inlineStr"/>
      <c r="F110" s="45" t="inlineStr"/>
    </row>
    <row r="111" ht="13" customHeight="1">
      <c r="A111" s="37" t="inlineStr">
        <is>
          <t>601</t>
        </is>
      </c>
      <c r="B111" s="37" t="inlineStr">
        <is>
          <t>30510</t>
        </is>
      </c>
      <c r="C111" s="37" t="inlineStr">
        <is>
          <t>2×3×3×3×5×113</t>
        </is>
      </c>
      <c r="D111" s="37" t="inlineStr">
        <is>
          <t>2·3·5</t>
        </is>
      </c>
      <c r="E111" s="37" t="inlineStr"/>
      <c r="F111" s="37" t="inlineStr">
        <is>
          <t>in step 28247=47×601 (step where rec10=179)</t>
        </is>
      </c>
    </row>
    <row r="112" ht="13" customHeight="1">
      <c r="A112" s="41" t="inlineStr">
        <is>
          <t>607</t>
        </is>
      </c>
      <c r="B112" s="41" t="inlineStr">
        <is>
          <t>15878</t>
        </is>
      </c>
      <c r="C112" s="41" t="inlineStr">
        <is>
          <t>2×17×467</t>
        </is>
      </c>
      <c r="D112" s="41" t="inlineStr">
        <is>
          <t>2·17</t>
        </is>
      </c>
      <c r="E112" s="41" t="inlineStr"/>
      <c r="F112" s="41" t="inlineStr"/>
    </row>
    <row r="113" ht="13" customHeight="1">
      <c r="A113" s="41" t="inlineStr">
        <is>
          <t>613</t>
        </is>
      </c>
      <c r="B113" s="41" t="inlineStr">
        <is>
          <t>6103</t>
        </is>
      </c>
      <c r="C113" s="41" t="inlineStr">
        <is>
          <t>17×359</t>
        </is>
      </c>
      <c r="D113" s="41" t="inlineStr">
        <is>
          <t>17</t>
        </is>
      </c>
      <c r="E113" s="41" t="inlineStr"/>
      <c r="F113" s="41" t="inlineStr"/>
    </row>
    <row r="114" ht="13" customHeight="1">
      <c r="A114" s="45" t="inlineStr">
        <is>
          <t>617</t>
        </is>
      </c>
      <c r="B114" s="45" t="inlineStr">
        <is>
          <t>42927</t>
        </is>
      </c>
      <c r="C114" s="45" t="inlineStr">
        <is>
          <t>3×41×349</t>
        </is>
      </c>
      <c r="D114" s="45" t="inlineStr">
        <is>
          <t>3</t>
        </is>
      </c>
      <c r="E114" s="45" t="inlineStr"/>
      <c r="F114" s="45" t="inlineStr"/>
    </row>
    <row r="115" ht="13" customHeight="1">
      <c r="A115" s="49" t="inlineStr">
        <is>
          <t>619</t>
        </is>
      </c>
      <c r="B115" s="49" t="inlineStr">
        <is>
          <t>15242</t>
        </is>
      </c>
      <c r="C115" s="49" t="inlineStr">
        <is>
          <t>2×7621</t>
        </is>
      </c>
      <c r="D115" s="49" t="inlineStr">
        <is>
          <t>2</t>
        </is>
      </c>
      <c r="E115" s="49" t="inlineStr"/>
      <c r="F115" s="49" t="inlineStr"/>
    </row>
    <row r="116" ht="13" customHeight="1">
      <c r="A116" s="43" t="inlineStr">
        <is>
          <t>631</t>
        </is>
      </c>
      <c r="B116" s="43" t="inlineStr">
        <is>
          <t>40172</t>
        </is>
      </c>
      <c r="C116" s="43" t="inlineStr">
        <is>
          <t>2×2×11×11×83</t>
        </is>
      </c>
      <c r="D116" s="43" t="inlineStr">
        <is>
          <t>2·11</t>
        </is>
      </c>
      <c r="E116" s="43" t="inlineStr"/>
      <c r="F116" s="43" t="inlineStr"/>
    </row>
    <row r="117" ht="13" customHeight="1">
      <c r="A117" s="43" t="inlineStr">
        <is>
          <t>641</t>
        </is>
      </c>
      <c r="B117" s="43" t="inlineStr">
        <is>
          <t>10692</t>
        </is>
      </c>
      <c r="C117" s="43" t="inlineStr">
        <is>
          <t>2×2×3×3×3×3×3×11</t>
        </is>
      </c>
      <c r="D117" s="43" t="inlineStr">
        <is>
          <t>2·3·11</t>
        </is>
      </c>
      <c r="E117" s="43" t="inlineStr"/>
      <c r="F117" s="43" t="inlineStr"/>
    </row>
    <row r="118" ht="13" customHeight="1">
      <c r="A118" s="45" t="inlineStr">
        <is>
          <t>643</t>
        </is>
      </c>
      <c r="B118" s="45" t="inlineStr">
        <is>
          <t>14291</t>
        </is>
      </c>
      <c r="C118" s="45" t="inlineStr">
        <is>
          <t>31×461</t>
        </is>
      </c>
      <c r="D118" s="45" t="inlineStr">
        <is>
          <t>—</t>
        </is>
      </c>
      <c r="E118" s="45" t="inlineStr"/>
      <c r="F118" s="45" t="inlineStr"/>
    </row>
    <row r="119" ht="13" customHeight="1">
      <c r="A119" s="49" t="inlineStr">
        <is>
          <t>647</t>
        </is>
      </c>
      <c r="B119" s="49" t="inlineStr">
        <is>
          <t>17441</t>
        </is>
      </c>
      <c r="C119" s="49" t="inlineStr">
        <is>
          <t>107×163</t>
        </is>
      </c>
      <c r="D119" s="49" t="inlineStr">
        <is>
          <t>—</t>
        </is>
      </c>
      <c r="E119" s="49" t="inlineStr"/>
      <c r="F119" s="49" t="inlineStr"/>
    </row>
    <row r="120" ht="13" customHeight="1">
      <c r="A120" s="50" t="inlineStr">
        <is>
          <t>653</t>
        </is>
      </c>
      <c r="B120" s="50" t="inlineStr">
        <is>
          <t>38833</t>
        </is>
      </c>
      <c r="C120" s="50" t="inlineStr">
        <is>
          <t>38833</t>
        </is>
      </c>
      <c r="D120" s="50" t="inlineStr">
        <is>
          <t>—</t>
        </is>
      </c>
      <c r="E120" s="50" t="inlineStr"/>
      <c r="F120" s="50" t="inlineStr"/>
    </row>
    <row r="121" ht="13" customHeight="1">
      <c r="A121" s="49" t="inlineStr">
        <is>
          <t>659</t>
        </is>
      </c>
      <c r="B121" s="49" t="inlineStr">
        <is>
          <t>14436</t>
        </is>
      </c>
      <c r="C121" s="49" t="inlineStr">
        <is>
          <t>2×2×3×3×401</t>
        </is>
      </c>
      <c r="D121" s="49" t="inlineStr">
        <is>
          <t>2·3</t>
        </is>
      </c>
      <c r="E121" s="49" t="inlineStr"/>
      <c r="F121" s="49" t="inlineStr"/>
    </row>
    <row r="122" ht="13" customHeight="1">
      <c r="A122" s="45" t="inlineStr">
        <is>
          <t>661</t>
        </is>
      </c>
      <c r="B122" s="45" t="inlineStr">
        <is>
          <t>14582</t>
        </is>
      </c>
      <c r="C122" s="45" t="inlineStr">
        <is>
          <t>2×23×317</t>
        </is>
      </c>
      <c r="D122" s="45" t="inlineStr">
        <is>
          <t>2</t>
        </is>
      </c>
      <c r="E122" s="45" t="inlineStr"/>
      <c r="F122" s="45" t="inlineStr"/>
    </row>
    <row r="123" ht="13" customHeight="1">
      <c r="A123" s="49" t="inlineStr">
        <is>
          <t>673</t>
        </is>
      </c>
      <c r="B123" s="49" t="inlineStr">
        <is>
          <t>25676</t>
        </is>
      </c>
      <c r="C123" s="49" t="inlineStr">
        <is>
          <t>2×2×7×7×131</t>
        </is>
      </c>
      <c r="D123" s="49" t="inlineStr">
        <is>
          <t>2·7</t>
        </is>
      </c>
      <c r="E123" s="49" t="inlineStr"/>
      <c r="F123" s="49" t="inlineStr"/>
    </row>
    <row r="124" ht="13" customHeight="1">
      <c r="A124" s="45" t="inlineStr">
        <is>
          <t>677</t>
        </is>
      </c>
      <c r="B124" s="45" t="inlineStr">
        <is>
          <t>21919</t>
        </is>
      </c>
      <c r="C124" s="45" t="inlineStr">
        <is>
          <t>23×953</t>
        </is>
      </c>
      <c r="D124" s="45" t="inlineStr">
        <is>
          <t>—</t>
        </is>
      </c>
      <c r="E124" s="45" t="inlineStr"/>
      <c r="F124" s="45" t="inlineStr"/>
    </row>
    <row r="125" ht="13" customHeight="1">
      <c r="A125" s="41" t="inlineStr">
        <is>
          <t>683</t>
        </is>
      </c>
      <c r="B125" s="41" t="inlineStr">
        <is>
          <t>36842</t>
        </is>
      </c>
      <c r="C125" s="41" t="inlineStr">
        <is>
          <t>2×13×13×109</t>
        </is>
      </c>
      <c r="D125" s="41" t="inlineStr">
        <is>
          <t>2·13</t>
        </is>
      </c>
      <c r="E125" s="41" t="inlineStr"/>
      <c r="F125" s="41" t="inlineStr"/>
    </row>
    <row r="126" ht="13" customHeight="1">
      <c r="A126" s="45" t="inlineStr">
        <is>
          <t>691</t>
        </is>
      </c>
      <c r="B126" s="45" t="inlineStr">
        <is>
          <t>834</t>
        </is>
      </c>
      <c r="C126" s="45" t="inlineStr">
        <is>
          <t>2×3×139</t>
        </is>
      </c>
      <c r="D126" s="45" t="inlineStr">
        <is>
          <t>2·3</t>
        </is>
      </c>
      <c r="E126" s="45" t="inlineStr"/>
      <c r="F126" s="45" t="inlineStr"/>
    </row>
    <row r="127" ht="13" customHeight="1">
      <c r="A127" s="49" t="inlineStr">
        <is>
          <t>701</t>
        </is>
      </c>
      <c r="B127" s="49" t="inlineStr">
        <is>
          <t>28296</t>
        </is>
      </c>
      <c r="C127" s="49" t="inlineStr">
        <is>
          <t>2×2×2×3×3×3×131</t>
        </is>
      </c>
      <c r="D127" s="49" t="inlineStr">
        <is>
          <t>2·3</t>
        </is>
      </c>
      <c r="E127" s="49" t="inlineStr"/>
      <c r="F127" s="49" t="inlineStr"/>
    </row>
    <row r="128" ht="13" customHeight="1">
      <c r="A128" s="45" t="inlineStr">
        <is>
          <t>709</t>
        </is>
      </c>
      <c r="B128" s="45" t="inlineStr">
        <is>
          <t>30722</t>
        </is>
      </c>
      <c r="C128" s="45" t="inlineStr">
        <is>
          <t>2×15361</t>
        </is>
      </c>
      <c r="D128" s="45" t="inlineStr">
        <is>
          <t>2</t>
        </is>
      </c>
      <c r="E128" s="45" t="inlineStr"/>
      <c r="F128" s="45" t="inlineStr"/>
    </row>
    <row r="129" ht="13" customHeight="1">
      <c r="A129" s="41" t="inlineStr">
        <is>
          <t>719</t>
        </is>
      </c>
      <c r="B129" s="41" t="inlineStr">
        <is>
          <t>5933</t>
        </is>
      </c>
      <c r="C129" s="41" t="inlineStr">
        <is>
          <t>17×349</t>
        </is>
      </c>
      <c r="D129" s="41" t="inlineStr">
        <is>
          <t>17</t>
        </is>
      </c>
      <c r="E129" s="41" t="inlineStr"/>
      <c r="F129" s="41" t="inlineStr"/>
    </row>
    <row r="130" ht="13" customHeight="1">
      <c r="A130" s="41" t="inlineStr">
        <is>
          <t>727</t>
        </is>
      </c>
      <c r="B130" s="41" t="inlineStr">
        <is>
          <t>6018</t>
        </is>
      </c>
      <c r="C130" s="41" t="inlineStr">
        <is>
          <t>2×3×17×59</t>
        </is>
      </c>
      <c r="D130" s="41" t="inlineStr">
        <is>
          <t>2·3·17</t>
        </is>
      </c>
      <c r="E130" s="41" t="inlineStr"/>
      <c r="F130" s="41" t="inlineStr"/>
    </row>
    <row r="131" ht="13" customHeight="1">
      <c r="A131" s="41" t="inlineStr">
        <is>
          <t>733</t>
        </is>
      </c>
      <c r="B131" s="41" t="inlineStr">
        <is>
          <t>42636</t>
        </is>
      </c>
      <c r="C131" s="41" t="inlineStr">
        <is>
          <t>2×2×3×11×17×19</t>
        </is>
      </c>
      <c r="D131" s="41" t="inlineStr">
        <is>
          <t>2·3·11·17·19</t>
        </is>
      </c>
      <c r="E131" s="41" t="inlineStr"/>
      <c r="F131" s="41" t="inlineStr"/>
    </row>
    <row r="132" ht="13" customHeight="1">
      <c r="A132" s="45" t="inlineStr">
        <is>
          <t>739</t>
        </is>
      </c>
      <c r="B132" s="45" t="inlineStr">
        <is>
          <t>38617</t>
        </is>
      </c>
      <c r="C132" s="45" t="inlineStr">
        <is>
          <t>23×23×73</t>
        </is>
      </c>
      <c r="D132" s="45" t="inlineStr">
        <is>
          <t>—</t>
        </is>
      </c>
      <c r="E132" s="45" t="inlineStr"/>
      <c r="F132" s="45" t="inlineStr"/>
    </row>
    <row r="133" ht="13" customHeight="1">
      <c r="A133" s="49" t="inlineStr">
        <is>
          <t>743</t>
        </is>
      </c>
      <c r="B133" s="49" t="inlineStr">
        <is>
          <t>37045</t>
        </is>
      </c>
      <c r="C133" s="49" t="inlineStr">
        <is>
          <t>5×31×239</t>
        </is>
      </c>
      <c r="D133" s="49" t="inlineStr">
        <is>
          <t>5</t>
        </is>
      </c>
      <c r="E133" s="49" t="inlineStr"/>
      <c r="F133" s="49" t="inlineStr"/>
    </row>
    <row r="134" ht="13" customHeight="1">
      <c r="A134" s="45" t="inlineStr">
        <is>
          <t>751</t>
        </is>
      </c>
      <c r="B134" s="45" t="inlineStr">
        <is>
          <t>29727</t>
        </is>
      </c>
      <c r="C134" s="45" t="inlineStr">
        <is>
          <t>3×3×3×3×367</t>
        </is>
      </c>
      <c r="D134" s="45" t="inlineStr">
        <is>
          <t>3</t>
        </is>
      </c>
      <c r="E134" s="45" t="inlineStr"/>
      <c r="F134" s="45" t="inlineStr"/>
    </row>
    <row r="135" ht="13" customHeight="1">
      <c r="A135" s="49" t="inlineStr">
        <is>
          <t>757</t>
        </is>
      </c>
      <c r="B135" s="49" t="inlineStr">
        <is>
          <t>20257</t>
        </is>
      </c>
      <c r="C135" s="49" t="inlineStr">
        <is>
          <t>47×431</t>
        </is>
      </c>
      <c r="D135" s="49" t="inlineStr">
        <is>
          <t>—</t>
        </is>
      </c>
      <c r="E135" s="49" t="inlineStr"/>
      <c r="F135" s="49" t="inlineStr"/>
    </row>
    <row r="136" ht="13" customHeight="1">
      <c r="A136" s="45" t="inlineStr">
        <is>
          <t>761</t>
        </is>
      </c>
      <c r="B136" s="45" t="inlineStr">
        <is>
          <t>14835</t>
        </is>
      </c>
      <c r="C136" s="45" t="inlineStr">
        <is>
          <t>3×5×23×43</t>
        </is>
      </c>
      <c r="D136" s="45" t="inlineStr">
        <is>
          <t>3·5</t>
        </is>
      </c>
      <c r="E136" s="45" t="inlineStr"/>
      <c r="F136" s="45" t="inlineStr"/>
    </row>
    <row r="137" ht="13" customHeight="1">
      <c r="A137" s="41" t="inlineStr">
        <is>
          <t>769</t>
        </is>
      </c>
      <c r="B137" s="41" t="inlineStr">
        <is>
          <t>31127</t>
        </is>
      </c>
      <c r="C137" s="41" t="inlineStr">
        <is>
          <t>17×1831</t>
        </is>
      </c>
      <c r="D137" s="41" t="inlineStr">
        <is>
          <t>17</t>
        </is>
      </c>
      <c r="E137" s="41" t="inlineStr"/>
      <c r="F137" s="41" t="inlineStr"/>
    </row>
    <row r="138" ht="13" customHeight="1">
      <c r="A138" s="45" t="inlineStr">
        <is>
          <t>773</t>
        </is>
      </c>
      <c r="B138" s="45" t="inlineStr">
        <is>
          <t>232</t>
        </is>
      </c>
      <c r="C138" s="45" t="inlineStr">
        <is>
          <t>2×2×2×29</t>
        </is>
      </c>
      <c r="D138" s="45" t="inlineStr">
        <is>
          <t>2</t>
        </is>
      </c>
      <c r="E138" s="45" t="inlineStr"/>
      <c r="F138" s="45" t="inlineStr"/>
    </row>
    <row r="139" ht="13" customHeight="1">
      <c r="A139" s="49" t="inlineStr">
        <is>
          <t>787</t>
        </is>
      </c>
      <c r="B139" s="49" t="inlineStr">
        <is>
          <t>387</t>
        </is>
      </c>
      <c r="C139" s="49" t="inlineStr">
        <is>
          <t>3×3×43</t>
        </is>
      </c>
      <c r="D139" s="49" t="inlineStr">
        <is>
          <t>3</t>
        </is>
      </c>
      <c r="E139" s="49" t="inlineStr"/>
      <c r="F139" s="49" t="inlineStr"/>
    </row>
    <row r="140" ht="13" customHeight="1">
      <c r="A140" s="41" t="inlineStr">
        <is>
          <t>797</t>
        </is>
      </c>
      <c r="B140" s="41" t="inlineStr">
        <is>
          <t>21502</t>
        </is>
      </c>
      <c r="C140" s="41" t="inlineStr">
        <is>
          <t>2×13×827</t>
        </is>
      </c>
      <c r="D140" s="41" t="inlineStr">
        <is>
          <t>2·13</t>
        </is>
      </c>
      <c r="E140" s="41" t="inlineStr"/>
      <c r="F140" s="41" t="inlineStr"/>
    </row>
    <row r="141" ht="13" customHeight="1">
      <c r="A141" s="37" t="inlineStr">
        <is>
          <t>809</t>
        </is>
      </c>
      <c r="B141" s="37" t="inlineStr">
        <is>
          <t>42701</t>
        </is>
      </c>
      <c r="C141" s="37" t="inlineStr">
        <is>
          <t>42701</t>
        </is>
      </c>
      <c r="D141" s="37" t="inlineStr">
        <is>
          <t>—</t>
        </is>
      </c>
      <c r="E141" s="37" t="inlineStr"/>
      <c r="F141" s="37" t="inlineStr">
        <is>
          <t>in 42068=4×13×809 · weak coupling first correction denom</t>
        </is>
      </c>
    </row>
    <row r="142" ht="13" customHeight="1">
      <c r="A142" s="45" t="inlineStr">
        <is>
          <t>811</t>
        </is>
      </c>
      <c r="B142" s="45" t="inlineStr">
        <is>
          <t>7567</t>
        </is>
      </c>
      <c r="C142" s="45" t="inlineStr">
        <is>
          <t>7×23×47</t>
        </is>
      </c>
      <c r="D142" s="45" t="inlineStr">
        <is>
          <t>7</t>
        </is>
      </c>
      <c r="E142" s="45" t="inlineStr"/>
      <c r="F142" s="45" t="inlineStr"/>
    </row>
    <row r="143" ht="13" customHeight="1">
      <c r="A143" s="49" t="inlineStr">
        <is>
          <t>821</t>
        </is>
      </c>
      <c r="B143" s="49" t="inlineStr">
        <is>
          <t>31618</t>
        </is>
      </c>
      <c r="C143" s="49" t="inlineStr">
        <is>
          <t>2×15809</t>
        </is>
      </c>
      <c r="D143" s="49" t="inlineStr">
        <is>
          <t>2</t>
        </is>
      </c>
      <c r="E143" s="49" t="inlineStr"/>
      <c r="F143" s="49" t="inlineStr"/>
    </row>
    <row r="144" ht="13" customHeight="1">
      <c r="A144" s="45" t="inlineStr">
        <is>
          <t>823</t>
        </is>
      </c>
      <c r="B144" s="45" t="inlineStr">
        <is>
          <t>28428</t>
        </is>
      </c>
      <c r="C144" s="45" t="inlineStr">
        <is>
          <t>2×2×3×23×103</t>
        </is>
      </c>
      <c r="D144" s="45" t="inlineStr">
        <is>
          <t>2·3</t>
        </is>
      </c>
      <c r="E144" s="45" t="inlineStr"/>
      <c r="F144" s="45" t="inlineStr"/>
    </row>
    <row r="145" ht="13" customHeight="1">
      <c r="A145" s="41" t="inlineStr">
        <is>
          <t>827</t>
        </is>
      </c>
      <c r="B145" s="41" t="inlineStr">
        <is>
          <t>8918</t>
        </is>
      </c>
      <c r="C145" s="41" t="inlineStr">
        <is>
          <t>2×7×7×7×13</t>
        </is>
      </c>
      <c r="D145" s="41" t="inlineStr">
        <is>
          <t>2·7·13</t>
        </is>
      </c>
      <c r="E145" s="41" t="inlineStr"/>
      <c r="F145" s="41" t="inlineStr"/>
    </row>
    <row r="146" ht="13" customHeight="1">
      <c r="A146" s="43" t="inlineStr">
        <is>
          <t>829</t>
        </is>
      </c>
      <c r="B146" s="43" t="inlineStr">
        <is>
          <t>41547</t>
        </is>
      </c>
      <c r="C146" s="43" t="inlineStr">
        <is>
          <t>3×11×1259</t>
        </is>
      </c>
      <c r="D146" s="43" t="inlineStr">
        <is>
          <t>3·11</t>
        </is>
      </c>
      <c r="E146" s="43" t="inlineStr"/>
      <c r="F146" s="43" t="inlineStr"/>
    </row>
    <row r="147" ht="13" customHeight="1">
      <c r="A147" s="49" t="inlineStr">
        <is>
          <t>839</t>
        </is>
      </c>
      <c r="B147" s="49" t="inlineStr">
        <is>
          <t>42366</t>
        </is>
      </c>
      <c r="C147" s="49" t="inlineStr">
        <is>
          <t>2×3×23×307</t>
        </is>
      </c>
      <c r="D147" s="49" t="inlineStr">
        <is>
          <t>2·3</t>
        </is>
      </c>
      <c r="E147" s="49" t="inlineStr"/>
      <c r="F147" s="49" t="inlineStr"/>
    </row>
    <row r="148" ht="13" customHeight="1">
      <c r="A148" s="45" t="inlineStr">
        <is>
          <t>853</t>
        </is>
      </c>
      <c r="B148" s="45" t="inlineStr">
        <is>
          <t>31045</t>
        </is>
      </c>
      <c r="C148" s="45" t="inlineStr">
        <is>
          <t>5×7×887</t>
        </is>
      </c>
      <c r="D148" s="45" t="inlineStr">
        <is>
          <t>5·7</t>
        </is>
      </c>
      <c r="E148" s="45" t="inlineStr"/>
      <c r="F148" s="45" t="inlineStr"/>
    </row>
    <row r="149" ht="13" customHeight="1">
      <c r="A149" s="41" t="inlineStr">
        <is>
          <t>857</t>
        </is>
      </c>
      <c r="B149" s="41" t="inlineStr">
        <is>
          <t>26468</t>
        </is>
      </c>
      <c r="C149" s="41" t="inlineStr">
        <is>
          <t>2×2×13×509</t>
        </is>
      </c>
      <c r="D149" s="41" t="inlineStr">
        <is>
          <t>2·13</t>
        </is>
      </c>
      <c r="E149" s="41" t="inlineStr"/>
      <c r="F149" s="41" t="inlineStr"/>
    </row>
    <row r="150" ht="13" customHeight="1">
      <c r="A150" s="45" t="inlineStr">
        <is>
          <t>859</t>
        </is>
      </c>
      <c r="B150" s="45" t="inlineStr">
        <is>
          <t>8036</t>
        </is>
      </c>
      <c r="C150" s="45" t="inlineStr">
        <is>
          <t>2×2×7×7×41</t>
        </is>
      </c>
      <c r="D150" s="45" t="inlineStr">
        <is>
          <t>2·7</t>
        </is>
      </c>
      <c r="E150" s="45" t="inlineStr"/>
      <c r="F150" s="45" t="inlineStr"/>
    </row>
    <row r="151" ht="13" customHeight="1">
      <c r="A151" s="49" t="inlineStr">
        <is>
          <t>863</t>
        </is>
      </c>
      <c r="B151" s="49" t="inlineStr">
        <is>
          <t>2272</t>
        </is>
      </c>
      <c r="C151" s="49" t="inlineStr">
        <is>
          <t>2×2×2×2×2×71</t>
        </is>
      </c>
      <c r="D151" s="49" t="inlineStr">
        <is>
          <t>2</t>
        </is>
      </c>
      <c r="E151" s="49" t="inlineStr"/>
      <c r="F151" s="49" t="inlineStr"/>
    </row>
    <row r="152" ht="13" customHeight="1">
      <c r="A152" s="45" t="inlineStr">
        <is>
          <t>877</t>
        </is>
      </c>
      <c r="B152" s="45" t="inlineStr">
        <is>
          <t>6620</t>
        </is>
      </c>
      <c r="C152" s="45" t="inlineStr">
        <is>
          <t>2×2×5×331</t>
        </is>
      </c>
      <c r="D152" s="45" t="inlineStr">
        <is>
          <t>2·5</t>
        </is>
      </c>
      <c r="E152" s="45" t="inlineStr"/>
      <c r="F152" s="45" t="inlineStr"/>
    </row>
    <row r="153" ht="13" customHeight="1">
      <c r="A153" s="49" t="inlineStr">
        <is>
          <t>881</t>
        </is>
      </c>
      <c r="B153" s="49" t="inlineStr">
        <is>
          <t>17856</t>
        </is>
      </c>
      <c r="C153" s="49" t="inlineStr">
        <is>
          <t>2×2×2×2×2×2×3×3×31</t>
        </is>
      </c>
      <c r="D153" s="49" t="inlineStr">
        <is>
          <t>2·3</t>
        </is>
      </c>
      <c r="E153" s="49" t="inlineStr"/>
      <c r="F153" s="49" t="inlineStr"/>
    </row>
    <row r="154" ht="13" customHeight="1">
      <c r="A154" s="51" t="inlineStr">
        <is>
          <t>883</t>
        </is>
      </c>
      <c r="B154" s="51" t="inlineStr">
        <is>
          <t>10222</t>
        </is>
      </c>
      <c r="C154" s="51" t="inlineStr">
        <is>
          <t>2×19×269</t>
        </is>
      </c>
      <c r="D154" s="51" t="inlineStr">
        <is>
          <t>2·19</t>
        </is>
      </c>
      <c r="E154" s="51" t="inlineStr"/>
      <c r="F154" s="51" t="inlineStr"/>
    </row>
    <row r="155" ht="13" customHeight="1">
      <c r="A155" s="50" t="inlineStr">
        <is>
          <t>887</t>
        </is>
      </c>
      <c r="B155" s="50" t="inlineStr">
        <is>
          <t>30071</t>
        </is>
      </c>
      <c r="C155" s="50" t="inlineStr">
        <is>
          <t>30071</t>
        </is>
      </c>
      <c r="D155" s="50" t="inlineStr">
        <is>
          <t>—</t>
        </is>
      </c>
      <c r="E155" s="50" t="inlineStr"/>
      <c r="F155" s="50" t="inlineStr"/>
    </row>
    <row r="156" ht="13" customHeight="1">
      <c r="A156" s="45" t="inlineStr">
        <is>
          <t>907</t>
        </is>
      </c>
      <c r="B156" s="45" t="inlineStr">
        <is>
          <t>1602</t>
        </is>
      </c>
      <c r="C156" s="45" t="inlineStr">
        <is>
          <t>2×3×3×89</t>
        </is>
      </c>
      <c r="D156" s="45" t="inlineStr">
        <is>
          <t>2·3</t>
        </is>
      </c>
      <c r="E156" s="45" t="inlineStr"/>
      <c r="F156" s="45" t="inlineStr"/>
    </row>
    <row r="157" ht="13" customHeight="1">
      <c r="A157" s="49" t="inlineStr">
        <is>
          <t>911</t>
        </is>
      </c>
      <c r="B157" s="49" t="inlineStr">
        <is>
          <t>33568</t>
        </is>
      </c>
      <c r="C157" s="49" t="inlineStr">
        <is>
          <t>2×2×2×2×2×1049</t>
        </is>
      </c>
      <c r="D157" s="49" t="inlineStr">
        <is>
          <t>2</t>
        </is>
      </c>
      <c r="E157" s="49" t="inlineStr"/>
      <c r="F157" s="49" t="inlineStr"/>
    </row>
    <row r="158" ht="13" customHeight="1">
      <c r="A158" s="45" t="inlineStr">
        <is>
          <t>919</t>
        </is>
      </c>
      <c r="B158" s="45" t="inlineStr">
        <is>
          <t>12946</t>
        </is>
      </c>
      <c r="C158" s="45" t="inlineStr">
        <is>
          <t>2×6473</t>
        </is>
      </c>
      <c r="D158" s="45" t="inlineStr">
        <is>
          <t>2</t>
        </is>
      </c>
      <c r="E158" s="45" t="inlineStr"/>
      <c r="F158" s="45" t="inlineStr"/>
    </row>
    <row r="159" ht="13" customHeight="1">
      <c r="A159" s="49" t="inlineStr">
        <is>
          <t>929</t>
        </is>
      </c>
      <c r="B159" s="49" t="inlineStr">
        <is>
          <t>34025</t>
        </is>
      </c>
      <c r="C159" s="49" t="inlineStr">
        <is>
          <t>5×5×1361</t>
        </is>
      </c>
      <c r="D159" s="49" t="inlineStr">
        <is>
          <t>5</t>
        </is>
      </c>
      <c r="E159" s="49" t="inlineStr"/>
      <c r="F159" s="49" t="inlineStr"/>
    </row>
    <row r="160" ht="13" customHeight="1">
      <c r="A160" s="41" t="inlineStr">
        <is>
          <t>937</t>
        </is>
      </c>
      <c r="B160" s="41" t="inlineStr">
        <is>
          <t>29042</t>
        </is>
      </c>
      <c r="C160" s="41" t="inlineStr">
        <is>
          <t>2×13×1117</t>
        </is>
      </c>
      <c r="D160" s="41" t="inlineStr">
        <is>
          <t>2·13</t>
        </is>
      </c>
      <c r="E160" s="41" t="inlineStr"/>
      <c r="F160" s="41" t="inlineStr"/>
    </row>
    <row r="161" ht="13" customHeight="1">
      <c r="A161" s="49" t="inlineStr">
        <is>
          <t>941</t>
        </is>
      </c>
      <c r="B161" s="49" t="inlineStr">
        <is>
          <t>27002</t>
        </is>
      </c>
      <c r="C161" s="49" t="inlineStr">
        <is>
          <t>2×23×587</t>
        </is>
      </c>
      <c r="D161" s="49" t="inlineStr">
        <is>
          <t>2</t>
        </is>
      </c>
      <c r="E161" s="49" t="inlineStr"/>
      <c r="F161" s="49" t="inlineStr"/>
    </row>
    <row r="162" ht="13" customHeight="1">
      <c r="A162" s="45" t="inlineStr">
        <is>
          <t>947</t>
        </is>
      </c>
      <c r="B162" s="45" t="inlineStr">
        <is>
          <t>6693</t>
        </is>
      </c>
      <c r="C162" s="45" t="inlineStr">
        <is>
          <t>3×23×97</t>
        </is>
      </c>
      <c r="D162" s="45" t="inlineStr">
        <is>
          <t>3</t>
        </is>
      </c>
      <c r="E162" s="45" t="inlineStr"/>
      <c r="F162" s="45" t="inlineStr"/>
    </row>
    <row r="163" ht="13" customHeight="1">
      <c r="A163" s="43" t="inlineStr">
        <is>
          <t>953</t>
        </is>
      </c>
      <c r="B163" s="43" t="inlineStr">
        <is>
          <t>24288</t>
        </is>
      </c>
      <c r="C163" s="43" t="inlineStr">
        <is>
          <t>2×2×2×2×2×3×11×23</t>
        </is>
      </c>
      <c r="D163" s="43" t="inlineStr">
        <is>
          <t>2·3·11</t>
        </is>
      </c>
      <c r="E163" s="43" t="inlineStr"/>
      <c r="F163" s="43" t="inlineStr"/>
    </row>
    <row r="164" ht="13" customHeight="1">
      <c r="A164" s="45" t="inlineStr">
        <is>
          <t>967</t>
        </is>
      </c>
      <c r="B164" s="45" t="inlineStr">
        <is>
          <t>6180</t>
        </is>
      </c>
      <c r="C164" s="45" t="inlineStr">
        <is>
          <t>2×2×3×5×103</t>
        </is>
      </c>
      <c r="D164" s="45" t="inlineStr">
        <is>
          <t>2·3·5</t>
        </is>
      </c>
      <c r="E164" s="45" t="inlineStr"/>
      <c r="F164" s="45" t="inlineStr"/>
    </row>
    <row r="165" ht="13" customHeight="1">
      <c r="A165" s="50" t="inlineStr">
        <is>
          <t>971</t>
        </is>
      </c>
      <c r="B165" s="50" t="inlineStr">
        <is>
          <t>487</t>
        </is>
      </c>
      <c r="C165" s="50" t="inlineStr">
        <is>
          <t>487</t>
        </is>
      </c>
      <c r="D165" s="50" t="inlineStr">
        <is>
          <t>—</t>
        </is>
      </c>
      <c r="E165" s="50" t="inlineStr"/>
      <c r="F165" s="50" t="inlineStr"/>
    </row>
    <row r="166" ht="13" customHeight="1">
      <c r="A166" s="45" t="inlineStr">
        <is>
          <t>977</t>
        </is>
      </c>
      <c r="B166" s="45" t="inlineStr">
        <is>
          <t>19007</t>
        </is>
      </c>
      <c r="C166" s="45" t="inlineStr">
        <is>
          <t>83×229</t>
        </is>
      </c>
      <c r="D166" s="45" t="inlineStr">
        <is>
          <t>—</t>
        </is>
      </c>
      <c r="E166" s="45" t="inlineStr"/>
      <c r="F166" s="45" t="inlineStr"/>
    </row>
    <row r="167" ht="13" customHeight="1">
      <c r="A167" s="49" t="inlineStr">
        <is>
          <t>983</t>
        </is>
      </c>
      <c r="B167" s="49" t="inlineStr">
        <is>
          <t>20506</t>
        </is>
      </c>
      <c r="C167" s="49" t="inlineStr">
        <is>
          <t>2×10253</t>
        </is>
      </c>
      <c r="D167" s="49" t="inlineStr">
        <is>
          <t>2</t>
        </is>
      </c>
      <c r="E167" s="49" t="inlineStr"/>
      <c r="F167" s="49" t="inlineStr"/>
    </row>
    <row r="168" ht="13" customHeight="1">
      <c r="A168" s="45" t="inlineStr">
        <is>
          <t>991</t>
        </is>
      </c>
      <c r="B168" s="45" t="inlineStr">
        <is>
          <t>4101</t>
        </is>
      </c>
      <c r="C168" s="45" t="inlineStr">
        <is>
          <t>3×1367</t>
        </is>
      </c>
      <c r="D168" s="45" t="inlineStr">
        <is>
          <t>3</t>
        </is>
      </c>
      <c r="E168" s="45" t="inlineStr"/>
      <c r="F168" s="45" t="inlineStr"/>
    </row>
    <row r="169" ht="13" customHeight="1">
      <c r="A169" s="49" t="inlineStr">
        <is>
          <t>997</t>
        </is>
      </c>
      <c r="B169" s="49" t="inlineStr">
        <is>
          <t>10392</t>
        </is>
      </c>
      <c r="C169" s="49" t="inlineStr">
        <is>
          <t>2×2×2×3×433</t>
        </is>
      </c>
      <c r="D169" s="49" t="inlineStr">
        <is>
          <t>2·3</t>
        </is>
      </c>
      <c r="E169" s="49" t="inlineStr"/>
      <c r="F169" s="49" t="inlineStr"/>
    </row>
    <row r="170" ht="13" customHeight="1">
      <c r="A170" s="37" t="inlineStr">
        <is>
          <t>1009</t>
        </is>
      </c>
      <c r="B170" s="37" t="inlineStr">
        <is>
          <t>25082</t>
        </is>
      </c>
      <c r="C170" s="37" t="inlineStr">
        <is>
          <t>2×12541</t>
        </is>
      </c>
      <c r="D170" s="37" t="inlineStr">
        <is>
          <t>2</t>
        </is>
      </c>
      <c r="E170" s="37" t="inlineStr"/>
      <c r="F170" s="37" t="inlineStr">
        <is>
          <t>strong BP of 1008=2⁴×3²×7 · rev10(1)=29×1009</t>
        </is>
      </c>
    </row>
    <row r="171" ht="13" customHeight="1">
      <c r="A171" s="41" t="inlineStr">
        <is>
          <t>1013</t>
        </is>
      </c>
      <c r="B171" s="41" t="inlineStr">
        <is>
          <t>32708</t>
        </is>
      </c>
      <c r="C171" s="41" t="inlineStr">
        <is>
          <t>2×2×13×17×37</t>
        </is>
      </c>
      <c r="D171" s="41" t="inlineStr">
        <is>
          <t>2·13·17</t>
        </is>
      </c>
      <c r="E171" s="41" t="inlineStr"/>
      <c r="F171" s="41" t="inlineStr"/>
    </row>
    <row r="172" ht="13" customHeight="1">
      <c r="A172" s="45" t="inlineStr">
        <is>
          <t>1019</t>
        </is>
      </c>
      <c r="B172" s="45" t="inlineStr">
        <is>
          <t>27121</t>
        </is>
      </c>
      <c r="C172" s="45" t="inlineStr">
        <is>
          <t>37×733</t>
        </is>
      </c>
      <c r="D172" s="45" t="inlineStr">
        <is>
          <t>—</t>
        </is>
      </c>
      <c r="E172" s="45" t="inlineStr"/>
      <c r="F172" s="45" t="inlineStr"/>
    </row>
    <row r="173" ht="13" customHeight="1">
      <c r="A173" s="49" t="inlineStr">
        <is>
          <t>1021</t>
        </is>
      </c>
      <c r="B173" s="49" t="inlineStr">
        <is>
          <t>22480</t>
        </is>
      </c>
      <c r="C173" s="49" t="inlineStr">
        <is>
          <t>2×2×2×2×5×281</t>
        </is>
      </c>
      <c r="D173" s="49" t="inlineStr">
        <is>
          <t>2·5</t>
        </is>
      </c>
      <c r="E173" s="49" t="inlineStr"/>
      <c r="F173" s="49" t="inlineStr"/>
    </row>
    <row r="174" ht="13" customHeight="1">
      <c r="A174" s="50" t="inlineStr">
        <is>
          <t>1031</t>
        </is>
      </c>
      <c r="B174" s="50" t="inlineStr">
        <is>
          <t>42101</t>
        </is>
      </c>
      <c r="C174" s="50" t="inlineStr">
        <is>
          <t>42101</t>
        </is>
      </c>
      <c r="D174" s="50" t="inlineStr">
        <is>
          <t>—</t>
        </is>
      </c>
      <c r="E174" s="50" t="inlineStr"/>
      <c r="F174" s="50" t="inlineStr"/>
    </row>
    <row r="175" ht="13" customHeight="1">
      <c r="A175" s="43" t="inlineStr">
        <is>
          <t>1033</t>
        </is>
      </c>
      <c r="B175" s="43" t="inlineStr">
        <is>
          <t>15081</t>
        </is>
      </c>
      <c r="C175" s="43" t="inlineStr">
        <is>
          <t>3×11×457</t>
        </is>
      </c>
      <c r="D175" s="43" t="inlineStr">
        <is>
          <t>3·11</t>
        </is>
      </c>
      <c r="E175" s="43" t="inlineStr"/>
      <c r="F175" s="43" t="inlineStr"/>
    </row>
    <row r="176" ht="13" customHeight="1">
      <c r="A176" s="45" t="inlineStr">
        <is>
          <t>1039</t>
        </is>
      </c>
      <c r="B176" s="45" t="inlineStr">
        <is>
          <t>39747</t>
        </is>
      </c>
      <c r="C176" s="45" t="inlineStr">
        <is>
          <t>3×13249</t>
        </is>
      </c>
      <c r="D176" s="45" t="inlineStr">
        <is>
          <t>3</t>
        </is>
      </c>
      <c r="E176" s="45" t="inlineStr"/>
      <c r="F176" s="45" t="inlineStr"/>
    </row>
    <row r="177" ht="13" customHeight="1">
      <c r="A177" s="49" t="inlineStr">
        <is>
          <t>1049</t>
        </is>
      </c>
      <c r="B177" s="49" t="inlineStr">
        <is>
          <t>13968</t>
        </is>
      </c>
      <c r="C177" s="49" t="inlineStr">
        <is>
          <t>2×2×2×2×3×3×97</t>
        </is>
      </c>
      <c r="D177" s="49" t="inlineStr">
        <is>
          <t>2·3</t>
        </is>
      </c>
      <c r="E177" s="49" t="inlineStr"/>
      <c r="F177" s="49" t="inlineStr"/>
    </row>
    <row r="178" ht="13" customHeight="1">
      <c r="A178" s="51" t="inlineStr">
        <is>
          <t>1051</t>
        </is>
      </c>
      <c r="B178" s="51" t="inlineStr">
        <is>
          <t>31540</t>
        </is>
      </c>
      <c r="C178" s="51" t="inlineStr">
        <is>
          <t>2×2×5×19×83</t>
        </is>
      </c>
      <c r="D178" s="51" t="inlineStr">
        <is>
          <t>2·5·19</t>
        </is>
      </c>
      <c r="E178" s="51" t="inlineStr"/>
      <c r="F178" s="51" t="inlineStr"/>
    </row>
    <row r="179" ht="13" customHeight="1">
      <c r="A179" s="50" t="inlineStr">
        <is>
          <t>1061</t>
        </is>
      </c>
      <c r="B179" s="50" t="inlineStr">
        <is>
          <t>34631</t>
        </is>
      </c>
      <c r="C179" s="50" t="inlineStr">
        <is>
          <t>34631</t>
        </is>
      </c>
      <c r="D179" s="50" t="inlineStr">
        <is>
          <t>—</t>
        </is>
      </c>
      <c r="E179" s="50" t="inlineStr"/>
      <c r="F179" s="50" t="inlineStr"/>
    </row>
    <row r="180" ht="13" customHeight="1">
      <c r="A180" s="45" t="inlineStr">
        <is>
          <t>1063</t>
        </is>
      </c>
      <c r="B180" s="45" t="inlineStr">
        <is>
          <t>25911</t>
        </is>
      </c>
      <c r="C180" s="45" t="inlineStr">
        <is>
          <t>3×3×2879</t>
        </is>
      </c>
      <c r="D180" s="45" t="inlineStr">
        <is>
          <t>3</t>
        </is>
      </c>
      <c r="E180" s="45" t="inlineStr"/>
      <c r="F180" s="45" t="inlineStr"/>
    </row>
    <row r="181" ht="13" customHeight="1">
      <c r="A181" s="43" t="inlineStr">
        <is>
          <t>1069</t>
        </is>
      </c>
      <c r="B181" s="43" t="inlineStr">
        <is>
          <t>31438</t>
        </is>
      </c>
      <c r="C181" s="43" t="inlineStr">
        <is>
          <t>2×11×1429</t>
        </is>
      </c>
      <c r="D181" s="43" t="inlineStr">
        <is>
          <t>2·11</t>
        </is>
      </c>
      <c r="E181" s="43" t="inlineStr"/>
      <c r="F181" s="43" t="inlineStr"/>
    </row>
    <row r="182" ht="13" customHeight="1">
      <c r="A182" s="45" t="inlineStr">
        <is>
          <t>1087</t>
        </is>
      </c>
      <c r="B182" s="45" t="inlineStr">
        <is>
          <t>41530</t>
        </is>
      </c>
      <c r="C182" s="45" t="inlineStr">
        <is>
          <t>2×5×4153</t>
        </is>
      </c>
      <c r="D182" s="45" t="inlineStr">
        <is>
          <t>2·5</t>
        </is>
      </c>
      <c r="E182" s="45" t="inlineStr"/>
      <c r="F182" s="45" t="inlineStr"/>
    </row>
    <row r="183" ht="13" customHeight="1">
      <c r="A183" s="50" t="inlineStr">
        <is>
          <t>1091</t>
        </is>
      </c>
      <c r="B183" s="50" t="inlineStr">
        <is>
          <t>809</t>
        </is>
      </c>
      <c r="C183" s="50" t="inlineStr">
        <is>
          <t>809</t>
        </is>
      </c>
      <c r="D183" s="50" t="inlineStr">
        <is>
          <t>—</t>
        </is>
      </c>
      <c r="E183" s="50" t="inlineStr"/>
      <c r="F183" s="50" t="inlineStr"/>
    </row>
    <row r="184" ht="13" customHeight="1">
      <c r="A184" s="50" t="inlineStr">
        <is>
          <t>1093</t>
        </is>
      </c>
      <c r="B184" s="50" t="inlineStr">
        <is>
          <t>29723</t>
        </is>
      </c>
      <c r="C184" s="50" t="inlineStr">
        <is>
          <t>29723</t>
        </is>
      </c>
      <c r="D184" s="50" t="inlineStr">
        <is>
          <t>—</t>
        </is>
      </c>
      <c r="E184" s="50" t="inlineStr"/>
      <c r="F184" s="50" t="inlineStr"/>
    </row>
    <row r="185" ht="13" customHeight="1">
      <c r="A185" s="51" t="inlineStr">
        <is>
          <t>1097</t>
        </is>
      </c>
      <c r="B185" s="51" t="inlineStr">
        <is>
          <t>6023</t>
        </is>
      </c>
      <c r="C185" s="51" t="inlineStr">
        <is>
          <t>19×317</t>
        </is>
      </c>
      <c r="D185" s="51" t="inlineStr">
        <is>
          <t>19</t>
        </is>
      </c>
      <c r="E185" s="51" t="inlineStr"/>
      <c r="F185" s="51" t="inlineStr"/>
    </row>
    <row r="186" ht="13" customHeight="1">
      <c r="A186" s="43" t="inlineStr">
        <is>
          <t>1103</t>
        </is>
      </c>
      <c r="B186" s="43" t="inlineStr">
        <is>
          <t>7678</t>
        </is>
      </c>
      <c r="C186" s="43" t="inlineStr">
        <is>
          <t>2×11×349</t>
        </is>
      </c>
      <c r="D186" s="43" t="inlineStr">
        <is>
          <t>2·11</t>
        </is>
      </c>
      <c r="E186" s="43" t="inlineStr"/>
      <c r="F186" s="43" t="inlineStr"/>
    </row>
    <row r="187" ht="13" customHeight="1">
      <c r="A187" s="49" t="inlineStr">
        <is>
          <t>1109</t>
        </is>
      </c>
      <c r="B187" s="49" t="inlineStr">
        <is>
          <t>25529</t>
        </is>
      </c>
      <c r="C187" s="49" t="inlineStr">
        <is>
          <t>7×7×521</t>
        </is>
      </c>
      <c r="D187" s="49" t="inlineStr">
        <is>
          <t>7</t>
        </is>
      </c>
      <c r="E187" s="49" t="inlineStr"/>
      <c r="F187" s="49" t="inlineStr"/>
    </row>
    <row r="188" ht="13" customHeight="1">
      <c r="A188" s="50" t="inlineStr">
        <is>
          <t>1117</t>
        </is>
      </c>
      <c r="B188" s="50" t="inlineStr">
        <is>
          <t>30187</t>
        </is>
      </c>
      <c r="C188" s="50" t="inlineStr">
        <is>
          <t>30187</t>
        </is>
      </c>
      <c r="D188" s="50" t="inlineStr">
        <is>
          <t>—</t>
        </is>
      </c>
      <c r="E188" s="50" t="inlineStr"/>
      <c r="F188" s="50" t="inlineStr"/>
    </row>
    <row r="189" ht="13" customHeight="1">
      <c r="A189" s="41" t="inlineStr">
        <is>
          <t>1123</t>
        </is>
      </c>
      <c r="B189" s="41" t="inlineStr">
        <is>
          <t>33631</t>
        </is>
      </c>
      <c r="C189" s="41" t="inlineStr">
        <is>
          <t>13×13×199</t>
        </is>
      </c>
      <c r="D189" s="41" t="inlineStr">
        <is>
          <t>13</t>
        </is>
      </c>
      <c r="E189" s="41" t="inlineStr"/>
      <c r="F189" s="41" t="inlineStr"/>
    </row>
    <row r="190" ht="13" customHeight="1">
      <c r="A190" s="45" t="inlineStr">
        <is>
          <t>1129</t>
        </is>
      </c>
      <c r="B190" s="45" t="inlineStr">
        <is>
          <t>14780</t>
        </is>
      </c>
      <c r="C190" s="45" t="inlineStr">
        <is>
          <t>2×2×5×739</t>
        </is>
      </c>
      <c r="D190" s="45" t="inlineStr">
        <is>
          <t>2·5</t>
        </is>
      </c>
      <c r="E190" s="45" t="inlineStr"/>
      <c r="F190" s="45" t="inlineStr"/>
    </row>
    <row r="191" ht="13" customHeight="1">
      <c r="A191" s="41" t="inlineStr">
        <is>
          <t>1151</t>
        </is>
      </c>
      <c r="B191" s="41" t="inlineStr">
        <is>
          <t>20332</t>
        </is>
      </c>
      <c r="C191" s="41" t="inlineStr">
        <is>
          <t>2×2×13×17×23</t>
        </is>
      </c>
      <c r="D191" s="41" t="inlineStr">
        <is>
          <t>2·13·17</t>
        </is>
      </c>
      <c r="E191" s="41" t="inlineStr"/>
      <c r="F191" s="41" t="inlineStr"/>
    </row>
    <row r="192" ht="13" customHeight="1">
      <c r="A192" s="45" t="inlineStr">
        <is>
          <t>1153</t>
        </is>
      </c>
      <c r="B192" s="45" t="inlineStr">
        <is>
          <t>3713</t>
        </is>
      </c>
      <c r="C192" s="45" t="inlineStr">
        <is>
          <t>47×79</t>
        </is>
      </c>
      <c r="D192" s="45" t="inlineStr">
        <is>
          <t>—</t>
        </is>
      </c>
      <c r="E192" s="45" t="inlineStr"/>
      <c r="F192" s="45" t="inlineStr"/>
    </row>
    <row r="193" ht="13" customHeight="1">
      <c r="A193" s="49" t="inlineStr">
        <is>
          <t>1163</t>
        </is>
      </c>
      <c r="B193" s="49" t="inlineStr">
        <is>
          <t>6212</t>
        </is>
      </c>
      <c r="C193" s="49" t="inlineStr">
        <is>
          <t>2×2×1553</t>
        </is>
      </c>
      <c r="D193" s="49" t="inlineStr">
        <is>
          <t>2</t>
        </is>
      </c>
      <c r="E193" s="49" t="inlineStr"/>
      <c r="F193" s="49" t="inlineStr"/>
    </row>
    <row r="194" ht="13" customHeight="1">
      <c r="A194" s="43" t="inlineStr">
        <is>
          <t>1171</t>
        </is>
      </c>
      <c r="B194" s="43" t="inlineStr">
        <is>
          <t>31064</t>
        </is>
      </c>
      <c r="C194" s="43" t="inlineStr">
        <is>
          <t>2×2×2×11×353</t>
        </is>
      </c>
      <c r="D194" s="43" t="inlineStr">
        <is>
          <t>2·11</t>
        </is>
      </c>
      <c r="E194" s="43" t="inlineStr"/>
      <c r="F194" s="43" t="inlineStr"/>
    </row>
    <row r="195" ht="13" customHeight="1">
      <c r="A195" s="49" t="inlineStr">
        <is>
          <t>1181</t>
        </is>
      </c>
      <c r="B195" s="49" t="inlineStr">
        <is>
          <t>12468</t>
        </is>
      </c>
      <c r="C195" s="49" t="inlineStr">
        <is>
          <t>2×2×3×1039</t>
        </is>
      </c>
      <c r="D195" s="49" t="inlineStr">
        <is>
          <t>2·3</t>
        </is>
      </c>
      <c r="E195" s="49" t="inlineStr"/>
      <c r="F195" s="49" t="inlineStr"/>
    </row>
    <row r="196" ht="13" customHeight="1">
      <c r="A196" s="50" t="inlineStr">
        <is>
          <t>1187</t>
        </is>
      </c>
      <c r="B196" s="50" t="inlineStr">
        <is>
          <t>41849</t>
        </is>
      </c>
      <c r="C196" s="50" t="inlineStr">
        <is>
          <t>41849</t>
        </is>
      </c>
      <c r="D196" s="50" t="inlineStr">
        <is>
          <t>—</t>
        </is>
      </c>
      <c r="E196" s="50" t="inlineStr"/>
      <c r="F196" s="50" t="inlineStr"/>
    </row>
    <row r="197" ht="13" customHeight="1">
      <c r="A197" s="50" t="inlineStr">
        <is>
          <t>1193</t>
        </is>
      </c>
      <c r="B197" s="50" t="inlineStr">
        <is>
          <t>9497</t>
        </is>
      </c>
      <c r="C197" s="50" t="inlineStr">
        <is>
          <t>9497</t>
        </is>
      </c>
      <c r="D197" s="50" t="inlineStr">
        <is>
          <t>—</t>
        </is>
      </c>
      <c r="E197" s="50" t="inlineStr"/>
      <c r="F197" s="50" t="inlineStr"/>
    </row>
    <row r="198" ht="13" customHeight="1">
      <c r="A198" s="45" t="inlineStr">
        <is>
          <t>1201</t>
        </is>
      </c>
      <c r="B198" s="45" t="inlineStr">
        <is>
          <t>34383</t>
        </is>
      </c>
      <c r="C198" s="45" t="inlineStr">
        <is>
          <t>3×73×157</t>
        </is>
      </c>
      <c r="D198" s="45" t="inlineStr">
        <is>
          <t>3</t>
        </is>
      </c>
      <c r="E198" s="45" t="inlineStr"/>
      <c r="F198" s="45" t="inlineStr"/>
    </row>
    <row r="199" ht="13" customHeight="1">
      <c r="A199" s="49" t="inlineStr">
        <is>
          <t>1213</t>
        </is>
      </c>
      <c r="B199" s="49" t="inlineStr">
        <is>
          <t>17484</t>
        </is>
      </c>
      <c r="C199" s="49" t="inlineStr">
        <is>
          <t>2×2×3×31×47</t>
        </is>
      </c>
      <c r="D199" s="49" t="inlineStr">
        <is>
          <t>2·3</t>
        </is>
      </c>
      <c r="E199" s="49" t="inlineStr"/>
      <c r="F199" s="49" t="inlineStr"/>
    </row>
    <row r="200" ht="13" customHeight="1">
      <c r="A200" s="45" t="inlineStr">
        <is>
          <t>1217</t>
        </is>
      </c>
      <c r="B200" s="45" t="inlineStr">
        <is>
          <t>40390</t>
        </is>
      </c>
      <c r="C200" s="45" t="inlineStr">
        <is>
          <t>2×5×7×577</t>
        </is>
      </c>
      <c r="D200" s="45" t="inlineStr">
        <is>
          <t>2·5·7</t>
        </is>
      </c>
      <c r="E200" s="45" t="inlineStr"/>
      <c r="F200" s="45" t="inlineStr"/>
    </row>
    <row r="201" ht="13" customHeight="1">
      <c r="A201" s="49" t="inlineStr">
        <is>
          <t>1223</t>
        </is>
      </c>
      <c r="B201" s="49" t="inlineStr">
        <is>
          <t>33835</t>
        </is>
      </c>
      <c r="C201" s="49" t="inlineStr">
        <is>
          <t>5×67×101</t>
        </is>
      </c>
      <c r="D201" s="49" t="inlineStr">
        <is>
          <t>5</t>
        </is>
      </c>
      <c r="E201" s="49" t="inlineStr"/>
      <c r="F201" s="49" t="inlineStr"/>
    </row>
    <row r="202" ht="13" customHeight="1">
      <c r="A202" s="45" t="inlineStr">
        <is>
          <t>1229</t>
        </is>
      </c>
      <c r="B202" s="45" t="inlineStr">
        <is>
          <t>339</t>
        </is>
      </c>
      <c r="C202" s="45" t="inlineStr">
        <is>
          <t>3×113</t>
        </is>
      </c>
      <c r="D202" s="45" t="inlineStr">
        <is>
          <t>3</t>
        </is>
      </c>
      <c r="E202" s="45" t="inlineStr"/>
      <c r="F202" s="45" t="inlineStr"/>
    </row>
    <row r="203" ht="13" customHeight="1">
      <c r="A203" s="41" t="inlineStr">
        <is>
          <t>1231</t>
        </is>
      </c>
      <c r="B203" s="41" t="inlineStr">
        <is>
          <t>17433</t>
        </is>
      </c>
      <c r="C203" s="41" t="inlineStr">
        <is>
          <t>3×3×13×149</t>
        </is>
      </c>
      <c r="D203" s="41" t="inlineStr">
        <is>
          <t>3·13</t>
        </is>
      </c>
      <c r="E203" s="41" t="inlineStr"/>
      <c r="F203" s="41" t="inlineStr"/>
    </row>
    <row r="204" ht="13" customHeight="1">
      <c r="A204" s="45" t="inlineStr">
        <is>
          <t>1237</t>
        </is>
      </c>
      <c r="B204" s="45" t="inlineStr">
        <is>
          <t>35500</t>
        </is>
      </c>
      <c r="C204" s="45" t="inlineStr">
        <is>
          <t>2×2×5×5×5×71</t>
        </is>
      </c>
      <c r="D204" s="45" t="inlineStr">
        <is>
          <t>2·5</t>
        </is>
      </c>
      <c r="E204" s="45" t="inlineStr"/>
      <c r="F204" s="45" t="inlineStr"/>
    </row>
    <row r="205" ht="13" customHeight="1">
      <c r="A205" s="50" t="inlineStr">
        <is>
          <t>1249</t>
        </is>
      </c>
      <c r="B205" s="50" t="inlineStr">
        <is>
          <t>13907</t>
        </is>
      </c>
      <c r="C205" s="50" t="inlineStr">
        <is>
          <t>13907</t>
        </is>
      </c>
      <c r="D205" s="50" t="inlineStr">
        <is>
          <t>—</t>
        </is>
      </c>
      <c r="E205" s="50" t="inlineStr"/>
      <c r="F205" s="50" t="inlineStr"/>
    </row>
    <row r="206" ht="13" customHeight="1">
      <c r="A206" s="45" t="inlineStr">
        <is>
          <t>1259</t>
        </is>
      </c>
      <c r="B206" s="45" t="inlineStr">
        <is>
          <t>30574</t>
        </is>
      </c>
      <c r="C206" s="45" t="inlineStr">
        <is>
          <t>2×15287</t>
        </is>
      </c>
      <c r="D206" s="45" t="inlineStr">
        <is>
          <t>2</t>
        </is>
      </c>
      <c r="E206" s="45" t="inlineStr"/>
      <c r="F206" s="45" t="inlineStr"/>
    </row>
    <row r="207" ht="13" customHeight="1">
      <c r="A207" s="49" t="inlineStr">
        <is>
          <t>1277</t>
        </is>
      </c>
      <c r="B207" s="49" t="inlineStr">
        <is>
          <t>21273</t>
        </is>
      </c>
      <c r="C207" s="49" t="inlineStr">
        <is>
          <t>3×7×1013</t>
        </is>
      </c>
      <c r="D207" s="49" t="inlineStr">
        <is>
          <t>3·7</t>
        </is>
      </c>
      <c r="E207" s="49" t="inlineStr"/>
      <c r="F207" s="49" t="inlineStr"/>
    </row>
    <row r="208" ht="13" customHeight="1">
      <c r="A208" s="50" t="inlineStr">
        <is>
          <t>1279</t>
        </is>
      </c>
      <c r="B208" s="50" t="inlineStr">
        <is>
          <t>33923</t>
        </is>
      </c>
      <c r="C208" s="50" t="inlineStr">
        <is>
          <t>33923</t>
        </is>
      </c>
      <c r="D208" s="50" t="inlineStr">
        <is>
          <t>—</t>
        </is>
      </c>
      <c r="E208" s="50" t="inlineStr"/>
      <c r="F208" s="50" t="inlineStr"/>
    </row>
    <row r="209" ht="13" customHeight="1">
      <c r="A209" s="50" t="inlineStr">
        <is>
          <t>1283</t>
        </is>
      </c>
      <c r="B209" s="50" t="inlineStr">
        <is>
          <t>15913</t>
        </is>
      </c>
      <c r="C209" s="50" t="inlineStr">
        <is>
          <t>15913</t>
        </is>
      </c>
      <c r="D209" s="50" t="inlineStr">
        <is>
          <t>—</t>
        </is>
      </c>
      <c r="E209" s="50" t="inlineStr"/>
      <c r="F209" s="50" t="inlineStr"/>
    </row>
    <row r="210" ht="13" customHeight="1">
      <c r="A210" s="43" t="inlineStr">
        <is>
          <t>1289</t>
        </is>
      </c>
      <c r="B210" s="43" t="inlineStr">
        <is>
          <t>14047</t>
        </is>
      </c>
      <c r="C210" s="43" t="inlineStr">
        <is>
          <t>11×1277</t>
        </is>
      </c>
      <c r="D210" s="43" t="inlineStr">
        <is>
          <t>11</t>
        </is>
      </c>
      <c r="E210" s="43" t="inlineStr"/>
      <c r="F210" s="43" t="inlineStr"/>
    </row>
    <row r="211" ht="13" customHeight="1">
      <c r="A211" s="50" t="inlineStr">
        <is>
          <t>1291</t>
        </is>
      </c>
      <c r="B211" s="50" t="inlineStr">
        <is>
          <t>29207</t>
        </is>
      </c>
      <c r="C211" s="50" t="inlineStr">
        <is>
          <t>29207</t>
        </is>
      </c>
      <c r="D211" s="50" t="inlineStr">
        <is>
          <t>—</t>
        </is>
      </c>
      <c r="E211" s="50" t="inlineStr"/>
      <c r="F211" s="50" t="inlineStr"/>
    </row>
    <row r="212" ht="13" customHeight="1">
      <c r="A212" s="45" t="inlineStr">
        <is>
          <t>1297</t>
        </is>
      </c>
      <c r="B212" s="45" t="inlineStr">
        <is>
          <t>10256</t>
        </is>
      </c>
      <c r="C212" s="45" t="inlineStr">
        <is>
          <t>2×2×2×2×641</t>
        </is>
      </c>
      <c r="D212" s="45" t="inlineStr">
        <is>
          <t>2</t>
        </is>
      </c>
      <c r="E212" s="45" t="inlineStr"/>
      <c r="F212" s="45" t="inlineStr"/>
    </row>
    <row r="213" ht="13" customHeight="1">
      <c r="A213" s="50" t="inlineStr">
        <is>
          <t>1301</t>
        </is>
      </c>
      <c r="B213" s="50" t="inlineStr">
        <is>
          <t>8389</t>
        </is>
      </c>
      <c r="C213" s="50" t="inlineStr">
        <is>
          <t>8389</t>
        </is>
      </c>
      <c r="D213" s="50" t="inlineStr">
        <is>
          <t>—</t>
        </is>
      </c>
      <c r="E213" s="50" t="inlineStr"/>
      <c r="F213" s="50" t="inlineStr"/>
    </row>
    <row r="214" ht="13" customHeight="1">
      <c r="A214" s="45" t="inlineStr">
        <is>
          <t>1303</t>
        </is>
      </c>
      <c r="B214" s="45" t="inlineStr">
        <is>
          <t>38234</t>
        </is>
      </c>
      <c r="C214" s="45" t="inlineStr">
        <is>
          <t>2×7×2731</t>
        </is>
      </c>
      <c r="D214" s="45" t="inlineStr">
        <is>
          <t>2·7</t>
        </is>
      </c>
      <c r="E214" s="45" t="inlineStr"/>
      <c r="F214" s="45" t="inlineStr"/>
    </row>
    <row r="215" ht="13" customHeight="1">
      <c r="A215" s="49" t="inlineStr">
        <is>
          <t>1307</t>
        </is>
      </c>
      <c r="B215" s="49" t="inlineStr">
        <is>
          <t>35085</t>
        </is>
      </c>
      <c r="C215" s="49" t="inlineStr">
        <is>
          <t>3×5×2339</t>
        </is>
      </c>
      <c r="D215" s="49" t="inlineStr">
        <is>
          <t>3·5</t>
        </is>
      </c>
      <c r="E215" s="49" t="inlineStr"/>
      <c r="F215" s="49" t="inlineStr"/>
    </row>
    <row r="216" ht="13" customHeight="1">
      <c r="A216" s="45" t="inlineStr">
        <is>
          <t>1319</t>
        </is>
      </c>
      <c r="B216" s="45" t="inlineStr">
        <is>
          <t>40692</t>
        </is>
      </c>
      <c r="C216" s="45" t="inlineStr">
        <is>
          <t>2×2×3×3391</t>
        </is>
      </c>
      <c r="D216" s="45" t="inlineStr">
        <is>
          <t>2·3</t>
        </is>
      </c>
      <c r="E216" s="45" t="inlineStr"/>
      <c r="F216" s="45" t="inlineStr"/>
    </row>
    <row r="217" ht="13" customHeight="1">
      <c r="A217" s="49" t="inlineStr">
        <is>
          <t>1321</t>
        </is>
      </c>
      <c r="B217" s="49" t="inlineStr">
        <is>
          <t>6322</t>
        </is>
      </c>
      <c r="C217" s="49" t="inlineStr">
        <is>
          <t>2×29×109</t>
        </is>
      </c>
      <c r="D217" s="49" t="inlineStr">
        <is>
          <t>2</t>
        </is>
      </c>
      <c r="E217" s="49" t="inlineStr"/>
      <c r="F217" s="49" t="inlineStr"/>
    </row>
    <row r="218" ht="13" customHeight="1">
      <c r="A218" s="45" t="inlineStr">
        <is>
          <t>1327</t>
        </is>
      </c>
      <c r="B218" s="45" t="inlineStr">
        <is>
          <t>33039</t>
        </is>
      </c>
      <c r="C218" s="45" t="inlineStr">
        <is>
          <t>3×3×3671</t>
        </is>
      </c>
      <c r="D218" s="45" t="inlineStr">
        <is>
          <t>3</t>
        </is>
      </c>
      <c r="E218" s="45" t="inlineStr"/>
      <c r="F218" s="45" t="inlineStr"/>
    </row>
    <row r="219" ht="13" customHeight="1">
      <c r="A219" s="41" t="inlineStr">
        <is>
          <t>1361</t>
        </is>
      </c>
      <c r="B219" s="41" t="inlineStr">
        <is>
          <t>30056</t>
        </is>
      </c>
      <c r="C219" s="41" t="inlineStr">
        <is>
          <t>2×2×2×13×17×17</t>
        </is>
      </c>
      <c r="D219" s="41" t="inlineStr">
        <is>
          <t>2·13·17</t>
        </is>
      </c>
      <c r="E219" s="41" t="inlineStr"/>
      <c r="F219" s="41" t="inlineStr"/>
    </row>
    <row r="220" ht="13" customHeight="1">
      <c r="A220" s="50" t="inlineStr">
        <is>
          <t>1367</t>
        </is>
      </c>
      <c r="B220" s="50" t="inlineStr">
        <is>
          <t>26203</t>
        </is>
      </c>
      <c r="C220" s="50" t="inlineStr">
        <is>
          <t>26203</t>
        </is>
      </c>
      <c r="D220" s="50" t="inlineStr">
        <is>
          <t>—</t>
        </is>
      </c>
      <c r="E220" s="50" t="inlineStr"/>
      <c r="F220" s="50" t="inlineStr"/>
    </row>
    <row r="221" ht="13" customHeight="1">
      <c r="A221" s="49" t="inlineStr">
        <is>
          <t>1373</t>
        </is>
      </c>
      <c r="B221" s="49" t="inlineStr">
        <is>
          <t>905</t>
        </is>
      </c>
      <c r="C221" s="49" t="inlineStr">
        <is>
          <t>5×181</t>
        </is>
      </c>
      <c r="D221" s="49" t="inlineStr">
        <is>
          <t>5</t>
        </is>
      </c>
      <c r="E221" s="49" t="inlineStr"/>
      <c r="F221" s="49" t="inlineStr"/>
    </row>
    <row r="222" ht="13" customHeight="1">
      <c r="A222" s="45" t="inlineStr">
        <is>
          <t>1381</t>
        </is>
      </c>
      <c r="B222" s="45" t="inlineStr">
        <is>
          <t>7797</t>
        </is>
      </c>
      <c r="C222" s="45" t="inlineStr">
        <is>
          <t>3×23×113</t>
        </is>
      </c>
      <c r="D222" s="45" t="inlineStr">
        <is>
          <t>3</t>
        </is>
      </c>
      <c r="E222" s="45" t="inlineStr"/>
      <c r="F222" s="45" t="inlineStr"/>
    </row>
    <row r="223" ht="13" customHeight="1">
      <c r="A223" s="49" t="inlineStr">
        <is>
          <t>1399</t>
        </is>
      </c>
      <c r="B223" s="49" t="inlineStr">
        <is>
          <t>24755</t>
        </is>
      </c>
      <c r="C223" s="49" t="inlineStr">
        <is>
          <t>5×4951</t>
        </is>
      </c>
      <c r="D223" s="49" t="inlineStr">
        <is>
          <t>5</t>
        </is>
      </c>
      <c r="E223" s="49" t="inlineStr"/>
      <c r="F223" s="49" t="inlineStr"/>
    </row>
    <row r="224" ht="13" customHeight="1">
      <c r="A224" s="51" t="inlineStr">
        <is>
          <t>1409</t>
        </is>
      </c>
      <c r="B224" s="51" t="inlineStr">
        <is>
          <t>8417</t>
        </is>
      </c>
      <c r="C224" s="51" t="inlineStr">
        <is>
          <t>19×443</t>
        </is>
      </c>
      <c r="D224" s="51" t="inlineStr">
        <is>
          <t>19</t>
        </is>
      </c>
      <c r="E224" s="51" t="inlineStr"/>
      <c r="F224" s="51" t="inlineStr"/>
    </row>
    <row r="225" ht="13" customHeight="1">
      <c r="A225" s="49" t="inlineStr">
        <is>
          <t>1423</t>
        </is>
      </c>
      <c r="B225" s="49" t="inlineStr">
        <is>
          <t>42074</t>
        </is>
      </c>
      <c r="C225" s="49" t="inlineStr">
        <is>
          <t>2×109×193</t>
        </is>
      </c>
      <c r="D225" s="49" t="inlineStr">
        <is>
          <t>2</t>
        </is>
      </c>
      <c r="E225" s="49" t="inlineStr"/>
      <c r="F225" s="49" t="inlineStr"/>
    </row>
    <row r="226" ht="13" customHeight="1">
      <c r="A226" s="45" t="inlineStr">
        <is>
          <t>1427</t>
        </is>
      </c>
      <c r="B226" s="45" t="inlineStr">
        <is>
          <t>36849</t>
        </is>
      </c>
      <c r="C226" s="45" t="inlineStr">
        <is>
          <t>3×71×173</t>
        </is>
      </c>
      <c r="D226" s="45" t="inlineStr">
        <is>
          <t>3</t>
        </is>
      </c>
      <c r="E226" s="45" t="inlineStr"/>
      <c r="F226" s="45" t="inlineStr"/>
    </row>
    <row r="227" ht="13" customHeight="1">
      <c r="A227" s="49" t="inlineStr">
        <is>
          <t>1429</t>
        </is>
      </c>
      <c r="B227" s="49" t="inlineStr">
        <is>
          <t>30171</t>
        </is>
      </c>
      <c r="C227" s="49" t="inlineStr">
        <is>
          <t>3×89×113</t>
        </is>
      </c>
      <c r="D227" s="49" t="inlineStr">
        <is>
          <t>3</t>
        </is>
      </c>
      <c r="E227" s="49" t="inlineStr"/>
      <c r="F227" s="49" t="inlineStr"/>
    </row>
    <row r="228" ht="13" customHeight="1">
      <c r="A228" s="45" t="inlineStr">
        <is>
          <t>1433</t>
        </is>
      </c>
      <c r="B228" s="45" t="inlineStr">
        <is>
          <t>5766</t>
        </is>
      </c>
      <c r="C228" s="45" t="inlineStr">
        <is>
          <t>2×3×31×31</t>
        </is>
      </c>
      <c r="D228" s="45" t="inlineStr">
        <is>
          <t>2·3</t>
        </is>
      </c>
      <c r="E228" s="45" t="inlineStr"/>
      <c r="F228" s="45" t="inlineStr"/>
    </row>
    <row r="229" ht="13" customHeight="1">
      <c r="A229" s="49" t="inlineStr">
        <is>
          <t>1439</t>
        </is>
      </c>
      <c r="B229" s="49" t="inlineStr">
        <is>
          <t>24069</t>
        </is>
      </c>
      <c r="C229" s="49" t="inlineStr">
        <is>
          <t>3×71×113</t>
        </is>
      </c>
      <c r="D229" s="49" t="inlineStr">
        <is>
          <t>3</t>
        </is>
      </c>
      <c r="E229" s="49" t="inlineStr"/>
      <c r="F229" s="49" t="inlineStr"/>
    </row>
    <row r="230" ht="13" customHeight="1">
      <c r="A230" s="45" t="inlineStr">
        <is>
          <t>1447</t>
        </is>
      </c>
      <c r="B230" s="45" t="inlineStr">
        <is>
          <t>2001</t>
        </is>
      </c>
      <c r="C230" s="45" t="inlineStr">
        <is>
          <t>3×23×29</t>
        </is>
      </c>
      <c r="D230" s="45" t="inlineStr">
        <is>
          <t>3</t>
        </is>
      </c>
      <c r="E230" s="45" t="inlineStr"/>
      <c r="F230" s="45" t="inlineStr"/>
    </row>
    <row r="231" ht="13" customHeight="1">
      <c r="A231" s="50" t="inlineStr">
        <is>
          <t>1451</t>
        </is>
      </c>
      <c r="B231" s="50" t="inlineStr">
        <is>
          <t>2129</t>
        </is>
      </c>
      <c r="C231" s="50" t="inlineStr">
        <is>
          <t>2129</t>
        </is>
      </c>
      <c r="D231" s="50" t="inlineStr">
        <is>
          <t>—</t>
        </is>
      </c>
      <c r="E231" s="50" t="inlineStr"/>
      <c r="F231" s="50" t="inlineStr"/>
    </row>
    <row r="232" ht="13" customHeight="1">
      <c r="A232" s="50" t="inlineStr">
        <is>
          <t>1453</t>
        </is>
      </c>
      <c r="B232" s="50" t="inlineStr">
        <is>
          <t>41243</t>
        </is>
      </c>
      <c r="C232" s="50" t="inlineStr">
        <is>
          <t>41243</t>
        </is>
      </c>
      <c r="D232" s="50" t="inlineStr">
        <is>
          <t>—</t>
        </is>
      </c>
      <c r="E232" s="50" t="inlineStr"/>
      <c r="F232" s="50" t="inlineStr"/>
    </row>
    <row r="233" ht="13" customHeight="1">
      <c r="A233" s="49" t="inlineStr">
        <is>
          <t>1459</t>
        </is>
      </c>
      <c r="B233" s="49" t="inlineStr">
        <is>
          <t>42513</t>
        </is>
      </c>
      <c r="C233" s="49" t="inlineStr">
        <is>
          <t>3×37×383</t>
        </is>
      </c>
      <c r="D233" s="49" t="inlineStr">
        <is>
          <t>3</t>
        </is>
      </c>
      <c r="E233" s="49" t="inlineStr"/>
      <c r="F233" s="49" t="inlineStr"/>
    </row>
    <row r="234" ht="13" customHeight="1">
      <c r="A234" s="45" t="inlineStr">
        <is>
          <t>1471</t>
        </is>
      </c>
      <c r="B234" s="45" t="inlineStr">
        <is>
          <t>7880</t>
        </is>
      </c>
      <c r="C234" s="45" t="inlineStr">
        <is>
          <t>2×2×2×5×197</t>
        </is>
      </c>
      <c r="D234" s="45" t="inlineStr">
        <is>
          <t>2·5</t>
        </is>
      </c>
      <c r="E234" s="45" t="inlineStr"/>
      <c r="F234" s="45" t="inlineStr"/>
    </row>
    <row r="235" ht="13" customHeight="1">
      <c r="A235" s="49" t="inlineStr">
        <is>
          <t>1481</t>
        </is>
      </c>
      <c r="B235" s="49" t="inlineStr">
        <is>
          <t>33169</t>
        </is>
      </c>
      <c r="C235" s="49" t="inlineStr">
        <is>
          <t>41×809</t>
        </is>
      </c>
      <c r="D235" s="49" t="inlineStr">
        <is>
          <t>—</t>
        </is>
      </c>
      <c r="E235" s="49" t="inlineStr"/>
      <c r="F235" s="49" t="inlineStr"/>
    </row>
    <row r="236" ht="13" customHeight="1">
      <c r="A236" s="45" t="inlineStr">
        <is>
          <t>1483</t>
        </is>
      </c>
      <c r="B236" s="45" t="inlineStr">
        <is>
          <t>29435</t>
        </is>
      </c>
      <c r="C236" s="45" t="inlineStr">
        <is>
          <t>5×7×29×29</t>
        </is>
      </c>
      <c r="D236" s="45" t="inlineStr">
        <is>
          <t>5·7</t>
        </is>
      </c>
      <c r="E236" s="45" t="inlineStr"/>
      <c r="F236" s="45" t="inlineStr"/>
    </row>
    <row r="237" ht="13" customHeight="1">
      <c r="A237" s="50" t="inlineStr">
        <is>
          <t>1487</t>
        </is>
      </c>
      <c r="B237" s="50" t="inlineStr">
        <is>
          <t>35569</t>
        </is>
      </c>
      <c r="C237" s="50" t="inlineStr">
        <is>
          <t>35569</t>
        </is>
      </c>
      <c r="D237" s="50" t="inlineStr">
        <is>
          <t>—</t>
        </is>
      </c>
      <c r="E237" s="50" t="inlineStr"/>
      <c r="F237" s="50" t="inlineStr"/>
    </row>
    <row r="238" ht="13" customHeight="1">
      <c r="A238" s="41" t="inlineStr">
        <is>
          <t>1489</t>
        </is>
      </c>
      <c r="B238" s="41" t="inlineStr">
        <is>
          <t>8551</t>
        </is>
      </c>
      <c r="C238" s="41" t="inlineStr">
        <is>
          <t>17×503</t>
        </is>
      </c>
      <c r="D238" s="41" t="inlineStr">
        <is>
          <t>17</t>
        </is>
      </c>
      <c r="E238" s="41" t="inlineStr"/>
      <c r="F238" s="41" t="inlineStr"/>
    </row>
    <row r="239" ht="13" customHeight="1">
      <c r="A239" s="50" t="inlineStr">
        <is>
          <t>1493</t>
        </is>
      </c>
      <c r="B239" s="50" t="inlineStr">
        <is>
          <t>8147</t>
        </is>
      </c>
      <c r="C239" s="50" t="inlineStr">
        <is>
          <t>8147</t>
        </is>
      </c>
      <c r="D239" s="50" t="inlineStr">
        <is>
          <t>—</t>
        </is>
      </c>
      <c r="E239" s="50" t="inlineStr"/>
      <c r="F239" s="50" t="inlineStr"/>
    </row>
    <row r="240" ht="13" customHeight="1">
      <c r="A240" s="41" t="inlineStr">
        <is>
          <t>1499</t>
        </is>
      </c>
      <c r="B240" s="41" t="inlineStr">
        <is>
          <t>41938</t>
        </is>
      </c>
      <c r="C240" s="41" t="inlineStr">
        <is>
          <t>2×13×1613</t>
        </is>
      </c>
      <c r="D240" s="41" t="inlineStr">
        <is>
          <t>2·13</t>
        </is>
      </c>
      <c r="E240" s="41" t="inlineStr"/>
      <c r="F240" s="41" t="inlineStr"/>
    </row>
    <row r="241" ht="13" customHeight="1">
      <c r="A241" s="41" t="inlineStr">
        <is>
          <t>1511</t>
        </is>
      </c>
      <c r="B241" s="41" t="inlineStr">
        <is>
          <t>9815</t>
        </is>
      </c>
      <c r="C241" s="41" t="inlineStr">
        <is>
          <t>5×13×151</t>
        </is>
      </c>
      <c r="D241" s="41" t="inlineStr">
        <is>
          <t>5·13</t>
        </is>
      </c>
      <c r="E241" s="41" t="inlineStr"/>
      <c r="F241" s="41" t="inlineStr"/>
    </row>
    <row r="242" ht="13" customHeight="1">
      <c r="A242" s="43" t="inlineStr">
        <is>
          <t>1523</t>
        </is>
      </c>
      <c r="B242" s="43" t="inlineStr">
        <is>
          <t>25212</t>
        </is>
      </c>
      <c r="C242" s="43" t="inlineStr">
        <is>
          <t>2×2×3×11×191</t>
        </is>
      </c>
      <c r="D242" s="43" t="inlineStr">
        <is>
          <t>2·3·11</t>
        </is>
      </c>
      <c r="E242" s="43" t="inlineStr"/>
      <c r="F242" s="43" t="inlineStr"/>
    </row>
    <row r="243" ht="13" customHeight="1">
      <c r="A243" s="41" t="inlineStr">
        <is>
          <t>1531</t>
        </is>
      </c>
      <c r="B243" s="41" t="inlineStr">
        <is>
          <t>30810</t>
        </is>
      </c>
      <c r="C243" s="41" t="inlineStr">
        <is>
          <t>2×3×5×13×79</t>
        </is>
      </c>
      <c r="D243" s="41" t="inlineStr">
        <is>
          <t>2·3·5·13</t>
        </is>
      </c>
      <c r="E243" s="41" t="inlineStr"/>
      <c r="F243" s="41" t="inlineStr"/>
    </row>
    <row r="244" ht="13" customHeight="1">
      <c r="A244" s="45" t="inlineStr">
        <is>
          <t>1543</t>
        </is>
      </c>
      <c r="B244" s="45" t="inlineStr">
        <is>
          <t>6926</t>
        </is>
      </c>
      <c r="C244" s="45" t="inlineStr">
        <is>
          <t>2×3463</t>
        </is>
      </c>
      <c r="D244" s="45" t="inlineStr">
        <is>
          <t>2</t>
        </is>
      </c>
      <c r="E244" s="45" t="inlineStr"/>
      <c r="F244" s="45" t="inlineStr"/>
    </row>
    <row r="245" ht="13" customHeight="1">
      <c r="A245" s="49" t="inlineStr">
        <is>
          <t>1549</t>
        </is>
      </c>
      <c r="B245" s="49" t="inlineStr">
        <is>
          <t>18763</t>
        </is>
      </c>
      <c r="C245" s="49" t="inlineStr">
        <is>
          <t>29×647</t>
        </is>
      </c>
      <c r="D245" s="49" t="inlineStr">
        <is>
          <t>—</t>
        </is>
      </c>
      <c r="E245" s="49" t="inlineStr"/>
      <c r="F245" s="49" t="inlineStr"/>
    </row>
    <row r="246" ht="13" customHeight="1">
      <c r="A246" s="45" t="inlineStr">
        <is>
          <t>1553</t>
        </is>
      </c>
      <c r="B246" s="45" t="inlineStr">
        <is>
          <t>41397</t>
        </is>
      </c>
      <c r="C246" s="45" t="inlineStr">
        <is>
          <t>3×13799</t>
        </is>
      </c>
      <c r="D246" s="45" t="inlineStr">
        <is>
          <t>3</t>
        </is>
      </c>
      <c r="E246" s="45" t="inlineStr"/>
      <c r="F246" s="45" t="inlineStr"/>
    </row>
    <row r="247" ht="13" customHeight="1">
      <c r="A247" s="49" t="inlineStr">
        <is>
          <t>1559</t>
        </is>
      </c>
      <c r="B247" s="49" t="inlineStr">
        <is>
          <t>31938</t>
        </is>
      </c>
      <c r="C247" s="49" t="inlineStr">
        <is>
          <t>2×3×5323</t>
        </is>
      </c>
      <c r="D247" s="49" t="inlineStr">
        <is>
          <t>2·3</t>
        </is>
      </c>
      <c r="E247" s="49" t="inlineStr"/>
      <c r="F247" s="49" t="inlineStr"/>
    </row>
    <row r="248" ht="13" customHeight="1">
      <c r="A248" s="45" t="inlineStr">
        <is>
          <t>1567</t>
        </is>
      </c>
      <c r="B248" s="45" t="inlineStr">
        <is>
          <t>36463</t>
        </is>
      </c>
      <c r="C248" s="45" t="inlineStr">
        <is>
          <t>7×5209</t>
        </is>
      </c>
      <c r="D248" s="45" t="inlineStr">
        <is>
          <t>7</t>
        </is>
      </c>
      <c r="E248" s="45" t="inlineStr"/>
      <c r="F248" s="45" t="inlineStr"/>
    </row>
    <row r="249" ht="13" customHeight="1">
      <c r="A249" s="37" t="inlineStr">
        <is>
          <t>1571</t>
        </is>
      </c>
      <c r="B249" s="37" t="inlineStr">
        <is>
          <t>4969</t>
        </is>
      </c>
      <c r="C249" s="37" t="inlineStr">
        <is>
          <t>4969</t>
        </is>
      </c>
      <c r="D249" s="37" t="inlineStr">
        <is>
          <t>—</t>
        </is>
      </c>
      <c r="E249" s="37" t="inlineStr"/>
      <c r="F249" s="37" t="inlineStr">
        <is>
          <t>strong BP of 1570 · in weak coupling step 9426</t>
        </is>
      </c>
    </row>
    <row r="250" ht="13" customHeight="1">
      <c r="A250" s="45" t="inlineStr">
        <is>
          <t>1579</t>
        </is>
      </c>
      <c r="B250" s="45" t="inlineStr">
        <is>
          <t>6918</t>
        </is>
      </c>
      <c r="C250" s="45" t="inlineStr">
        <is>
          <t>2×3×1153</t>
        </is>
      </c>
      <c r="D250" s="45" t="inlineStr">
        <is>
          <t>2·3</t>
        </is>
      </c>
      <c r="E250" s="45" t="inlineStr"/>
      <c r="F250" s="45" t="inlineStr"/>
    </row>
    <row r="251" ht="13" customHeight="1">
      <c r="A251" s="43" t="inlineStr">
        <is>
          <t>1583</t>
        </is>
      </c>
      <c r="B251" s="43" t="inlineStr">
        <is>
          <t>11</t>
        </is>
      </c>
      <c r="C251" s="43" t="inlineStr">
        <is>
          <t>11</t>
        </is>
      </c>
      <c r="D251" s="43" t="inlineStr">
        <is>
          <t>11</t>
        </is>
      </c>
      <c r="E251" s="43" t="inlineStr"/>
      <c r="F251" s="43" t="inlineStr"/>
    </row>
    <row r="252" ht="13" customHeight="1">
      <c r="A252" s="45" t="inlineStr">
        <is>
          <t>1597</t>
        </is>
      </c>
      <c r="B252" s="45" t="inlineStr">
        <is>
          <t>14697</t>
        </is>
      </c>
      <c r="C252" s="45" t="inlineStr">
        <is>
          <t>3×3×23×71</t>
        </is>
      </c>
      <c r="D252" s="45" t="inlineStr">
        <is>
          <t>3</t>
        </is>
      </c>
      <c r="E252" s="45" t="inlineStr"/>
      <c r="F252" s="45" t="inlineStr"/>
    </row>
    <row r="253" ht="13" customHeight="1">
      <c r="A253" s="50" t="inlineStr">
        <is>
          <t>1601</t>
        </is>
      </c>
      <c r="B253" s="50" t="inlineStr">
        <is>
          <t>16901</t>
        </is>
      </c>
      <c r="C253" s="50" t="inlineStr">
        <is>
          <t>16901</t>
        </is>
      </c>
      <c r="D253" s="50" t="inlineStr">
        <is>
          <t>—</t>
        </is>
      </c>
      <c r="E253" s="50" t="inlineStr"/>
      <c r="F253" s="50" t="inlineStr"/>
    </row>
    <row r="254" ht="13" customHeight="1">
      <c r="A254" s="45" t="inlineStr">
        <is>
          <t>1607</t>
        </is>
      </c>
      <c r="B254" s="45" t="inlineStr">
        <is>
          <t>21734</t>
        </is>
      </c>
      <c r="C254" s="45" t="inlineStr">
        <is>
          <t>2×10867</t>
        </is>
      </c>
      <c r="D254" s="45" t="inlineStr">
        <is>
          <t>2</t>
        </is>
      </c>
      <c r="E254" s="45" t="inlineStr"/>
      <c r="F254" s="45" t="inlineStr"/>
    </row>
    <row r="255" ht="13" customHeight="1">
      <c r="A255" s="41" t="inlineStr">
        <is>
          <t>1609</t>
        </is>
      </c>
      <c r="B255" s="41" t="inlineStr">
        <is>
          <t>28353</t>
        </is>
      </c>
      <c r="C255" s="41" t="inlineStr">
        <is>
          <t>3×13×727</t>
        </is>
      </c>
      <c r="D255" s="41" t="inlineStr">
        <is>
          <t>3·13</t>
        </is>
      </c>
      <c r="E255" s="41" t="inlineStr"/>
      <c r="F255" s="41" t="inlineStr"/>
    </row>
    <row r="256" ht="13" customHeight="1">
      <c r="A256" s="45" t="inlineStr">
        <is>
          <t>1613</t>
        </is>
      </c>
      <c r="B256" s="45" t="inlineStr">
        <is>
          <t>6989</t>
        </is>
      </c>
      <c r="C256" s="45" t="inlineStr">
        <is>
          <t>29×241</t>
        </is>
      </c>
      <c r="D256" s="45" t="inlineStr">
        <is>
          <t>—</t>
        </is>
      </c>
      <c r="E256" s="45" t="inlineStr"/>
      <c r="F256" s="45" t="inlineStr"/>
    </row>
    <row r="257" ht="13" customHeight="1">
      <c r="A257" s="41" t="inlineStr">
        <is>
          <t>1619</t>
        </is>
      </c>
      <c r="B257" s="41" t="inlineStr">
        <is>
          <t>10132</t>
        </is>
      </c>
      <c r="C257" s="41" t="inlineStr">
        <is>
          <t>2×2×17×149</t>
        </is>
      </c>
      <c r="D257" s="41" t="inlineStr">
        <is>
          <t>2·17</t>
        </is>
      </c>
      <c r="E257" s="41" t="inlineStr"/>
      <c r="F257" s="41" t="inlineStr"/>
    </row>
    <row r="258" ht="13" customHeight="1">
      <c r="A258" s="43" t="inlineStr">
        <is>
          <t>1621</t>
        </is>
      </c>
      <c r="B258" s="43" t="inlineStr">
        <is>
          <t>726</t>
        </is>
      </c>
      <c r="C258" s="43" t="inlineStr">
        <is>
          <t>2×3×11×11</t>
        </is>
      </c>
      <c r="D258" s="43" t="inlineStr">
        <is>
          <t>2·3·11</t>
        </is>
      </c>
      <c r="E258" s="43" t="inlineStr"/>
      <c r="F258" s="43" t="inlineStr"/>
    </row>
    <row r="259" ht="13" customHeight="1">
      <c r="A259" s="49" t="inlineStr">
        <is>
          <t>1627</t>
        </is>
      </c>
      <c r="B259" s="49" t="inlineStr">
        <is>
          <t>28701</t>
        </is>
      </c>
      <c r="C259" s="49" t="inlineStr">
        <is>
          <t>3×3×3×1063</t>
        </is>
      </c>
      <c r="D259" s="49" t="inlineStr">
        <is>
          <t>3</t>
        </is>
      </c>
      <c r="E259" s="49" t="inlineStr"/>
      <c r="F259" s="49" t="inlineStr"/>
    </row>
    <row r="260" ht="13" customHeight="1">
      <c r="A260" s="41" t="inlineStr">
        <is>
          <t>1637</t>
        </is>
      </c>
      <c r="B260" s="41" t="inlineStr">
        <is>
          <t>29549</t>
        </is>
      </c>
      <c r="C260" s="41" t="inlineStr">
        <is>
          <t>13×2273</t>
        </is>
      </c>
      <c r="D260" s="41" t="inlineStr">
        <is>
          <t>13</t>
        </is>
      </c>
      <c r="E260" s="41" t="inlineStr"/>
      <c r="F260" s="41" t="inlineStr"/>
    </row>
    <row r="261" ht="13" customHeight="1">
      <c r="A261" s="49" t="inlineStr">
        <is>
          <t>1657</t>
        </is>
      </c>
      <c r="B261" s="49" t="inlineStr">
        <is>
          <t>9143</t>
        </is>
      </c>
      <c r="C261" s="49" t="inlineStr">
        <is>
          <t>41×223</t>
        </is>
      </c>
      <c r="D261" s="49" t="inlineStr">
        <is>
          <t>—</t>
        </is>
      </c>
      <c r="E261" s="49" t="inlineStr"/>
      <c r="F261" s="49" t="inlineStr"/>
    </row>
    <row r="262" ht="13" customHeight="1">
      <c r="A262" s="45" t="inlineStr">
        <is>
          <t>1663</t>
        </is>
      </c>
      <c r="B262" s="45" t="inlineStr">
        <is>
          <t>5275</t>
        </is>
      </c>
      <c r="C262" s="45" t="inlineStr">
        <is>
          <t>5×5×211</t>
        </is>
      </c>
      <c r="D262" s="45" t="inlineStr">
        <is>
          <t>5</t>
        </is>
      </c>
      <c r="E262" s="45" t="inlineStr"/>
      <c r="F262" s="45" t="inlineStr"/>
    </row>
    <row r="263" ht="13" customHeight="1">
      <c r="A263" s="41" t="inlineStr">
        <is>
          <t>1667</t>
        </is>
      </c>
      <c r="B263" s="41" t="inlineStr">
        <is>
          <t>8211</t>
        </is>
      </c>
      <c r="C263" s="41" t="inlineStr">
        <is>
          <t>3×7×17×23</t>
        </is>
      </c>
      <c r="D263" s="41" t="inlineStr">
        <is>
          <t>3·7·17</t>
        </is>
      </c>
      <c r="E263" s="41" t="inlineStr"/>
      <c r="F263" s="41" t="inlineStr"/>
    </row>
    <row r="264" ht="13" customHeight="1">
      <c r="A264" s="45" t="inlineStr">
        <is>
          <t>1669</t>
        </is>
      </c>
      <c r="B264" s="45" t="inlineStr">
        <is>
          <t>38443</t>
        </is>
      </c>
      <c r="C264" s="45" t="inlineStr">
        <is>
          <t>37×1039</t>
        </is>
      </c>
      <c r="D264" s="45" t="inlineStr">
        <is>
          <t>—</t>
        </is>
      </c>
      <c r="E264" s="45" t="inlineStr"/>
      <c r="F264" s="45" t="inlineStr"/>
    </row>
    <row r="265" ht="13" customHeight="1">
      <c r="A265" s="51" t="inlineStr">
        <is>
          <t>1693</t>
        </is>
      </c>
      <c r="B265" s="51" t="inlineStr">
        <is>
          <t>18924</t>
        </is>
      </c>
      <c r="C265" s="51" t="inlineStr">
        <is>
          <t>2×2×3×19×83</t>
        </is>
      </c>
      <c r="D265" s="51" t="inlineStr">
        <is>
          <t>2·3·19</t>
        </is>
      </c>
      <c r="E265" s="51" t="inlineStr"/>
      <c r="F265" s="51" t="inlineStr"/>
    </row>
    <row r="266" ht="13" customHeight="1">
      <c r="A266" s="51" t="inlineStr">
        <is>
          <t>1697</t>
        </is>
      </c>
      <c r="B266" s="51" t="inlineStr">
        <is>
          <t>42750</t>
        </is>
      </c>
      <c r="C266" s="51" t="inlineStr">
        <is>
          <t>2×3×3×5×5×5×19</t>
        </is>
      </c>
      <c r="D266" s="51" t="inlineStr">
        <is>
          <t>2·3·5·19</t>
        </is>
      </c>
      <c r="E266" s="51" t="inlineStr"/>
      <c r="F266" s="51" t="inlineStr"/>
    </row>
    <row r="267" ht="13" customHeight="1">
      <c r="A267" s="49" t="inlineStr">
        <is>
          <t>1699</t>
        </is>
      </c>
      <c r="B267" s="49" t="inlineStr">
        <is>
          <t>35583</t>
        </is>
      </c>
      <c r="C267" s="49" t="inlineStr">
        <is>
          <t>3×29×409</t>
        </is>
      </c>
      <c r="D267" s="49" t="inlineStr">
        <is>
          <t>3</t>
        </is>
      </c>
      <c r="E267" s="49" t="inlineStr"/>
      <c r="F267" s="49" t="inlineStr"/>
    </row>
    <row r="268" ht="13" customHeight="1">
      <c r="A268" s="50" t="inlineStr">
        <is>
          <t>1709</t>
        </is>
      </c>
      <c r="B268" s="50" t="inlineStr">
        <is>
          <t>32401</t>
        </is>
      </c>
      <c r="C268" s="50" t="inlineStr">
        <is>
          <t>32401</t>
        </is>
      </c>
      <c r="D268" s="50" t="inlineStr">
        <is>
          <t>—</t>
        </is>
      </c>
      <c r="E268" s="50" t="inlineStr"/>
      <c r="F268" s="50" t="inlineStr"/>
    </row>
    <row r="269" ht="13" customHeight="1">
      <c r="A269" s="49" t="inlineStr">
        <is>
          <t>1721</t>
        </is>
      </c>
      <c r="B269" s="49" t="inlineStr">
        <is>
          <t>12266</t>
        </is>
      </c>
      <c r="C269" s="49" t="inlineStr">
        <is>
          <t>2×6133</t>
        </is>
      </c>
      <c r="D269" s="49" t="inlineStr">
        <is>
          <t>2</t>
        </is>
      </c>
      <c r="E269" s="49" t="inlineStr"/>
      <c r="F269" s="49" t="inlineStr"/>
    </row>
    <row r="270" ht="13" customHeight="1">
      <c r="A270" s="45" t="inlineStr">
        <is>
          <t>1723</t>
        </is>
      </c>
      <c r="B270" s="45" t="inlineStr">
        <is>
          <t>33879</t>
        </is>
      </c>
      <c r="C270" s="45" t="inlineStr">
        <is>
          <t>3×23×491</t>
        </is>
      </c>
      <c r="D270" s="45" t="inlineStr">
        <is>
          <t>3</t>
        </is>
      </c>
      <c r="E270" s="45" t="inlineStr"/>
      <c r="F270" s="45" t="inlineStr"/>
    </row>
    <row r="271" ht="13" customHeight="1">
      <c r="A271" s="51" t="inlineStr">
        <is>
          <t>1733</t>
        </is>
      </c>
      <c r="B271" s="51" t="inlineStr">
        <is>
          <t>3420</t>
        </is>
      </c>
      <c r="C271" s="51" t="inlineStr">
        <is>
          <t>2×2×3×3×5×19</t>
        </is>
      </c>
      <c r="D271" s="51" t="inlineStr">
        <is>
          <t>2·3·5·19</t>
        </is>
      </c>
      <c r="E271" s="51" t="inlineStr"/>
      <c r="F271" s="51" t="inlineStr"/>
    </row>
    <row r="272" ht="13" customHeight="1">
      <c r="A272" s="45" t="inlineStr">
        <is>
          <t>1741</t>
        </is>
      </c>
      <c r="B272" s="45" t="inlineStr">
        <is>
          <t>41882</t>
        </is>
      </c>
      <c r="C272" s="45" t="inlineStr">
        <is>
          <t>2×43×487</t>
        </is>
      </c>
      <c r="D272" s="45" t="inlineStr">
        <is>
          <t>2</t>
        </is>
      </c>
      <c r="E272" s="45" t="inlineStr"/>
      <c r="F272" s="45" t="inlineStr"/>
    </row>
    <row r="273" ht="13" customHeight="1">
      <c r="A273" s="49" t="inlineStr">
        <is>
          <t>1747</t>
        </is>
      </c>
      <c r="B273" s="49" t="inlineStr">
        <is>
          <t>19197</t>
        </is>
      </c>
      <c r="C273" s="49" t="inlineStr">
        <is>
          <t>3×3×3×3×3×79</t>
        </is>
      </c>
      <c r="D273" s="49" t="inlineStr">
        <is>
          <t>3</t>
        </is>
      </c>
      <c r="E273" s="49" t="inlineStr"/>
      <c r="F273" s="49" t="inlineStr"/>
    </row>
    <row r="274" ht="13" customHeight="1">
      <c r="A274" s="45" t="inlineStr">
        <is>
          <t>1753</t>
        </is>
      </c>
      <c r="B274" s="45" t="inlineStr">
        <is>
          <t>17526</t>
        </is>
      </c>
      <c r="C274" s="45" t="inlineStr">
        <is>
          <t>2×3×23×127</t>
        </is>
      </c>
      <c r="D274" s="45" t="inlineStr">
        <is>
          <t>2·3</t>
        </is>
      </c>
      <c r="E274" s="45" t="inlineStr"/>
      <c r="F274" s="45" t="inlineStr"/>
    </row>
    <row r="275" ht="13" customHeight="1">
      <c r="A275" s="49" t="inlineStr">
        <is>
          <t>1759</t>
        </is>
      </c>
      <c r="B275" s="49" t="inlineStr">
        <is>
          <t>2716</t>
        </is>
      </c>
      <c r="C275" s="49" t="inlineStr">
        <is>
          <t>2×2×7×97</t>
        </is>
      </c>
      <c r="D275" s="49" t="inlineStr">
        <is>
          <t>2·7</t>
        </is>
      </c>
      <c r="E275" s="49" t="inlineStr"/>
      <c r="F275" s="49" t="inlineStr"/>
    </row>
    <row r="276" ht="13" customHeight="1">
      <c r="A276" s="45" t="inlineStr">
        <is>
          <t>1777</t>
        </is>
      </c>
      <c r="B276" s="45" t="inlineStr">
        <is>
          <t>22655</t>
        </is>
      </c>
      <c r="C276" s="45" t="inlineStr">
        <is>
          <t>5×23×197</t>
        </is>
      </c>
      <c r="D276" s="45" t="inlineStr">
        <is>
          <t>5</t>
        </is>
      </c>
      <c r="E276" s="45" t="inlineStr"/>
      <c r="F276" s="45" t="inlineStr"/>
    </row>
    <row r="277" ht="13" customHeight="1">
      <c r="A277" s="43" t="inlineStr">
        <is>
          <t>1783</t>
        </is>
      </c>
      <c r="B277" s="43" t="inlineStr">
        <is>
          <t>6875</t>
        </is>
      </c>
      <c r="C277" s="43" t="inlineStr">
        <is>
          <t>5×5×5×5×11</t>
        </is>
      </c>
      <c r="D277" s="43" t="inlineStr">
        <is>
          <t>5·11</t>
        </is>
      </c>
      <c r="E277" s="43" t="inlineStr"/>
      <c r="F277" s="43" t="inlineStr"/>
    </row>
    <row r="278" ht="13" customHeight="1">
      <c r="A278" s="45" t="inlineStr">
        <is>
          <t>1787</t>
        </is>
      </c>
      <c r="B278" s="45" t="inlineStr">
        <is>
          <t>14856</t>
        </is>
      </c>
      <c r="C278" s="45" t="inlineStr">
        <is>
          <t>2×2×2×3×619</t>
        </is>
      </c>
      <c r="D278" s="45" t="inlineStr">
        <is>
          <t>2·3</t>
        </is>
      </c>
      <c r="E278" s="45" t="inlineStr"/>
      <c r="F278" s="45" t="inlineStr"/>
    </row>
    <row r="279" ht="13" customHeight="1">
      <c r="A279" s="49" t="inlineStr">
        <is>
          <t>1789</t>
        </is>
      </c>
      <c r="B279" s="49" t="inlineStr">
        <is>
          <t>26755</t>
        </is>
      </c>
      <c r="C279" s="49" t="inlineStr">
        <is>
          <t>5×5351</t>
        </is>
      </c>
      <c r="D279" s="49" t="inlineStr">
        <is>
          <t>5</t>
        </is>
      </c>
      <c r="E279" s="49" t="inlineStr"/>
      <c r="F279" s="49" t="inlineStr"/>
    </row>
    <row r="280" ht="13" customHeight="1">
      <c r="A280" s="33" t="inlineStr">
        <is>
          <t>1801</t>
        </is>
      </c>
      <c r="B280" s="33" t="inlineStr">
        <is>
          <t>15124</t>
        </is>
      </c>
      <c r="C280" s="33" t="inlineStr">
        <is>
          <t>2×2×19×199</t>
        </is>
      </c>
      <c r="D280" s="33" t="inlineStr">
        <is>
          <t>2·19</t>
        </is>
      </c>
      <c r="E280" s="33" t="inlineStr">
        <is>
          <t>STRONG</t>
        </is>
      </c>
      <c r="F280" s="33" t="inlineStr">
        <is>
          <t>strong BP of 1800=360×5 · full rotation×5-rail</t>
        </is>
      </c>
    </row>
    <row r="281" ht="13" customHeight="1">
      <c r="A281" s="49" t="inlineStr">
        <is>
          <t>1811</t>
        </is>
      </c>
      <c r="B281" s="49" t="inlineStr">
        <is>
          <t>6207</t>
        </is>
      </c>
      <c r="C281" s="49" t="inlineStr">
        <is>
          <t>3×2069</t>
        </is>
      </c>
      <c r="D281" s="49" t="inlineStr">
        <is>
          <t>3</t>
        </is>
      </c>
      <c r="E281" s="49" t="inlineStr"/>
      <c r="F281" s="49" t="inlineStr"/>
    </row>
    <row r="282" ht="13" customHeight="1">
      <c r="A282" s="45" t="inlineStr">
        <is>
          <t>1823</t>
        </is>
      </c>
      <c r="B282" s="45" t="inlineStr">
        <is>
          <t>19964</t>
        </is>
      </c>
      <c r="C282" s="45" t="inlineStr">
        <is>
          <t>2×2×7×23×31</t>
        </is>
      </c>
      <c r="D282" s="45" t="inlineStr">
        <is>
          <t>2·7</t>
        </is>
      </c>
      <c r="E282" s="45" t="inlineStr"/>
      <c r="F282" s="45" t="inlineStr"/>
    </row>
    <row r="283" ht="13" customHeight="1">
      <c r="A283" s="49" t="inlineStr">
        <is>
          <t>1831</t>
        </is>
      </c>
      <c r="B283" s="49" t="inlineStr">
        <is>
          <t>8200</t>
        </is>
      </c>
      <c r="C283" s="49" t="inlineStr">
        <is>
          <t>2×2×2×5×5×41</t>
        </is>
      </c>
      <c r="D283" s="49" t="inlineStr">
        <is>
          <t>2·5</t>
        </is>
      </c>
      <c r="E283" s="49" t="inlineStr"/>
      <c r="F283" s="49" t="inlineStr"/>
    </row>
    <row r="284" ht="13" customHeight="1">
      <c r="A284" s="45" t="inlineStr">
        <is>
          <t>1847</t>
        </is>
      </c>
      <c r="B284" s="45" t="inlineStr">
        <is>
          <t>15481</t>
        </is>
      </c>
      <c r="C284" s="45" t="inlineStr">
        <is>
          <t>113×137</t>
        </is>
      </c>
      <c r="D284" s="45" t="inlineStr">
        <is>
          <t>—</t>
        </is>
      </c>
      <c r="E284" s="45" t="inlineStr"/>
      <c r="F284" s="45" t="inlineStr"/>
    </row>
    <row r="285" ht="13" customHeight="1">
      <c r="A285" s="49" t="inlineStr">
        <is>
          <t>1861</t>
        </is>
      </c>
      <c r="B285" s="49" t="inlineStr">
        <is>
          <t>37446</t>
        </is>
      </c>
      <c r="C285" s="49" t="inlineStr">
        <is>
          <t>2×3×79×79</t>
        </is>
      </c>
      <c r="D285" s="49" t="inlineStr">
        <is>
          <t>2·3</t>
        </is>
      </c>
      <c r="E285" s="49" t="inlineStr"/>
      <c r="F285" s="49" t="inlineStr"/>
    </row>
    <row r="286" ht="13" customHeight="1">
      <c r="A286" s="45" t="inlineStr">
        <is>
          <t>1867</t>
        </is>
      </c>
      <c r="B286" s="45" t="inlineStr">
        <is>
          <t>35137</t>
        </is>
      </c>
      <c r="C286" s="45" t="inlineStr">
        <is>
          <t>41×857</t>
        </is>
      </c>
      <c r="D286" s="45" t="inlineStr">
        <is>
          <t>—</t>
        </is>
      </c>
      <c r="E286" s="45" t="inlineStr"/>
      <c r="F286" s="45" t="inlineStr"/>
    </row>
    <row r="287" ht="13" customHeight="1">
      <c r="A287" s="49" t="inlineStr">
        <is>
          <t>1871</t>
        </is>
      </c>
      <c r="B287" s="49" t="inlineStr">
        <is>
          <t>26032</t>
        </is>
      </c>
      <c r="C287" s="49" t="inlineStr">
        <is>
          <t>2×2×2×2×1627</t>
        </is>
      </c>
      <c r="D287" s="49" t="inlineStr">
        <is>
          <t>2</t>
        </is>
      </c>
      <c r="E287" s="49" t="inlineStr"/>
      <c r="F287" s="49" t="inlineStr"/>
    </row>
    <row r="288" ht="13" customHeight="1">
      <c r="A288" s="45" t="inlineStr">
        <is>
          <t>1873</t>
        </is>
      </c>
      <c r="B288" s="45" t="inlineStr">
        <is>
          <t>27955</t>
        </is>
      </c>
      <c r="C288" s="45" t="inlineStr">
        <is>
          <t>5×5591</t>
        </is>
      </c>
      <c r="D288" s="45" t="inlineStr">
        <is>
          <t>5</t>
        </is>
      </c>
      <c r="E288" s="45" t="inlineStr"/>
      <c r="F288" s="45" t="inlineStr"/>
    </row>
    <row r="289" ht="13" customHeight="1">
      <c r="A289" s="49" t="inlineStr">
        <is>
          <t>1877</t>
        </is>
      </c>
      <c r="B289" s="49" t="inlineStr">
        <is>
          <t>17937</t>
        </is>
      </c>
      <c r="C289" s="49" t="inlineStr">
        <is>
          <t>3×3×1993</t>
        </is>
      </c>
      <c r="D289" s="49" t="inlineStr">
        <is>
          <t>3</t>
        </is>
      </c>
      <c r="E289" s="49" t="inlineStr"/>
      <c r="F289" s="49" t="inlineStr"/>
    </row>
    <row r="290" ht="13" customHeight="1">
      <c r="A290" s="45" t="inlineStr">
        <is>
          <t>1879</t>
        </is>
      </c>
      <c r="B290" s="45" t="inlineStr">
        <is>
          <t>12170</t>
        </is>
      </c>
      <c r="C290" s="45" t="inlineStr">
        <is>
          <t>2×5×1217</t>
        </is>
      </c>
      <c r="D290" s="45" t="inlineStr">
        <is>
          <t>2·5</t>
        </is>
      </c>
      <c r="E290" s="45" t="inlineStr"/>
      <c r="F290" s="45" t="inlineStr"/>
    </row>
    <row r="291" ht="13" customHeight="1">
      <c r="A291" s="49" t="inlineStr">
        <is>
          <t>1889</t>
        </is>
      </c>
      <c r="B291" s="49" t="inlineStr">
        <is>
          <t>30270</t>
        </is>
      </c>
      <c r="C291" s="49" t="inlineStr">
        <is>
          <t>2×3×5×1009</t>
        </is>
      </c>
      <c r="D291" s="49" t="inlineStr">
        <is>
          <t>2·3·5</t>
        </is>
      </c>
      <c r="E291" s="49" t="inlineStr"/>
      <c r="F291" s="49" t="inlineStr"/>
    </row>
    <row r="292" ht="13" customHeight="1">
      <c r="A292" s="43" t="inlineStr">
        <is>
          <t>1901</t>
        </is>
      </c>
      <c r="B292" s="43" t="inlineStr">
        <is>
          <t>40634</t>
        </is>
      </c>
      <c r="C292" s="43" t="inlineStr">
        <is>
          <t>2×11×1847</t>
        </is>
      </c>
      <c r="D292" s="43" t="inlineStr">
        <is>
          <t>2·11</t>
        </is>
      </c>
      <c r="E292" s="43" t="inlineStr"/>
      <c r="F292" s="43" t="inlineStr"/>
    </row>
    <row r="293" ht="13" customHeight="1">
      <c r="A293" s="50" t="inlineStr">
        <is>
          <t>1907</t>
        </is>
      </c>
      <c r="B293" s="50" t="inlineStr">
        <is>
          <t>11261</t>
        </is>
      </c>
      <c r="C293" s="50" t="inlineStr">
        <is>
          <t>11261</t>
        </is>
      </c>
      <c r="D293" s="50" t="inlineStr">
        <is>
          <t>—</t>
        </is>
      </c>
      <c r="E293" s="50" t="inlineStr"/>
      <c r="F293" s="50" t="inlineStr"/>
    </row>
    <row r="294" ht="13" customHeight="1">
      <c r="A294" s="45" t="inlineStr">
        <is>
          <t>1913</t>
        </is>
      </c>
      <c r="B294" s="45" t="inlineStr">
        <is>
          <t>38035</t>
        </is>
      </c>
      <c r="C294" s="45" t="inlineStr">
        <is>
          <t>5×7607</t>
        </is>
      </c>
      <c r="D294" s="45" t="inlineStr">
        <is>
          <t>5</t>
        </is>
      </c>
      <c r="E294" s="45" t="inlineStr"/>
      <c r="F294" s="45" t="inlineStr"/>
    </row>
    <row r="295" ht="13" customHeight="1">
      <c r="A295" s="49" t="inlineStr">
        <is>
          <t>1931</t>
        </is>
      </c>
      <c r="B295" s="49" t="inlineStr">
        <is>
          <t>25356</t>
        </is>
      </c>
      <c r="C295" s="49" t="inlineStr">
        <is>
          <t>2×2×3×2113</t>
        </is>
      </c>
      <c r="D295" s="49" t="inlineStr">
        <is>
          <t>2·3</t>
        </is>
      </c>
      <c r="E295" s="49" t="inlineStr"/>
      <c r="F295" s="49" t="inlineStr"/>
    </row>
    <row r="296" ht="13" customHeight="1">
      <c r="A296" s="50" t="inlineStr">
        <is>
          <t>1933</t>
        </is>
      </c>
      <c r="B296" s="50" t="inlineStr">
        <is>
          <t>16787</t>
        </is>
      </c>
      <c r="C296" s="50" t="inlineStr">
        <is>
          <t>16787</t>
        </is>
      </c>
      <c r="D296" s="50" t="inlineStr">
        <is>
          <t>—</t>
        </is>
      </c>
      <c r="E296" s="50" t="inlineStr"/>
      <c r="F296" s="50" t="inlineStr"/>
    </row>
    <row r="297" ht="13" customHeight="1">
      <c r="A297" s="51" t="inlineStr">
        <is>
          <t>1949</t>
        </is>
      </c>
      <c r="B297" s="51" t="inlineStr">
        <is>
          <t>5757</t>
        </is>
      </c>
      <c r="C297" s="51" t="inlineStr">
        <is>
          <t>3×19×101</t>
        </is>
      </c>
      <c r="D297" s="51" t="inlineStr">
        <is>
          <t>3·19</t>
        </is>
      </c>
      <c r="E297" s="51" t="inlineStr"/>
      <c r="F297" s="51" t="inlineStr"/>
    </row>
    <row r="298" ht="13" customHeight="1">
      <c r="A298" s="45" t="inlineStr">
        <is>
          <t>1951</t>
        </is>
      </c>
      <c r="B298" s="45" t="inlineStr">
        <is>
          <t>41248</t>
        </is>
      </c>
      <c r="C298" s="45" t="inlineStr">
        <is>
          <t>2×2×2×2×2×1289</t>
        </is>
      </c>
      <c r="D298" s="45" t="inlineStr">
        <is>
          <t>2</t>
        </is>
      </c>
      <c r="E298" s="45" t="inlineStr"/>
      <c r="F298" s="45" t="inlineStr"/>
    </row>
    <row r="299" ht="13" customHeight="1">
      <c r="A299" s="49" t="inlineStr">
        <is>
          <t>1973</t>
        </is>
      </c>
      <c r="B299" s="49" t="inlineStr">
        <is>
          <t>16817</t>
        </is>
      </c>
      <c r="C299" s="49" t="inlineStr">
        <is>
          <t>67×251</t>
        </is>
      </c>
      <c r="D299" s="49" t="inlineStr">
        <is>
          <t>—</t>
        </is>
      </c>
      <c r="E299" s="49" t="inlineStr"/>
      <c r="F299" s="49" t="inlineStr"/>
    </row>
    <row r="300" ht="13" customHeight="1">
      <c r="A300" s="45" t="inlineStr">
        <is>
          <t>1979</t>
        </is>
      </c>
      <c r="B300" s="45" t="inlineStr">
        <is>
          <t>36360</t>
        </is>
      </c>
      <c r="C300" s="45" t="inlineStr">
        <is>
          <t>2×2×2×3×3×5×101</t>
        </is>
      </c>
      <c r="D300" s="45" t="inlineStr">
        <is>
          <t>2·3·5</t>
        </is>
      </c>
      <c r="E300" s="45" t="inlineStr"/>
      <c r="F300" s="45" t="inlineStr"/>
    </row>
    <row r="301" ht="13" customHeight="1">
      <c r="A301" s="49" t="inlineStr">
        <is>
          <t>1987</t>
        </is>
      </c>
      <c r="B301" s="49" t="inlineStr">
        <is>
          <t>33328</t>
        </is>
      </c>
      <c r="C301" s="49" t="inlineStr">
        <is>
          <t>2×2×2×2×2083</t>
        </is>
      </c>
      <c r="D301" s="49" t="inlineStr">
        <is>
          <t>2</t>
        </is>
      </c>
      <c r="E301" s="49" t="inlineStr"/>
      <c r="F301" s="49" t="inlineStr"/>
    </row>
    <row r="302" ht="13" customHeight="1">
      <c r="A302" s="45" t="inlineStr">
        <is>
          <t>1993</t>
        </is>
      </c>
      <c r="B302" s="45" t="inlineStr">
        <is>
          <t>43599</t>
        </is>
      </c>
      <c r="C302" s="45" t="inlineStr">
        <is>
          <t>3×14533</t>
        </is>
      </c>
      <c r="D302" s="45" t="inlineStr">
        <is>
          <t>3</t>
        </is>
      </c>
      <c r="E302" s="45" t="inlineStr"/>
      <c r="F302" s="45" t="inlineStr"/>
    </row>
    <row r="303" ht="13" customHeight="1">
      <c r="A303" s="49" t="inlineStr">
        <is>
          <t>1997</t>
        </is>
      </c>
      <c r="B303" s="49" t="inlineStr">
        <is>
          <t>35485</t>
        </is>
      </c>
      <c r="C303" s="49" t="inlineStr">
        <is>
          <t>5×47×151</t>
        </is>
      </c>
      <c r="D303" s="49" t="inlineStr">
        <is>
          <t>5</t>
        </is>
      </c>
      <c r="E303" s="49" t="inlineStr"/>
      <c r="F303" s="49" t="inlineStr"/>
    </row>
    <row r="304" ht="13" customHeight="1">
      <c r="A304" s="45" t="inlineStr">
        <is>
          <t>1999</t>
        </is>
      </c>
      <c r="B304" s="45" t="inlineStr">
        <is>
          <t>13802</t>
        </is>
      </c>
      <c r="C304" s="45" t="inlineStr">
        <is>
          <t>2×67×103</t>
        </is>
      </c>
      <c r="D304" s="45" t="inlineStr">
        <is>
          <t>2</t>
        </is>
      </c>
      <c r="E304" s="45" t="inlineStr"/>
      <c r="F304" s="45" t="inlineStr"/>
    </row>
    <row r="305" ht="13" customHeight="1">
      <c r="A305" s="43" t="inlineStr">
        <is>
          <t>2003</t>
        </is>
      </c>
      <c r="B305" s="43" t="inlineStr">
        <is>
          <t>41371</t>
        </is>
      </c>
      <c r="C305" s="43" t="inlineStr">
        <is>
          <t>11×3761</t>
        </is>
      </c>
      <c r="D305" s="43" t="inlineStr">
        <is>
          <t>11</t>
        </is>
      </c>
      <c r="E305" s="43" t="inlineStr"/>
      <c r="F305" s="43" t="inlineStr"/>
    </row>
    <row r="306" ht="13" customHeight="1">
      <c r="A306" s="45" t="inlineStr">
        <is>
          <t>2011</t>
        </is>
      </c>
      <c r="B306" s="45" t="inlineStr">
        <is>
          <t>19015</t>
        </is>
      </c>
      <c r="C306" s="45" t="inlineStr">
        <is>
          <t>5×3803</t>
        </is>
      </c>
      <c r="D306" s="45" t="inlineStr">
        <is>
          <t>5</t>
        </is>
      </c>
      <c r="E306" s="45" t="inlineStr"/>
      <c r="F306" s="45" t="inlineStr"/>
    </row>
    <row r="307" ht="13" customHeight="1">
      <c r="A307" s="49" t="inlineStr">
        <is>
          <t>2017</t>
        </is>
      </c>
      <c r="B307" s="49" t="inlineStr">
        <is>
          <t>12994</t>
        </is>
      </c>
      <c r="C307" s="49" t="inlineStr">
        <is>
          <t>2×73×89</t>
        </is>
      </c>
      <c r="D307" s="49" t="inlineStr">
        <is>
          <t>2</t>
        </is>
      </c>
      <c r="E307" s="49" t="inlineStr"/>
      <c r="F307" s="49" t="inlineStr"/>
    </row>
    <row r="308" ht="13" customHeight="1">
      <c r="A308" s="45" t="inlineStr">
        <is>
          <t>2027</t>
        </is>
      </c>
      <c r="B308" s="45" t="inlineStr">
        <is>
          <t>6395</t>
        </is>
      </c>
      <c r="C308" s="45" t="inlineStr">
        <is>
          <t>5×1279</t>
        </is>
      </c>
      <c r="D308" s="45" t="inlineStr">
        <is>
          <t>5</t>
        </is>
      </c>
      <c r="E308" s="45" t="inlineStr"/>
      <c r="F308" s="45" t="inlineStr"/>
    </row>
    <row r="309" ht="13" customHeight="1">
      <c r="A309" s="41" t="inlineStr">
        <is>
          <t>2029</t>
        </is>
      </c>
      <c r="B309" s="41" t="inlineStr">
        <is>
          <t>27170</t>
        </is>
      </c>
      <c r="C309" s="41" t="inlineStr">
        <is>
          <t>2×5×11×13×19</t>
        </is>
      </c>
      <c r="D309" s="41" t="inlineStr">
        <is>
          <t>2·5·11·13·19</t>
        </is>
      </c>
      <c r="E309" s="41" t="inlineStr"/>
      <c r="F309" s="41" t="inlineStr"/>
    </row>
    <row r="310" ht="13" customHeight="1">
      <c r="A310" s="45" t="inlineStr">
        <is>
          <t>2039</t>
        </is>
      </c>
      <c r="B310" s="45" t="inlineStr">
        <is>
          <t>1174</t>
        </is>
      </c>
      <c r="C310" s="45" t="inlineStr">
        <is>
          <t>2×587</t>
        </is>
      </c>
      <c r="D310" s="45" t="inlineStr">
        <is>
          <t>2</t>
        </is>
      </c>
      <c r="E310" s="45" t="inlineStr"/>
      <c r="F310" s="45" t="inlineStr"/>
    </row>
    <row r="311" ht="13" customHeight="1">
      <c r="A311" s="49" t="inlineStr">
        <is>
          <t>2053</t>
        </is>
      </c>
      <c r="B311" s="49" t="inlineStr">
        <is>
          <t>31510</t>
        </is>
      </c>
      <c r="C311" s="49" t="inlineStr">
        <is>
          <t>2×5×23×137</t>
        </is>
      </c>
      <c r="D311" s="49" t="inlineStr">
        <is>
          <t>2·5</t>
        </is>
      </c>
      <c r="E311" s="49" t="inlineStr"/>
      <c r="F311" s="49" t="inlineStr"/>
    </row>
    <row r="312" ht="13" customHeight="1">
      <c r="A312" s="45" t="inlineStr">
        <is>
          <t>2063</t>
        </is>
      </c>
      <c r="B312" s="45" t="inlineStr">
        <is>
          <t>26718</t>
        </is>
      </c>
      <c r="C312" s="45" t="inlineStr">
        <is>
          <t>2×3×61×73</t>
        </is>
      </c>
      <c r="D312" s="45" t="inlineStr">
        <is>
          <t>2·3</t>
        </is>
      </c>
      <c r="E312" s="45" t="inlineStr"/>
      <c r="F312" s="45" t="inlineStr"/>
    </row>
    <row r="313" ht="13" customHeight="1">
      <c r="A313" s="49" t="inlineStr">
        <is>
          <t>2069</t>
        </is>
      </c>
      <c r="B313" s="49" t="inlineStr">
        <is>
          <t>23695</t>
        </is>
      </c>
      <c r="C313" s="49" t="inlineStr">
        <is>
          <t>5×7×677</t>
        </is>
      </c>
      <c r="D313" s="49" t="inlineStr">
        <is>
          <t>5·7</t>
        </is>
      </c>
      <c r="E313" s="49" t="inlineStr"/>
      <c r="F313" s="49" t="inlineStr"/>
    </row>
    <row r="314" ht="13" customHeight="1">
      <c r="A314" s="45" t="inlineStr">
        <is>
          <t>2081</t>
        </is>
      </c>
      <c r="B314" s="45" t="inlineStr">
        <is>
          <t>40355</t>
        </is>
      </c>
      <c r="C314" s="45" t="inlineStr">
        <is>
          <t>5×7×1153</t>
        </is>
      </c>
      <c r="D314" s="45" t="inlineStr">
        <is>
          <t>5·7</t>
        </is>
      </c>
      <c r="E314" s="45" t="inlineStr"/>
      <c r="F314" s="45" t="inlineStr"/>
    </row>
    <row r="315" ht="13" customHeight="1">
      <c r="A315" s="49" t="inlineStr">
        <is>
          <t>2083</t>
        </is>
      </c>
      <c r="B315" s="49" t="inlineStr">
        <is>
          <t>18255</t>
        </is>
      </c>
      <c r="C315" s="49" t="inlineStr">
        <is>
          <t>3×5×1217</t>
        </is>
      </c>
      <c r="D315" s="49" t="inlineStr">
        <is>
          <t>3·5</t>
        </is>
      </c>
      <c r="E315" s="49" t="inlineStr"/>
      <c r="F315" s="49" t="inlineStr"/>
    </row>
    <row r="316" ht="13" customHeight="1">
      <c r="A316" s="45" t="inlineStr">
        <is>
          <t>2087</t>
        </is>
      </c>
      <c r="B316" s="45" t="inlineStr">
        <is>
          <t>42233</t>
        </is>
      </c>
      <c r="C316" s="45" t="inlineStr">
        <is>
          <t>157×269</t>
        </is>
      </c>
      <c r="D316" s="45" t="inlineStr">
        <is>
          <t>—</t>
        </is>
      </c>
      <c r="E316" s="45" t="inlineStr"/>
      <c r="F316" s="45" t="inlineStr"/>
    </row>
    <row r="317" ht="13" customHeight="1">
      <c r="A317" s="50" t="inlineStr">
        <is>
          <t>2089</t>
        </is>
      </c>
      <c r="B317" s="50" t="inlineStr">
        <is>
          <t>33889</t>
        </is>
      </c>
      <c r="C317" s="50" t="inlineStr">
        <is>
          <t>33889</t>
        </is>
      </c>
      <c r="D317" s="50" t="inlineStr">
        <is>
          <t>—</t>
        </is>
      </c>
      <c r="E317" s="50" t="inlineStr"/>
      <c r="F317" s="50" t="inlineStr"/>
    </row>
    <row r="318" ht="13" customHeight="1">
      <c r="A318" s="41" t="inlineStr">
        <is>
          <t>2099</t>
        </is>
      </c>
      <c r="B318" s="41" t="inlineStr">
        <is>
          <t>30238</t>
        </is>
      </c>
      <c r="C318" s="41" t="inlineStr">
        <is>
          <t>2×13×1163</t>
        </is>
      </c>
      <c r="D318" s="41" t="inlineStr">
        <is>
          <t>2·13</t>
        </is>
      </c>
      <c r="E318" s="41" t="inlineStr"/>
      <c r="F318" s="41" t="inlineStr"/>
    </row>
    <row r="319" ht="13" customHeight="1">
      <c r="A319" s="49" t="inlineStr">
        <is>
          <t>2111</t>
        </is>
      </c>
      <c r="B319" s="49" t="inlineStr">
        <is>
          <t>13792</t>
        </is>
      </c>
      <c r="C319" s="49" t="inlineStr">
        <is>
          <t>2×2×2×2×2×431</t>
        </is>
      </c>
      <c r="D319" s="49" t="inlineStr">
        <is>
          <t>2</t>
        </is>
      </c>
      <c r="E319" s="49" t="inlineStr"/>
      <c r="F319" s="49" t="inlineStr"/>
    </row>
    <row r="320" ht="13" customHeight="1">
      <c r="A320" s="45" t="inlineStr">
        <is>
          <t>2113</t>
        </is>
      </c>
      <c r="B320" s="45" t="inlineStr">
        <is>
          <t>30611</t>
        </is>
      </c>
      <c r="C320" s="45" t="inlineStr">
        <is>
          <t>7×4373</t>
        </is>
      </c>
      <c r="D320" s="45" t="inlineStr">
        <is>
          <t>7</t>
        </is>
      </c>
      <c r="E320" s="45" t="inlineStr"/>
      <c r="F320" s="45" t="inlineStr"/>
    </row>
    <row r="321" ht="13" customHeight="1">
      <c r="A321" s="49" t="inlineStr">
        <is>
          <t>2129</t>
        </is>
      </c>
      <c r="B321" s="49" t="inlineStr">
        <is>
          <t>42255</t>
        </is>
      </c>
      <c r="C321" s="49" t="inlineStr">
        <is>
          <t>3×3×3×5×313</t>
        </is>
      </c>
      <c r="D321" s="49" t="inlineStr">
        <is>
          <t>3·5</t>
        </is>
      </c>
      <c r="E321" s="49" t="inlineStr"/>
      <c r="F321" s="49" t="inlineStr"/>
    </row>
    <row r="322" ht="13" customHeight="1">
      <c r="A322" s="50" t="inlineStr">
        <is>
          <t>2131</t>
        </is>
      </c>
      <c r="B322" s="50" t="inlineStr">
        <is>
          <t>5387</t>
        </is>
      </c>
      <c r="C322" s="50" t="inlineStr">
        <is>
          <t>5387</t>
        </is>
      </c>
      <c r="D322" s="50" t="inlineStr">
        <is>
          <t>—</t>
        </is>
      </c>
      <c r="E322" s="50" t="inlineStr"/>
      <c r="F322" s="50" t="inlineStr"/>
    </row>
    <row r="323" ht="13" customHeight="1">
      <c r="A323" s="50" t="inlineStr">
        <is>
          <t>2137</t>
        </is>
      </c>
      <c r="B323" s="50" t="inlineStr">
        <is>
          <t>40429</t>
        </is>
      </c>
      <c r="C323" s="50" t="inlineStr">
        <is>
          <t>40429</t>
        </is>
      </c>
      <c r="D323" s="50" t="inlineStr">
        <is>
          <t>—</t>
        </is>
      </c>
      <c r="E323" s="50" t="inlineStr"/>
      <c r="F323" s="50" t="inlineStr"/>
    </row>
    <row r="324" ht="13" customHeight="1">
      <c r="A324" s="43" t="inlineStr">
        <is>
          <t>2141</t>
        </is>
      </c>
      <c r="B324" s="43" t="inlineStr">
        <is>
          <t>40249</t>
        </is>
      </c>
      <c r="C324" s="43" t="inlineStr">
        <is>
          <t>11×3659</t>
        </is>
      </c>
      <c r="D324" s="43" t="inlineStr">
        <is>
          <t>11</t>
        </is>
      </c>
      <c r="E324" s="43" t="inlineStr"/>
      <c r="F324" s="43" t="inlineStr"/>
    </row>
    <row r="325" ht="13" customHeight="1">
      <c r="A325" s="49" t="inlineStr">
        <is>
          <t>2143</t>
        </is>
      </c>
      <c r="B325" s="49" t="inlineStr">
        <is>
          <t>18308</t>
        </is>
      </c>
      <c r="C325" s="49" t="inlineStr">
        <is>
          <t>2×2×23×199</t>
        </is>
      </c>
      <c r="D325" s="49" t="inlineStr">
        <is>
          <t>2</t>
        </is>
      </c>
      <c r="E325" s="49" t="inlineStr"/>
      <c r="F325" s="49" t="inlineStr"/>
    </row>
    <row r="326" ht="13" customHeight="1">
      <c r="A326" s="45" t="inlineStr">
        <is>
          <t>2153</t>
        </is>
      </c>
      <c r="B326" s="45" t="inlineStr">
        <is>
          <t>9115</t>
        </is>
      </c>
      <c r="C326" s="45" t="inlineStr">
        <is>
          <t>5×1823</t>
        </is>
      </c>
      <c r="D326" s="45" t="inlineStr">
        <is>
          <t>5</t>
        </is>
      </c>
      <c r="E326" s="45" t="inlineStr"/>
      <c r="F326" s="45" t="inlineStr"/>
    </row>
    <row r="327" ht="13" customHeight="1">
      <c r="A327" s="49" t="inlineStr">
        <is>
          <t>2161</t>
        </is>
      </c>
      <c r="B327" s="49" t="inlineStr">
        <is>
          <t>35385</t>
        </is>
      </c>
      <c r="C327" s="49" t="inlineStr">
        <is>
          <t>3×5×7×337</t>
        </is>
      </c>
      <c r="D327" s="49" t="inlineStr">
        <is>
          <t>3·5·7</t>
        </is>
      </c>
      <c r="E327" s="49" t="inlineStr"/>
      <c r="F327" s="49" t="inlineStr"/>
    </row>
    <row r="328" ht="13" customHeight="1">
      <c r="A328" s="45" t="inlineStr">
        <is>
          <t>2179</t>
        </is>
      </c>
      <c r="B328" s="45" t="inlineStr">
        <is>
          <t>27264</t>
        </is>
      </c>
      <c r="C328" s="45" t="inlineStr">
        <is>
          <t>2×2×2×2×2×2×2×3×71</t>
        </is>
      </c>
      <c r="D328" s="45" t="inlineStr">
        <is>
          <t>2·3</t>
        </is>
      </c>
      <c r="E328" s="45" t="inlineStr"/>
      <c r="F328" s="45" t="inlineStr"/>
    </row>
    <row r="329" ht="13" customHeight="1">
      <c r="A329" s="49" t="inlineStr">
        <is>
          <t>2203</t>
        </is>
      </c>
      <c r="B329" s="49" t="inlineStr">
        <is>
          <t>2298</t>
        </is>
      </c>
      <c r="C329" s="49" t="inlineStr">
        <is>
          <t>2×3×383</t>
        </is>
      </c>
      <c r="D329" s="49" t="inlineStr">
        <is>
          <t>2·3</t>
        </is>
      </c>
      <c r="E329" s="49" t="inlineStr"/>
      <c r="F329" s="49" t="inlineStr"/>
    </row>
    <row r="330" ht="13" customHeight="1">
      <c r="A330" s="43" t="inlineStr">
        <is>
          <t>2207</t>
        </is>
      </c>
      <c r="B330" s="43" t="inlineStr">
        <is>
          <t>30327</t>
        </is>
      </c>
      <c r="C330" s="43" t="inlineStr">
        <is>
          <t>3×11×919</t>
        </is>
      </c>
      <c r="D330" s="43" t="inlineStr">
        <is>
          <t>3·11</t>
        </is>
      </c>
      <c r="E330" s="43" t="inlineStr"/>
      <c r="F330" s="43" t="inlineStr"/>
    </row>
    <row r="331" ht="13" customHeight="1">
      <c r="A331" s="49" t="inlineStr">
        <is>
          <t>2213</t>
        </is>
      </c>
      <c r="B331" s="49" t="inlineStr">
        <is>
          <t>23740</t>
        </is>
      </c>
      <c r="C331" s="49" t="inlineStr">
        <is>
          <t>2×2×5×1187</t>
        </is>
      </c>
      <c r="D331" s="49" t="inlineStr">
        <is>
          <t>2·5</t>
        </is>
      </c>
      <c r="E331" s="49" t="inlineStr"/>
      <c r="F331" s="49" t="inlineStr"/>
    </row>
    <row r="332" ht="13" customHeight="1">
      <c r="A332" s="45" t="inlineStr">
        <is>
          <t>2221</t>
        </is>
      </c>
      <c r="B332" s="45" t="inlineStr">
        <is>
          <t>4138</t>
        </is>
      </c>
      <c r="C332" s="45" t="inlineStr">
        <is>
          <t>2×2069</t>
        </is>
      </c>
      <c r="D332" s="45" t="inlineStr">
        <is>
          <t>2</t>
        </is>
      </c>
      <c r="E332" s="45" t="inlineStr"/>
      <c r="F332" s="45" t="inlineStr"/>
    </row>
    <row r="333" ht="13" customHeight="1">
      <c r="A333" s="50" t="inlineStr">
        <is>
          <t>2237</t>
        </is>
      </c>
      <c r="B333" s="50" t="inlineStr">
        <is>
          <t>1459</t>
        </is>
      </c>
      <c r="C333" s="50" t="inlineStr">
        <is>
          <t>1459</t>
        </is>
      </c>
      <c r="D333" s="50" t="inlineStr">
        <is>
          <t>—</t>
        </is>
      </c>
      <c r="E333" s="50" t="inlineStr"/>
      <c r="F333" s="50" t="inlineStr"/>
    </row>
    <row r="334" ht="13" customHeight="1">
      <c r="A334" s="45" t="inlineStr">
        <is>
          <t>2239</t>
        </is>
      </c>
      <c r="B334" s="45" t="inlineStr">
        <is>
          <t>21750</t>
        </is>
      </c>
      <c r="C334" s="45" t="inlineStr">
        <is>
          <t>2×3×5×5×5×29</t>
        </is>
      </c>
      <c r="D334" s="45" t="inlineStr">
        <is>
          <t>2·3·5</t>
        </is>
      </c>
      <c r="E334" s="45" t="inlineStr"/>
      <c r="F334" s="45" t="inlineStr"/>
    </row>
    <row r="335" ht="13" customHeight="1">
      <c r="A335" s="49" t="inlineStr">
        <is>
          <t>2243</t>
        </is>
      </c>
      <c r="B335" s="49" t="inlineStr">
        <is>
          <t>22461</t>
        </is>
      </c>
      <c r="C335" s="49" t="inlineStr">
        <is>
          <t>3×7487</t>
        </is>
      </c>
      <c r="D335" s="49" t="inlineStr">
        <is>
          <t>3</t>
        </is>
      </c>
      <c r="E335" s="49" t="inlineStr"/>
      <c r="F335" s="49" t="inlineStr"/>
    </row>
    <row r="336" ht="13" customHeight="1">
      <c r="A336" s="45" t="inlineStr">
        <is>
          <t>2251</t>
        </is>
      </c>
      <c r="B336" s="45" t="inlineStr">
        <is>
          <t>12932</t>
        </is>
      </c>
      <c r="C336" s="45" t="inlineStr">
        <is>
          <t>2×2×53×61</t>
        </is>
      </c>
      <c r="D336" s="45" t="inlineStr">
        <is>
          <t>2</t>
        </is>
      </c>
      <c r="E336" s="45" t="inlineStr"/>
      <c r="F336" s="45" t="inlineStr"/>
    </row>
    <row r="337" ht="13" customHeight="1">
      <c r="A337" s="49" t="inlineStr">
        <is>
          <t>2267</t>
        </is>
      </c>
      <c r="B337" s="49" t="inlineStr">
        <is>
          <t>16153</t>
        </is>
      </c>
      <c r="C337" s="49" t="inlineStr">
        <is>
          <t>29×557</t>
        </is>
      </c>
      <c r="D337" s="49" t="inlineStr">
        <is>
          <t>—</t>
        </is>
      </c>
      <c r="E337" s="49" t="inlineStr"/>
      <c r="F337" s="49" t="inlineStr"/>
    </row>
    <row r="338" ht="13" customHeight="1">
      <c r="A338" s="50" t="inlineStr">
        <is>
          <t>2269</t>
        </is>
      </c>
      <c r="B338" s="50" t="inlineStr">
        <is>
          <t>6703</t>
        </is>
      </c>
      <c r="C338" s="50" t="inlineStr">
        <is>
          <t>6703</t>
        </is>
      </c>
      <c r="D338" s="50" t="inlineStr">
        <is>
          <t>—</t>
        </is>
      </c>
      <c r="E338" s="50" t="inlineStr"/>
      <c r="F338" s="50" t="inlineStr"/>
    </row>
    <row r="339" ht="13" customHeight="1">
      <c r="A339" s="50" t="inlineStr">
        <is>
          <t>2273</t>
        </is>
      </c>
      <c r="B339" s="50" t="inlineStr">
        <is>
          <t>11597</t>
        </is>
      </c>
      <c r="C339" s="50" t="inlineStr">
        <is>
          <t>11597</t>
        </is>
      </c>
      <c r="D339" s="50" t="inlineStr">
        <is>
          <t>—</t>
        </is>
      </c>
      <c r="E339" s="50" t="inlineStr"/>
      <c r="F339" s="50" t="inlineStr"/>
    </row>
    <row r="340" ht="13" customHeight="1">
      <c r="A340" s="45" t="inlineStr">
        <is>
          <t>2281</t>
        </is>
      </c>
      <c r="B340" s="45" t="inlineStr">
        <is>
          <t>12450</t>
        </is>
      </c>
      <c r="C340" s="45" t="inlineStr">
        <is>
          <t>2×3×5×5×83</t>
        </is>
      </c>
      <c r="D340" s="45" t="inlineStr">
        <is>
          <t>2·3·5</t>
        </is>
      </c>
      <c r="E340" s="45" t="inlineStr"/>
      <c r="F340" s="45" t="inlineStr"/>
    </row>
    <row r="341" ht="13" customHeight="1">
      <c r="A341" s="43" t="inlineStr">
        <is>
          <t>2287</t>
        </is>
      </c>
      <c r="B341" s="43" t="inlineStr">
        <is>
          <t>35244</t>
        </is>
      </c>
      <c r="C341" s="43" t="inlineStr">
        <is>
          <t>2×2×3×3×11×89</t>
        </is>
      </c>
      <c r="D341" s="43" t="inlineStr">
        <is>
          <t>2·3·11</t>
        </is>
      </c>
      <c r="E341" s="43" t="inlineStr"/>
      <c r="F341" s="43" t="inlineStr"/>
    </row>
    <row r="342" ht="13" customHeight="1">
      <c r="A342" s="41" t="inlineStr">
        <is>
          <t>2293</t>
        </is>
      </c>
      <c r="B342" s="41" t="inlineStr">
        <is>
          <t>43810</t>
        </is>
      </c>
      <c r="C342" s="41" t="inlineStr">
        <is>
          <t>2×5×13×337</t>
        </is>
      </c>
      <c r="D342" s="41" t="inlineStr">
        <is>
          <t>2·5·13</t>
        </is>
      </c>
      <c r="E342" s="41" t="inlineStr"/>
      <c r="F342" s="41" t="inlineStr"/>
    </row>
    <row r="343" ht="13" customHeight="1">
      <c r="A343" s="49" t="inlineStr">
        <is>
          <t>2297</t>
        </is>
      </c>
      <c r="B343" s="49" t="inlineStr">
        <is>
          <t>34995</t>
        </is>
      </c>
      <c r="C343" s="49" t="inlineStr">
        <is>
          <t>3×5×2333</t>
        </is>
      </c>
      <c r="D343" s="49" t="inlineStr">
        <is>
          <t>3·5</t>
        </is>
      </c>
      <c r="E343" s="49" t="inlineStr"/>
      <c r="F343" s="49" t="inlineStr"/>
    </row>
    <row r="344" ht="13" customHeight="1">
      <c r="A344" s="45" t="inlineStr">
        <is>
          <t>2309</t>
        </is>
      </c>
      <c r="B344" s="45" t="inlineStr">
        <is>
          <t>26574</t>
        </is>
      </c>
      <c r="C344" s="45" t="inlineStr">
        <is>
          <t>2×3×43×103</t>
        </is>
      </c>
      <c r="D344" s="45" t="inlineStr">
        <is>
          <t>2·3</t>
        </is>
      </c>
      <c r="E344" s="45" t="inlineStr"/>
      <c r="F344" s="45" t="inlineStr"/>
    </row>
    <row r="345" ht="13" customHeight="1">
      <c r="A345" s="41" t="inlineStr">
        <is>
          <t>2311</t>
        </is>
      </c>
      <c r="B345" s="41" t="inlineStr">
        <is>
          <t>34268</t>
        </is>
      </c>
      <c r="C345" s="41" t="inlineStr">
        <is>
          <t>2×2×13×659</t>
        </is>
      </c>
      <c r="D345" s="41" t="inlineStr">
        <is>
          <t>2·13</t>
        </is>
      </c>
      <c r="E345" s="41" t="inlineStr"/>
      <c r="F345" s="41" t="inlineStr"/>
    </row>
    <row r="346" ht="13" customHeight="1">
      <c r="A346" s="50" t="inlineStr">
        <is>
          <t>2333</t>
        </is>
      </c>
      <c r="B346" s="50" t="inlineStr">
        <is>
          <t>13331</t>
        </is>
      </c>
      <c r="C346" s="50" t="inlineStr">
        <is>
          <t>13331</t>
        </is>
      </c>
      <c r="D346" s="50" t="inlineStr">
        <is>
          <t>—</t>
        </is>
      </c>
      <c r="E346" s="50" t="inlineStr"/>
      <c r="F346" s="50" t="inlineStr"/>
    </row>
    <row r="347" ht="13" customHeight="1">
      <c r="A347" s="49" t="inlineStr">
        <is>
          <t>2339</t>
        </is>
      </c>
      <c r="B347" s="49" t="inlineStr">
        <is>
          <t>17213</t>
        </is>
      </c>
      <c r="C347" s="49" t="inlineStr">
        <is>
          <t>7×2459</t>
        </is>
      </c>
      <c r="D347" s="49" t="inlineStr">
        <is>
          <t>7</t>
        </is>
      </c>
      <c r="E347" s="49" t="inlineStr"/>
      <c r="F347" s="49" t="inlineStr"/>
    </row>
    <row r="348" ht="13" customHeight="1">
      <c r="A348" s="45" t="inlineStr">
        <is>
          <t>2341</t>
        </is>
      </c>
      <c r="B348" s="45" t="inlineStr">
        <is>
          <t>7984</t>
        </is>
      </c>
      <c r="C348" s="45" t="inlineStr">
        <is>
          <t>2×2×2×2×499</t>
        </is>
      </c>
      <c r="D348" s="45" t="inlineStr">
        <is>
          <t>2</t>
        </is>
      </c>
      <c r="E348" s="45" t="inlineStr"/>
      <c r="F348" s="45" t="inlineStr"/>
    </row>
    <row r="349" ht="13" customHeight="1">
      <c r="A349" s="49" t="inlineStr">
        <is>
          <t>2347</t>
        </is>
      </c>
      <c r="B349" s="49" t="inlineStr">
        <is>
          <t>14397</t>
        </is>
      </c>
      <c r="C349" s="49" t="inlineStr">
        <is>
          <t>3×4799</t>
        </is>
      </c>
      <c r="D349" s="49" t="inlineStr">
        <is>
          <t>3</t>
        </is>
      </c>
      <c r="E349" s="49" t="inlineStr"/>
      <c r="F349" s="49" t="inlineStr"/>
    </row>
    <row r="350" ht="13" customHeight="1">
      <c r="A350" s="41" t="inlineStr">
        <is>
          <t>2351</t>
        </is>
      </c>
      <c r="B350" s="41" t="inlineStr">
        <is>
          <t>5408</t>
        </is>
      </c>
      <c r="C350" s="41" t="inlineStr">
        <is>
          <t>2×2×2×2×2×13×13</t>
        </is>
      </c>
      <c r="D350" s="41" t="inlineStr">
        <is>
          <t>2·13</t>
        </is>
      </c>
      <c r="E350" s="41" t="inlineStr"/>
      <c r="F350" s="41" t="inlineStr"/>
    </row>
    <row r="351" ht="13" customHeight="1">
      <c r="A351" s="41" t="inlineStr">
        <is>
          <t>2357</t>
        </is>
      </c>
      <c r="B351" s="41" t="inlineStr">
        <is>
          <t>36482</t>
        </is>
      </c>
      <c r="C351" s="41" t="inlineStr">
        <is>
          <t>2×17×29×37</t>
        </is>
      </c>
      <c r="D351" s="41" t="inlineStr">
        <is>
          <t>2·17</t>
        </is>
      </c>
      <c r="E351" s="41" t="inlineStr"/>
      <c r="F351" s="41" t="inlineStr"/>
    </row>
    <row r="352" ht="13" customHeight="1">
      <c r="A352" s="43" t="inlineStr">
        <is>
          <t>2371</t>
        </is>
      </c>
      <c r="B352" s="43" t="inlineStr">
        <is>
          <t>7942</t>
        </is>
      </c>
      <c r="C352" s="43" t="inlineStr">
        <is>
          <t>2×11×19×19</t>
        </is>
      </c>
      <c r="D352" s="43" t="inlineStr">
        <is>
          <t>2·11·19</t>
        </is>
      </c>
      <c r="E352" s="43" t="inlineStr"/>
      <c r="F352" s="43" t="inlineStr"/>
    </row>
    <row r="353" ht="13" customHeight="1">
      <c r="A353" s="49" t="inlineStr">
        <is>
          <t>2377</t>
        </is>
      </c>
      <c r="B353" s="49" t="inlineStr">
        <is>
          <t>24333</t>
        </is>
      </c>
      <c r="C353" s="49" t="inlineStr">
        <is>
          <t>3×8111</t>
        </is>
      </c>
      <c r="D353" s="49" t="inlineStr">
        <is>
          <t>3</t>
        </is>
      </c>
      <c r="E353" s="49" t="inlineStr"/>
      <c r="F353" s="49" t="inlineStr"/>
    </row>
    <row r="354" ht="13" customHeight="1">
      <c r="A354" s="45" t="inlineStr">
        <is>
          <t>2381</t>
        </is>
      </c>
      <c r="B354" s="45" t="inlineStr">
        <is>
          <t>5539</t>
        </is>
      </c>
      <c r="C354" s="45" t="inlineStr">
        <is>
          <t>29×191</t>
        </is>
      </c>
      <c r="D354" s="45" t="inlineStr">
        <is>
          <t>—</t>
        </is>
      </c>
      <c r="E354" s="45" t="inlineStr"/>
      <c r="F354" s="45" t="inlineStr"/>
    </row>
    <row r="355" ht="13" customHeight="1">
      <c r="A355" s="41" t="inlineStr">
        <is>
          <t>2383</t>
        </is>
      </c>
      <c r="B355" s="41" t="inlineStr">
        <is>
          <t>850</t>
        </is>
      </c>
      <c r="C355" s="41" t="inlineStr">
        <is>
          <t>2×5×5×17</t>
        </is>
      </c>
      <c r="D355" s="41" t="inlineStr">
        <is>
          <t>2·5·17</t>
        </is>
      </c>
      <c r="E355" s="41" t="inlineStr"/>
      <c r="F355" s="41" t="inlineStr"/>
    </row>
    <row r="356" ht="13" customHeight="1">
      <c r="A356" s="45" t="inlineStr">
        <is>
          <t>2389</t>
        </is>
      </c>
      <c r="B356" s="45" t="inlineStr">
        <is>
          <t>14056</t>
        </is>
      </c>
      <c r="C356" s="45" t="inlineStr">
        <is>
          <t>2×2×2×7×251</t>
        </is>
      </c>
      <c r="D356" s="45" t="inlineStr">
        <is>
          <t>2·7</t>
        </is>
      </c>
      <c r="E356" s="45" t="inlineStr"/>
      <c r="F356" s="45" t="inlineStr"/>
    </row>
    <row r="357" ht="13" customHeight="1">
      <c r="A357" s="49" t="inlineStr">
        <is>
          <t>2393</t>
        </is>
      </c>
      <c r="B357" s="49" t="inlineStr">
        <is>
          <t>28168</t>
        </is>
      </c>
      <c r="C357" s="49" t="inlineStr">
        <is>
          <t>2×2×2×7×503</t>
        </is>
      </c>
      <c r="D357" s="49" t="inlineStr">
        <is>
          <t>2·7</t>
        </is>
      </c>
      <c r="E357" s="49" t="inlineStr"/>
      <c r="F357" s="49" t="inlineStr"/>
    </row>
    <row r="358" ht="13" customHeight="1">
      <c r="A358" s="45" t="inlineStr">
        <is>
          <t>2399</t>
        </is>
      </c>
      <c r="B358" s="45" t="inlineStr">
        <is>
          <t>21180</t>
        </is>
      </c>
      <c r="C358" s="45" t="inlineStr">
        <is>
          <t>2×2×3×5×353</t>
        </is>
      </c>
      <c r="D358" s="45" t="inlineStr">
        <is>
          <t>2·3·5</t>
        </is>
      </c>
      <c r="E358" s="45" t="inlineStr"/>
      <c r="F358" s="45" t="inlineStr"/>
    </row>
    <row r="359" ht="13" customHeight="1">
      <c r="A359" s="49" t="inlineStr">
        <is>
          <t>2411</t>
        </is>
      </c>
      <c r="B359" s="49" t="inlineStr">
        <is>
          <t>36354</t>
        </is>
      </c>
      <c r="C359" s="49" t="inlineStr">
        <is>
          <t>2×3×73×83</t>
        </is>
      </c>
      <c r="D359" s="49" t="inlineStr">
        <is>
          <t>2·3</t>
        </is>
      </c>
      <c r="E359" s="49" t="inlineStr"/>
      <c r="F359" s="49" t="inlineStr"/>
    </row>
    <row r="360" ht="13" customHeight="1">
      <c r="A360" s="43" t="inlineStr">
        <is>
          <t>2417</t>
        </is>
      </c>
      <c r="B360" s="43" t="inlineStr">
        <is>
          <t>27588</t>
        </is>
      </c>
      <c r="C360" s="43" t="inlineStr">
        <is>
          <t>2×2×3×11×11×19</t>
        </is>
      </c>
      <c r="D360" s="43" t="inlineStr">
        <is>
          <t>2·3·11·19</t>
        </is>
      </c>
      <c r="E360" s="43" t="inlineStr"/>
      <c r="F360" s="43" t="inlineStr"/>
    </row>
    <row r="361" ht="13" customHeight="1">
      <c r="A361" s="49" t="inlineStr">
        <is>
          <t>2423</t>
        </is>
      </c>
      <c r="B361" s="49" t="inlineStr">
        <is>
          <t>23365</t>
        </is>
      </c>
      <c r="C361" s="49" t="inlineStr">
        <is>
          <t>5×4673</t>
        </is>
      </c>
      <c r="D361" s="49" t="inlineStr">
        <is>
          <t>5</t>
        </is>
      </c>
      <c r="E361" s="49" t="inlineStr"/>
      <c r="F361" s="49" t="inlineStr"/>
    </row>
    <row r="362" ht="13" customHeight="1">
      <c r="A362" s="45" t="inlineStr">
        <is>
          <t>2437</t>
        </is>
      </c>
      <c r="B362" s="45" t="inlineStr">
        <is>
          <t>43774</t>
        </is>
      </c>
      <c r="C362" s="45" t="inlineStr">
        <is>
          <t>2×43×509</t>
        </is>
      </c>
      <c r="D362" s="45" t="inlineStr">
        <is>
          <t>2</t>
        </is>
      </c>
      <c r="E362" s="45" t="inlineStr"/>
      <c r="F362" s="45" t="inlineStr"/>
    </row>
    <row r="363" ht="13" customHeight="1">
      <c r="A363" s="49" t="inlineStr">
        <is>
          <t>2441</t>
        </is>
      </c>
      <c r="B363" s="49" t="inlineStr">
        <is>
          <t>16623</t>
        </is>
      </c>
      <c r="C363" s="49" t="inlineStr">
        <is>
          <t>3×3×1847</t>
        </is>
      </c>
      <c r="D363" s="49" t="inlineStr">
        <is>
          <t>3</t>
        </is>
      </c>
      <c r="E363" s="49" t="inlineStr"/>
      <c r="F363" s="49" t="inlineStr"/>
    </row>
    <row r="364" ht="13" customHeight="1">
      <c r="A364" s="51" t="inlineStr">
        <is>
          <t>2447</t>
        </is>
      </c>
      <c r="B364" s="51" t="inlineStr">
        <is>
          <t>42655</t>
        </is>
      </c>
      <c r="C364" s="51" t="inlineStr">
        <is>
          <t>5×19×449</t>
        </is>
      </c>
      <c r="D364" s="51" t="inlineStr">
        <is>
          <t>5·19</t>
        </is>
      </c>
      <c r="E364" s="51" t="inlineStr"/>
      <c r="F364" s="51" t="inlineStr"/>
    </row>
    <row r="365" ht="13" customHeight="1">
      <c r="A365" s="49" t="inlineStr">
        <is>
          <t>2459</t>
        </is>
      </c>
      <c r="B365" s="49" t="inlineStr">
        <is>
          <t>20340</t>
        </is>
      </c>
      <c r="C365" s="49" t="inlineStr">
        <is>
          <t>2×2×3×3×5×113</t>
        </is>
      </c>
      <c r="D365" s="49" t="inlineStr">
        <is>
          <t>2·3·5</t>
        </is>
      </c>
      <c r="E365" s="49" t="inlineStr"/>
      <c r="F365" s="49" t="inlineStr"/>
    </row>
    <row r="366" ht="13" customHeight="1">
      <c r="A366" s="45" t="inlineStr">
        <is>
          <t>2467</t>
        </is>
      </c>
      <c r="B366" s="45" t="inlineStr">
        <is>
          <t>18488</t>
        </is>
      </c>
      <c r="C366" s="45" t="inlineStr">
        <is>
          <t>2×2×2×2311</t>
        </is>
      </c>
      <c r="D366" s="45" t="inlineStr">
        <is>
          <t>2</t>
        </is>
      </c>
      <c r="E366" s="45" t="inlineStr"/>
      <c r="F366" s="45" t="inlineStr"/>
    </row>
    <row r="367" ht="13" customHeight="1">
      <c r="A367" s="49" t="inlineStr">
        <is>
          <t>2473</t>
        </is>
      </c>
      <c r="B367" s="49" t="inlineStr">
        <is>
          <t>6059</t>
        </is>
      </c>
      <c r="C367" s="49" t="inlineStr">
        <is>
          <t>73×83</t>
        </is>
      </c>
      <c r="D367" s="49" t="inlineStr">
        <is>
          <t>—</t>
        </is>
      </c>
      <c r="E367" s="49" t="inlineStr"/>
      <c r="F367" s="49" t="inlineStr"/>
    </row>
    <row r="368" ht="13" customHeight="1">
      <c r="A368" s="45" t="inlineStr">
        <is>
          <t>2477</t>
        </is>
      </c>
      <c r="B368" s="45" t="inlineStr">
        <is>
          <t>43756</t>
        </is>
      </c>
      <c r="C368" s="45" t="inlineStr">
        <is>
          <t>2×2×10939</t>
        </is>
      </c>
      <c r="D368" s="45" t="inlineStr">
        <is>
          <t>2</t>
        </is>
      </c>
      <c r="E368" s="45" t="inlineStr"/>
      <c r="F368" s="45" t="inlineStr"/>
    </row>
    <row r="369" ht="13" customHeight="1">
      <c r="A369" s="41" t="inlineStr">
        <is>
          <t>2503</t>
        </is>
      </c>
      <c r="B369" s="41" t="inlineStr">
        <is>
          <t>18615</t>
        </is>
      </c>
      <c r="C369" s="41" t="inlineStr">
        <is>
          <t>3×5×17×73</t>
        </is>
      </c>
      <c r="D369" s="41" t="inlineStr">
        <is>
          <t>3·5·17</t>
        </is>
      </c>
      <c r="E369" s="41" t="inlineStr"/>
      <c r="F369" s="41" t="inlineStr"/>
    </row>
    <row r="370" ht="13" customHeight="1">
      <c r="A370" s="41" t="inlineStr">
        <is>
          <t>2521</t>
        </is>
      </c>
      <c r="B370" s="41" t="inlineStr">
        <is>
          <t>4082</t>
        </is>
      </c>
      <c r="C370" s="41" t="inlineStr">
        <is>
          <t>2×13×157</t>
        </is>
      </c>
      <c r="D370" s="41" t="inlineStr">
        <is>
          <t>2·13</t>
        </is>
      </c>
      <c r="E370" s="41" t="inlineStr"/>
      <c r="F370" s="41" t="inlineStr"/>
    </row>
    <row r="371" ht="13" customHeight="1">
      <c r="A371" s="43" t="inlineStr">
        <is>
          <t>2531</t>
        </is>
      </c>
      <c r="B371" s="43" t="inlineStr">
        <is>
          <t>20614</t>
        </is>
      </c>
      <c r="C371" s="43" t="inlineStr">
        <is>
          <t>2×11×937</t>
        </is>
      </c>
      <c r="D371" s="43" t="inlineStr">
        <is>
          <t>2·11</t>
        </is>
      </c>
      <c r="E371" s="43" t="inlineStr"/>
      <c r="F371" s="43" t="inlineStr"/>
    </row>
    <row r="372" ht="13" customHeight="1">
      <c r="A372" s="45" t="inlineStr">
        <is>
          <t>2539</t>
        </is>
      </c>
      <c r="B372" s="45" t="inlineStr">
        <is>
          <t>18610</t>
        </is>
      </c>
      <c r="C372" s="45" t="inlineStr">
        <is>
          <t>2×5×1861</t>
        </is>
      </c>
      <c r="D372" s="45" t="inlineStr">
        <is>
          <t>2·5</t>
        </is>
      </c>
      <c r="E372" s="45" t="inlineStr"/>
      <c r="F372" s="45" t="inlineStr"/>
    </row>
    <row r="373" ht="13" customHeight="1">
      <c r="A373" s="49" t="inlineStr">
        <is>
          <t>2543</t>
        </is>
      </c>
      <c r="B373" s="49" t="inlineStr">
        <is>
          <t>14116</t>
        </is>
      </c>
      <c r="C373" s="49" t="inlineStr">
        <is>
          <t>2×2×3529</t>
        </is>
      </c>
      <c r="D373" s="49" t="inlineStr">
        <is>
          <t>2</t>
        </is>
      </c>
      <c r="E373" s="49" t="inlineStr"/>
      <c r="F373" s="49" t="inlineStr"/>
    </row>
    <row r="374" ht="13" customHeight="1">
      <c r="A374" s="41" t="inlineStr">
        <is>
          <t>2549</t>
        </is>
      </c>
      <c r="B374" s="41" t="inlineStr">
        <is>
          <t>29937</t>
        </is>
      </c>
      <c r="C374" s="41" t="inlineStr">
        <is>
          <t>3×17×587</t>
        </is>
      </c>
      <c r="D374" s="41" t="inlineStr">
        <is>
          <t>3·17</t>
        </is>
      </c>
      <c r="E374" s="41" t="inlineStr"/>
      <c r="F374" s="41" t="inlineStr"/>
    </row>
    <row r="375" ht="13" customHeight="1">
      <c r="A375" s="41" t="inlineStr">
        <is>
          <t>2551</t>
        </is>
      </c>
      <c r="B375" s="41" t="inlineStr">
        <is>
          <t>18798</t>
        </is>
      </c>
      <c r="C375" s="41" t="inlineStr">
        <is>
          <t>2×3×13×241</t>
        </is>
      </c>
      <c r="D375" s="41" t="inlineStr">
        <is>
          <t>2·3·13</t>
        </is>
      </c>
      <c r="E375" s="41" t="inlineStr"/>
      <c r="F375" s="41" t="inlineStr"/>
    </row>
    <row r="376" ht="13" customHeight="1">
      <c r="A376" s="45" t="inlineStr">
        <is>
          <t>2557</t>
        </is>
      </c>
      <c r="B376" s="45" t="inlineStr">
        <is>
          <t>29999</t>
        </is>
      </c>
      <c r="C376" s="45" t="inlineStr">
        <is>
          <t>131×229</t>
        </is>
      </c>
      <c r="D376" s="45" t="inlineStr">
        <is>
          <t>—</t>
        </is>
      </c>
      <c r="E376" s="45" t="inlineStr"/>
      <c r="F376" s="45" t="inlineStr"/>
    </row>
    <row r="377" ht="13" customHeight="1">
      <c r="A377" s="49" t="inlineStr">
        <is>
          <t>2579</t>
        </is>
      </c>
      <c r="B377" s="49" t="inlineStr">
        <is>
          <t>33017</t>
        </is>
      </c>
      <c r="C377" s="49" t="inlineStr">
        <is>
          <t>137×241</t>
        </is>
      </c>
      <c r="D377" s="49" t="inlineStr">
        <is>
          <t>—</t>
        </is>
      </c>
      <c r="E377" s="49" t="inlineStr"/>
      <c r="F377" s="49" t="inlineStr"/>
    </row>
    <row r="378" ht="13" customHeight="1">
      <c r="A378" s="45" t="inlineStr">
        <is>
          <t>2591</t>
        </is>
      </c>
      <c r="B378" s="45" t="inlineStr">
        <is>
          <t>16010</t>
        </is>
      </c>
      <c r="C378" s="45" t="inlineStr">
        <is>
          <t>2×5×1601</t>
        </is>
      </c>
      <c r="D378" s="45" t="inlineStr">
        <is>
          <t>2·5</t>
        </is>
      </c>
      <c r="E378" s="45" t="inlineStr"/>
      <c r="F378" s="45" t="inlineStr"/>
    </row>
    <row r="379" ht="13" customHeight="1">
      <c r="A379" s="49" t="inlineStr">
        <is>
          <t>2593</t>
        </is>
      </c>
      <c r="B379" s="49" t="inlineStr">
        <is>
          <t>28273</t>
        </is>
      </c>
      <c r="C379" s="49" t="inlineStr">
        <is>
          <t>7×7×577</t>
        </is>
      </c>
      <c r="D379" s="49" t="inlineStr">
        <is>
          <t>7</t>
        </is>
      </c>
      <c r="E379" s="49" t="inlineStr"/>
      <c r="F379" s="49" t="inlineStr"/>
    </row>
    <row r="380" ht="13" customHeight="1">
      <c r="A380" s="50" t="inlineStr">
        <is>
          <t>2609</t>
        </is>
      </c>
      <c r="B380" s="50" t="inlineStr">
        <is>
          <t>14869</t>
        </is>
      </c>
      <c r="C380" s="50" t="inlineStr">
        <is>
          <t>14869</t>
        </is>
      </c>
      <c r="D380" s="50" t="inlineStr">
        <is>
          <t>—</t>
        </is>
      </c>
      <c r="E380" s="50" t="inlineStr"/>
      <c r="F380" s="50" t="inlineStr"/>
    </row>
    <row r="381" ht="13" customHeight="1">
      <c r="A381" s="51" t="inlineStr">
        <is>
          <t>2617</t>
        </is>
      </c>
      <c r="B381" s="51" t="inlineStr">
        <is>
          <t>9462</t>
        </is>
      </c>
      <c r="C381" s="51" t="inlineStr">
        <is>
          <t>2×3×19×83</t>
        </is>
      </c>
      <c r="D381" s="51" t="inlineStr">
        <is>
          <t>2·3·19</t>
        </is>
      </c>
      <c r="E381" s="51" t="inlineStr"/>
      <c r="F381" s="51" t="inlineStr"/>
    </row>
    <row r="382" ht="13" customHeight="1">
      <c r="A382" s="45" t="inlineStr">
        <is>
          <t>2621</t>
        </is>
      </c>
      <c r="B382" s="45" t="inlineStr">
        <is>
          <t>18580</t>
        </is>
      </c>
      <c r="C382" s="45" t="inlineStr">
        <is>
          <t>2×2×5×929</t>
        </is>
      </c>
      <c r="D382" s="45" t="inlineStr">
        <is>
          <t>2·5</t>
        </is>
      </c>
      <c r="E382" s="45" t="inlineStr"/>
      <c r="F382" s="45" t="inlineStr"/>
    </row>
    <row r="383" ht="13" customHeight="1">
      <c r="A383" s="49" t="inlineStr">
        <is>
          <t>2633</t>
        </is>
      </c>
      <c r="B383" s="49" t="inlineStr">
        <is>
          <t>5972</t>
        </is>
      </c>
      <c r="C383" s="49" t="inlineStr">
        <is>
          <t>2×2×1493</t>
        </is>
      </c>
      <c r="D383" s="49" t="inlineStr">
        <is>
          <t>2</t>
        </is>
      </c>
      <c r="E383" s="49" t="inlineStr"/>
      <c r="F383" s="49" t="inlineStr"/>
    </row>
    <row r="384" ht="13" customHeight="1">
      <c r="A384" s="45" t="inlineStr">
        <is>
          <t>2647</t>
        </is>
      </c>
      <c r="B384" s="45" t="inlineStr">
        <is>
          <t>24898</t>
        </is>
      </c>
      <c r="C384" s="45" t="inlineStr">
        <is>
          <t>2×59×211</t>
        </is>
      </c>
      <c r="D384" s="45" t="inlineStr">
        <is>
          <t>2</t>
        </is>
      </c>
      <c r="E384" s="45" t="inlineStr"/>
      <c r="F384" s="45" t="inlineStr"/>
    </row>
    <row r="385" ht="13" customHeight="1">
      <c r="A385" s="49" t="inlineStr">
        <is>
          <t>2657</t>
        </is>
      </c>
      <c r="B385" s="49" t="inlineStr">
        <is>
          <t>39448</t>
        </is>
      </c>
      <c r="C385" s="49" t="inlineStr">
        <is>
          <t>2×2×2×4931</t>
        </is>
      </c>
      <c r="D385" s="49" t="inlineStr">
        <is>
          <t>2</t>
        </is>
      </c>
      <c r="E385" s="49" t="inlineStr"/>
      <c r="F385" s="49" t="inlineStr"/>
    </row>
    <row r="386" ht="13" customHeight="1">
      <c r="A386" s="45" t="inlineStr">
        <is>
          <t>2659</t>
        </is>
      </c>
      <c r="B386" s="45" t="inlineStr">
        <is>
          <t>24252</t>
        </is>
      </c>
      <c r="C386" s="45" t="inlineStr">
        <is>
          <t>2×2×3×43×47</t>
        </is>
      </c>
      <c r="D386" s="45" t="inlineStr">
        <is>
          <t>2·3</t>
        </is>
      </c>
      <c r="E386" s="45" t="inlineStr"/>
      <c r="F386" s="45" t="inlineStr"/>
    </row>
    <row r="387" ht="13" customHeight="1">
      <c r="A387" s="41" t="inlineStr">
        <is>
          <t>2663</t>
        </is>
      </c>
      <c r="B387" s="41" t="inlineStr">
        <is>
          <t>43588</t>
        </is>
      </c>
      <c r="C387" s="41" t="inlineStr">
        <is>
          <t>2×2×17×641</t>
        </is>
      </c>
      <c r="D387" s="41" t="inlineStr">
        <is>
          <t>2·17</t>
        </is>
      </c>
      <c r="E387" s="41" t="inlineStr"/>
      <c r="F387" s="41" t="inlineStr"/>
    </row>
    <row r="388" ht="13" customHeight="1">
      <c r="A388" s="45" t="inlineStr">
        <is>
          <t>2671</t>
        </is>
      </c>
      <c r="B388" s="45" t="inlineStr">
        <is>
          <t>20916</t>
        </is>
      </c>
      <c r="C388" s="45" t="inlineStr">
        <is>
          <t>2×2×3×3×7×83</t>
        </is>
      </c>
      <c r="D388" s="45" t="inlineStr">
        <is>
          <t>2·3·7</t>
        </is>
      </c>
      <c r="E388" s="45" t="inlineStr"/>
      <c r="F388" s="45" t="inlineStr"/>
    </row>
    <row r="389" ht="13" customHeight="1">
      <c r="A389" s="49" t="inlineStr">
        <is>
          <t>2677</t>
        </is>
      </c>
      <c r="B389" s="49" t="inlineStr">
        <is>
          <t>3207</t>
        </is>
      </c>
      <c r="C389" s="49" t="inlineStr">
        <is>
          <t>3×1069</t>
        </is>
      </c>
      <c r="D389" s="49" t="inlineStr">
        <is>
          <t>3</t>
        </is>
      </c>
      <c r="E389" s="49" t="inlineStr"/>
      <c r="F389" s="49" t="inlineStr"/>
    </row>
    <row r="390" ht="13" customHeight="1">
      <c r="A390" s="45" t="inlineStr">
        <is>
          <t>2683</t>
        </is>
      </c>
      <c r="B390" s="45" t="inlineStr">
        <is>
          <t>2845</t>
        </is>
      </c>
      <c r="C390" s="45" t="inlineStr">
        <is>
          <t>5×569</t>
        </is>
      </c>
      <c r="D390" s="45" t="inlineStr">
        <is>
          <t>5</t>
        </is>
      </c>
      <c r="E390" s="45" t="inlineStr"/>
      <c r="F390" s="45" t="inlineStr"/>
    </row>
    <row r="391" ht="13" customHeight="1">
      <c r="A391" s="49" t="inlineStr">
        <is>
          <t>2687</t>
        </is>
      </c>
      <c r="B391" s="49" t="inlineStr">
        <is>
          <t>6186</t>
        </is>
      </c>
      <c r="C391" s="49" t="inlineStr">
        <is>
          <t>2×3×1031</t>
        </is>
      </c>
      <c r="D391" s="49" t="inlineStr">
        <is>
          <t>2·3</t>
        </is>
      </c>
      <c r="E391" s="49" t="inlineStr"/>
      <c r="F391" s="49" t="inlineStr"/>
    </row>
    <row r="392" ht="13" customHeight="1">
      <c r="A392" s="45" t="inlineStr">
        <is>
          <t>2689</t>
        </is>
      </c>
      <c r="B392" s="45" t="inlineStr">
        <is>
          <t>37964</t>
        </is>
      </c>
      <c r="C392" s="45" t="inlineStr">
        <is>
          <t>2×2×9491</t>
        </is>
      </c>
      <c r="D392" s="45" t="inlineStr">
        <is>
          <t>2</t>
        </is>
      </c>
      <c r="E392" s="45" t="inlineStr"/>
      <c r="F392" s="45" t="inlineStr"/>
    </row>
    <row r="393" ht="13" customHeight="1">
      <c r="A393" s="49" t="inlineStr">
        <is>
          <t>2693</t>
        </is>
      </c>
      <c r="B393" s="49" t="inlineStr">
        <is>
          <t>24118</t>
        </is>
      </c>
      <c r="C393" s="49" t="inlineStr">
        <is>
          <t>2×31×389</t>
        </is>
      </c>
      <c r="D393" s="49" t="inlineStr">
        <is>
          <t>2</t>
        </is>
      </c>
      <c r="E393" s="49" t="inlineStr"/>
      <c r="F393" s="49" t="inlineStr"/>
    </row>
    <row r="394" ht="13" customHeight="1">
      <c r="A394" s="51" t="inlineStr">
        <is>
          <t>2699</t>
        </is>
      </c>
      <c r="B394" s="51" t="inlineStr">
        <is>
          <t>11761</t>
        </is>
      </c>
      <c r="C394" s="51" t="inlineStr">
        <is>
          <t>19×619</t>
        </is>
      </c>
      <c r="D394" s="51" t="inlineStr">
        <is>
          <t>19</t>
        </is>
      </c>
      <c r="E394" s="51" t="inlineStr"/>
      <c r="F394" s="51" t="inlineStr"/>
    </row>
    <row r="395" ht="13" customHeight="1">
      <c r="A395" s="49" t="inlineStr">
        <is>
          <t>2707</t>
        </is>
      </c>
      <c r="B395" s="49" t="inlineStr">
        <is>
          <t>1351</t>
        </is>
      </c>
      <c r="C395" s="49" t="inlineStr">
        <is>
          <t>7×193</t>
        </is>
      </c>
      <c r="D395" s="49" t="inlineStr">
        <is>
          <t>7</t>
        </is>
      </c>
      <c r="E395" s="49" t="inlineStr"/>
      <c r="F395" s="49" t="inlineStr"/>
    </row>
    <row r="396" ht="13" customHeight="1">
      <c r="A396" s="45" t="inlineStr">
        <is>
          <t>2711</t>
        </is>
      </c>
      <c r="B396" s="45" t="inlineStr">
        <is>
          <t>33760</t>
        </is>
      </c>
      <c r="C396" s="45" t="inlineStr">
        <is>
          <t>2×2×2×2×2×5×211</t>
        </is>
      </c>
      <c r="D396" s="45" t="inlineStr">
        <is>
          <t>2·5</t>
        </is>
      </c>
      <c r="E396" s="45" t="inlineStr"/>
      <c r="F396" s="45" t="inlineStr"/>
    </row>
    <row r="397" ht="13" customHeight="1">
      <c r="A397" s="41" t="inlineStr">
        <is>
          <t>2713</t>
        </is>
      </c>
      <c r="B397" s="41" t="inlineStr">
        <is>
          <t>1785</t>
        </is>
      </c>
      <c r="C397" s="41" t="inlineStr">
        <is>
          <t>3×5×7×17</t>
        </is>
      </c>
      <c r="D397" s="41" t="inlineStr">
        <is>
          <t>3·5·7·17</t>
        </is>
      </c>
      <c r="E397" s="41" t="inlineStr"/>
      <c r="F397" s="41" t="inlineStr"/>
    </row>
    <row r="398" ht="13" customHeight="1">
      <c r="A398" s="45" t="inlineStr">
        <is>
          <t>2719</t>
        </is>
      </c>
      <c r="B398" s="45" t="inlineStr">
        <is>
          <t>24278</t>
        </is>
      </c>
      <c r="C398" s="45" t="inlineStr">
        <is>
          <t>2×61×199</t>
        </is>
      </c>
      <c r="D398" s="45" t="inlineStr">
        <is>
          <t>2</t>
        </is>
      </c>
      <c r="E398" s="45" t="inlineStr"/>
      <c r="F398" s="45" t="inlineStr"/>
    </row>
    <row r="399" ht="13" customHeight="1">
      <c r="A399" s="49" t="inlineStr">
        <is>
          <t>2729</t>
        </is>
      </c>
      <c r="B399" s="49" t="inlineStr">
        <is>
          <t>9093</t>
        </is>
      </c>
      <c r="C399" s="49" t="inlineStr">
        <is>
          <t>3×7×433</t>
        </is>
      </c>
      <c r="D399" s="49" t="inlineStr">
        <is>
          <t>3·7</t>
        </is>
      </c>
      <c r="E399" s="49" t="inlineStr"/>
      <c r="F399" s="49" t="inlineStr"/>
    </row>
    <row r="400" ht="13" customHeight="1">
      <c r="A400" s="37" t="inlineStr">
        <is>
          <t>2731</t>
        </is>
      </c>
      <c r="B400" s="37" t="inlineStr">
        <is>
          <t>34462</t>
        </is>
      </c>
      <c r="C400" s="37" t="inlineStr">
        <is>
          <t>2×17231</t>
        </is>
      </c>
      <c r="D400" s="37" t="inlineStr">
        <is>
          <t>2</t>
        </is>
      </c>
      <c r="E400" s="37" t="inlineStr"/>
      <c r="F400" s="37" t="inlineStr">
        <is>
          <t>strong BP of 2730=bus×13 · weak vertex rev10</t>
        </is>
      </c>
    </row>
    <row r="401" ht="13" customHeight="1">
      <c r="A401" s="49" t="inlineStr">
        <is>
          <t>2741</t>
        </is>
      </c>
      <c r="B401" s="49" t="inlineStr">
        <is>
          <t>3504</t>
        </is>
      </c>
      <c r="C401" s="49" t="inlineStr">
        <is>
          <t>2×2×2×2×3×73</t>
        </is>
      </c>
      <c r="D401" s="49" t="inlineStr">
        <is>
          <t>2·3</t>
        </is>
      </c>
      <c r="E401" s="49" t="inlineStr"/>
      <c r="F401" s="49" t="inlineStr"/>
    </row>
    <row r="402" ht="13" customHeight="1">
      <c r="A402" s="45" t="inlineStr">
        <is>
          <t>2749</t>
        </is>
      </c>
      <c r="B402" s="45" t="inlineStr">
        <is>
          <t>9325</t>
        </is>
      </c>
      <c r="C402" s="45" t="inlineStr">
        <is>
          <t>5×5×373</t>
        </is>
      </c>
      <c r="D402" s="45" t="inlineStr">
        <is>
          <t>5</t>
        </is>
      </c>
      <c r="E402" s="45" t="inlineStr"/>
      <c r="F402" s="45" t="inlineStr"/>
    </row>
    <row r="403" ht="13" customHeight="1">
      <c r="A403" s="51" t="inlineStr">
        <is>
          <t>2753</t>
        </is>
      </c>
      <c r="B403" s="51" t="inlineStr">
        <is>
          <t>4275</t>
        </is>
      </c>
      <c r="C403" s="51" t="inlineStr">
        <is>
          <t>3×3×5×5×19</t>
        </is>
      </c>
      <c r="D403" s="51" t="inlineStr">
        <is>
          <t>3·5·19</t>
        </is>
      </c>
      <c r="E403" s="51" t="inlineStr"/>
      <c r="F403" s="51" t="inlineStr"/>
    </row>
    <row r="404" ht="13" customHeight="1">
      <c r="A404" s="45" t="inlineStr">
        <is>
          <t>2767</t>
        </is>
      </c>
      <c r="B404" s="45" t="inlineStr">
        <is>
          <t>36268</t>
        </is>
      </c>
      <c r="C404" s="45" t="inlineStr">
        <is>
          <t>2×2×9067</t>
        </is>
      </c>
      <c r="D404" s="45" t="inlineStr">
        <is>
          <t>2</t>
        </is>
      </c>
      <c r="E404" s="45" t="inlineStr"/>
      <c r="F404" s="45" t="inlineStr"/>
    </row>
    <row r="405" ht="13" customHeight="1">
      <c r="A405" s="49" t="inlineStr">
        <is>
          <t>2777</t>
        </is>
      </c>
      <c r="B405" s="49" t="inlineStr">
        <is>
          <t>34985</t>
        </is>
      </c>
      <c r="C405" s="49" t="inlineStr">
        <is>
          <t>5×6997</t>
        </is>
      </c>
      <c r="D405" s="49" t="inlineStr">
        <is>
          <t>5</t>
        </is>
      </c>
      <c r="E405" s="49" t="inlineStr"/>
      <c r="F405" s="49" t="inlineStr"/>
    </row>
    <row r="406" ht="13" customHeight="1">
      <c r="A406" s="45" t="inlineStr">
        <is>
          <t>2789</t>
        </is>
      </c>
      <c r="B406" s="45" t="inlineStr">
        <is>
          <t>4476</t>
        </is>
      </c>
      <c r="C406" s="45" t="inlineStr">
        <is>
          <t>2×2×3×373</t>
        </is>
      </c>
      <c r="D406" s="45" t="inlineStr">
        <is>
          <t>2·3</t>
        </is>
      </c>
      <c r="E406" s="45" t="inlineStr"/>
      <c r="F406" s="45" t="inlineStr"/>
    </row>
    <row r="407" ht="13" customHeight="1">
      <c r="A407" s="41" t="inlineStr">
        <is>
          <t>2791</t>
        </is>
      </c>
      <c r="B407" s="41" t="inlineStr">
        <is>
          <t>15589</t>
        </is>
      </c>
      <c r="C407" s="41" t="inlineStr">
        <is>
          <t>7×17×131</t>
        </is>
      </c>
      <c r="D407" s="41" t="inlineStr">
        <is>
          <t>7·17</t>
        </is>
      </c>
      <c r="E407" s="41" t="inlineStr"/>
      <c r="F407" s="41" t="inlineStr"/>
    </row>
    <row r="408" ht="13" customHeight="1">
      <c r="A408" s="41" t="inlineStr">
        <is>
          <t>2797</t>
        </is>
      </c>
      <c r="B408" s="41" t="inlineStr">
        <is>
          <t>24378</t>
        </is>
      </c>
      <c r="C408" s="41" t="inlineStr">
        <is>
          <t>2×3×17×239</t>
        </is>
      </c>
      <c r="D408" s="41" t="inlineStr">
        <is>
          <t>2·3·17</t>
        </is>
      </c>
      <c r="E408" s="41" t="inlineStr"/>
      <c r="F408" s="41" t="inlineStr"/>
    </row>
    <row r="409" ht="13" customHeight="1">
      <c r="A409" s="49" t="inlineStr">
        <is>
          <t>2801</t>
        </is>
      </c>
      <c r="B409" s="49" t="inlineStr">
        <is>
          <t>29338</t>
        </is>
      </c>
      <c r="C409" s="49" t="inlineStr">
        <is>
          <t>2×14669</t>
        </is>
      </c>
      <c r="D409" s="49" t="inlineStr">
        <is>
          <t>2</t>
        </is>
      </c>
      <c r="E409" s="49" t="inlineStr"/>
      <c r="F409" s="49" t="inlineStr"/>
    </row>
    <row r="410" ht="13" customHeight="1">
      <c r="A410" s="45" t="inlineStr">
        <is>
          <t>2803</t>
        </is>
      </c>
      <c r="B410" s="45" t="inlineStr">
        <is>
          <t>41949</t>
        </is>
      </c>
      <c r="C410" s="45" t="inlineStr">
        <is>
          <t>3×3×59×79</t>
        </is>
      </c>
      <c r="D410" s="45" t="inlineStr">
        <is>
          <t>3</t>
        </is>
      </c>
      <c r="E410" s="45" t="inlineStr"/>
      <c r="F410" s="45" t="inlineStr"/>
    </row>
    <row r="411" ht="13" customHeight="1">
      <c r="A411" s="49" t="inlineStr">
        <is>
          <t>2819</t>
        </is>
      </c>
      <c r="B411" s="49" t="inlineStr">
        <is>
          <t>23214</t>
        </is>
      </c>
      <c r="C411" s="49" t="inlineStr">
        <is>
          <t>2×3×53×73</t>
        </is>
      </c>
      <c r="D411" s="49" t="inlineStr">
        <is>
          <t>2·3</t>
        </is>
      </c>
      <c r="E411" s="49" t="inlineStr"/>
      <c r="F411" s="49" t="inlineStr"/>
    </row>
    <row r="412" ht="13" customHeight="1">
      <c r="A412" s="45" t="inlineStr">
        <is>
          <t>2833</t>
        </is>
      </c>
      <c r="B412" s="45" t="inlineStr">
        <is>
          <t>21992</t>
        </is>
      </c>
      <c r="C412" s="45" t="inlineStr">
        <is>
          <t>2×2×2×2749</t>
        </is>
      </c>
      <c r="D412" s="45" t="inlineStr">
        <is>
          <t>2</t>
        </is>
      </c>
      <c r="E412" s="45" t="inlineStr"/>
      <c r="F412" s="45" t="inlineStr"/>
    </row>
    <row r="413" ht="13" customHeight="1">
      <c r="A413" s="49" t="inlineStr">
        <is>
          <t>2837</t>
        </is>
      </c>
      <c r="B413" s="49" t="inlineStr">
        <is>
          <t>40476</t>
        </is>
      </c>
      <c r="C413" s="49" t="inlineStr">
        <is>
          <t>2×2×3×3373</t>
        </is>
      </c>
      <c r="D413" s="49" t="inlineStr">
        <is>
          <t>2·3</t>
        </is>
      </c>
      <c r="E413" s="49" t="inlineStr"/>
      <c r="F413" s="49" t="inlineStr"/>
    </row>
    <row r="414" ht="13" customHeight="1">
      <c r="A414" s="43" t="inlineStr">
        <is>
          <t>2843</t>
        </is>
      </c>
      <c r="B414" s="43" t="inlineStr">
        <is>
          <t>20427</t>
        </is>
      </c>
      <c r="C414" s="43" t="inlineStr">
        <is>
          <t>3×11×619</t>
        </is>
      </c>
      <c r="D414" s="43" t="inlineStr">
        <is>
          <t>3·11</t>
        </is>
      </c>
      <c r="E414" s="43" t="inlineStr"/>
      <c r="F414" s="43" t="inlineStr"/>
    </row>
    <row r="415" ht="13" customHeight="1">
      <c r="A415" s="43" t="inlineStr">
        <is>
          <t>2851</t>
        </is>
      </c>
      <c r="B415" s="43" t="inlineStr">
        <is>
          <t>40095</t>
        </is>
      </c>
      <c r="C415" s="43" t="inlineStr">
        <is>
          <t>3×3×3×3×3×3×5×11</t>
        </is>
      </c>
      <c r="D415" s="43" t="inlineStr">
        <is>
          <t>3·5·11</t>
        </is>
      </c>
      <c r="E415" s="43" t="inlineStr"/>
      <c r="F415" s="43" t="inlineStr"/>
    </row>
    <row r="416" ht="13" customHeight="1">
      <c r="A416" s="39" t="inlineStr">
        <is>
          <t>2857</t>
        </is>
      </c>
      <c r="B416" s="39" t="inlineStr">
        <is>
          <t>21609</t>
        </is>
      </c>
      <c r="C416" s="39" t="inlineStr">
        <is>
          <t>3×3×7×7×7×7</t>
        </is>
      </c>
      <c r="D416" s="39" t="inlineStr">
        <is>
          <t>3·7</t>
        </is>
      </c>
      <c r="E416" s="39" t="inlineStr"/>
      <c r="F416" s="39" t="inlineStr"/>
    </row>
    <row r="417" ht="13" customHeight="1">
      <c r="A417" s="49" t="inlineStr">
        <is>
          <t>2861</t>
        </is>
      </c>
      <c r="B417" s="49" t="inlineStr">
        <is>
          <t>31323</t>
        </is>
      </c>
      <c r="C417" s="49" t="inlineStr">
        <is>
          <t>3×53×197</t>
        </is>
      </c>
      <c r="D417" s="49" t="inlineStr">
        <is>
          <t>3</t>
        </is>
      </c>
      <c r="E417" s="49" t="inlineStr"/>
      <c r="F417" s="49" t="inlineStr"/>
    </row>
    <row r="418" ht="13" customHeight="1">
      <c r="A418" s="45" t="inlineStr">
        <is>
          <t>2879</t>
        </is>
      </c>
      <c r="B418" s="45" t="inlineStr">
        <is>
          <t>2302</t>
        </is>
      </c>
      <c r="C418" s="45" t="inlineStr">
        <is>
          <t>2×1151</t>
        </is>
      </c>
      <c r="D418" s="45" t="inlineStr">
        <is>
          <t>2</t>
        </is>
      </c>
      <c r="E418" s="45" t="inlineStr"/>
      <c r="F418" s="45" t="inlineStr"/>
    </row>
    <row r="419" ht="13" customHeight="1">
      <c r="A419" s="49" t="inlineStr">
        <is>
          <t>2887</t>
        </is>
      </c>
      <c r="B419" s="49" t="inlineStr">
        <is>
          <t>2247</t>
        </is>
      </c>
      <c r="C419" s="49" t="inlineStr">
        <is>
          <t>3×7×107</t>
        </is>
      </c>
      <c r="D419" s="49" t="inlineStr">
        <is>
          <t>3·7</t>
        </is>
      </c>
      <c r="E419" s="49" t="inlineStr"/>
      <c r="F419" s="49" t="inlineStr"/>
    </row>
    <row r="420" ht="13" customHeight="1">
      <c r="A420" s="45" t="inlineStr">
        <is>
          <t>2897</t>
        </is>
      </c>
      <c r="B420" s="45" t="inlineStr">
        <is>
          <t>5836</t>
        </is>
      </c>
      <c r="C420" s="45" t="inlineStr">
        <is>
          <t>2×2×1459</t>
        </is>
      </c>
      <c r="D420" s="45" t="inlineStr">
        <is>
          <t>2</t>
        </is>
      </c>
      <c r="E420" s="45" t="inlineStr"/>
      <c r="F420" s="45" t="inlineStr"/>
    </row>
    <row r="421" ht="13" customHeight="1">
      <c r="A421" s="50" t="inlineStr">
        <is>
          <t>2903</t>
        </is>
      </c>
      <c r="B421" s="50" t="inlineStr">
        <is>
          <t>35729</t>
        </is>
      </c>
      <c r="C421" s="50" t="inlineStr">
        <is>
          <t>35729</t>
        </is>
      </c>
      <c r="D421" s="50" t="inlineStr">
        <is>
          <t>—</t>
        </is>
      </c>
      <c r="E421" s="50" t="inlineStr"/>
      <c r="F421" s="50" t="inlineStr"/>
    </row>
    <row r="422" ht="13" customHeight="1">
      <c r="A422" s="41" t="inlineStr">
        <is>
          <t>2909</t>
        </is>
      </c>
      <c r="B422" s="41" t="inlineStr">
        <is>
          <t>27716</t>
        </is>
      </c>
      <c r="C422" s="41" t="inlineStr">
        <is>
          <t>2×2×13×13×41</t>
        </is>
      </c>
      <c r="D422" s="41" t="inlineStr">
        <is>
          <t>2·13</t>
        </is>
      </c>
      <c r="E422" s="41" t="inlineStr"/>
      <c r="F422" s="41" t="inlineStr"/>
    </row>
    <row r="423" ht="13" customHeight="1">
      <c r="A423" s="49" t="inlineStr">
        <is>
          <t>2917</t>
        </is>
      </c>
      <c r="B423" s="49" t="inlineStr">
        <is>
          <t>29050</t>
        </is>
      </c>
      <c r="C423" s="49" t="inlineStr">
        <is>
          <t>2×5×5×7×83</t>
        </is>
      </c>
      <c r="D423" s="49" t="inlineStr">
        <is>
          <t>2·5·7</t>
        </is>
      </c>
      <c r="E423" s="49" t="inlineStr"/>
      <c r="F423" s="49" t="inlineStr"/>
    </row>
    <row r="424" ht="13" customHeight="1">
      <c r="A424" s="50" t="inlineStr">
        <is>
          <t>2927</t>
        </is>
      </c>
      <c r="B424" s="50" t="inlineStr">
        <is>
          <t>41777</t>
        </is>
      </c>
      <c r="C424" s="50" t="inlineStr">
        <is>
          <t>41777</t>
        </is>
      </c>
      <c r="D424" s="50" t="inlineStr">
        <is>
          <t>—</t>
        </is>
      </c>
      <c r="E424" s="50" t="inlineStr"/>
      <c r="F424" s="50" t="inlineStr"/>
    </row>
    <row r="425" ht="13" customHeight="1">
      <c r="A425" s="49" t="inlineStr">
        <is>
          <t>2939</t>
        </is>
      </c>
      <c r="B425" s="49" t="inlineStr">
        <is>
          <t>21936</t>
        </is>
      </c>
      <c r="C425" s="49" t="inlineStr">
        <is>
          <t>2×2×2×2×3×457</t>
        </is>
      </c>
      <c r="D425" s="49" t="inlineStr">
        <is>
          <t>2·3</t>
        </is>
      </c>
      <c r="E425" s="49" t="inlineStr"/>
      <c r="F425" s="49" t="inlineStr"/>
    </row>
    <row r="426" ht="13" customHeight="1">
      <c r="A426" s="41" t="inlineStr">
        <is>
          <t>2953</t>
        </is>
      </c>
      <c r="B426" s="41" t="inlineStr">
        <is>
          <t>27336</t>
        </is>
      </c>
      <c r="C426" s="41" t="inlineStr">
        <is>
          <t>2×2×2×3×17×67</t>
        </is>
      </c>
      <c r="D426" s="41" t="inlineStr">
        <is>
          <t>2·3·17</t>
        </is>
      </c>
      <c r="E426" s="41" t="inlineStr"/>
      <c r="F426" s="41" t="inlineStr"/>
    </row>
    <row r="427" ht="13" customHeight="1">
      <c r="A427" s="49" t="inlineStr">
        <is>
          <t>2957</t>
        </is>
      </c>
      <c r="B427" s="49" t="inlineStr">
        <is>
          <t>30308</t>
        </is>
      </c>
      <c r="C427" s="49" t="inlineStr">
        <is>
          <t>2×2×7577</t>
        </is>
      </c>
      <c r="D427" s="49" t="inlineStr">
        <is>
          <t>2</t>
        </is>
      </c>
      <c r="E427" s="49" t="inlineStr"/>
      <c r="F427" s="49" t="inlineStr"/>
    </row>
    <row r="428" ht="13" customHeight="1">
      <c r="A428" s="45" t="inlineStr">
        <is>
          <t>2963</t>
        </is>
      </c>
      <c r="B428" s="45" t="inlineStr">
        <is>
          <t>37733</t>
        </is>
      </c>
      <c r="C428" s="45" t="inlineStr">
        <is>
          <t>97×389</t>
        </is>
      </c>
      <c r="D428" s="45" t="inlineStr">
        <is>
          <t>—</t>
        </is>
      </c>
      <c r="E428" s="45" t="inlineStr"/>
      <c r="F428" s="45" t="inlineStr"/>
    </row>
    <row r="429" ht="13" customHeight="1">
      <c r="A429" s="49" t="inlineStr">
        <is>
          <t>2969</t>
        </is>
      </c>
      <c r="B429" s="49" t="inlineStr">
        <is>
          <t>10420</t>
        </is>
      </c>
      <c r="C429" s="49" t="inlineStr">
        <is>
          <t>2×2×5×521</t>
        </is>
      </c>
      <c r="D429" s="49" t="inlineStr">
        <is>
          <t>2·5</t>
        </is>
      </c>
      <c r="E429" s="49" t="inlineStr"/>
      <c r="F429" s="49" t="inlineStr"/>
    </row>
    <row r="430" ht="13" customHeight="1">
      <c r="A430" s="45" t="inlineStr">
        <is>
          <t>2971</t>
        </is>
      </c>
      <c r="B430" s="45" t="inlineStr">
        <is>
          <t>32394</t>
        </is>
      </c>
      <c r="C430" s="45" t="inlineStr">
        <is>
          <t>2×3×5399</t>
        </is>
      </c>
      <c r="D430" s="45" t="inlineStr">
        <is>
          <t>2·3</t>
        </is>
      </c>
      <c r="E430" s="45" t="inlineStr"/>
      <c r="F430" s="45" t="inlineStr"/>
    </row>
    <row r="431" ht="13" customHeight="1">
      <c r="A431" s="49" t="inlineStr">
        <is>
          <t>2999</t>
        </is>
      </c>
      <c r="B431" s="49" t="inlineStr">
        <is>
          <t>10705</t>
        </is>
      </c>
      <c r="C431" s="49" t="inlineStr">
        <is>
          <t>5×2141</t>
        </is>
      </c>
      <c r="D431" s="49" t="inlineStr">
        <is>
          <t>5</t>
        </is>
      </c>
      <c r="E431" s="49" t="inlineStr"/>
      <c r="F431" s="49" t="inlineStr"/>
    </row>
    <row r="432" ht="13" customHeight="1">
      <c r="A432" s="45" t="inlineStr">
        <is>
          <t>3001</t>
        </is>
      </c>
      <c r="B432" s="45" t="inlineStr">
        <is>
          <t>15336</t>
        </is>
      </c>
      <c r="C432" s="45" t="inlineStr">
        <is>
          <t>2×2×2×3×3×3×71</t>
        </is>
      </c>
      <c r="D432" s="45" t="inlineStr">
        <is>
          <t>2·3</t>
        </is>
      </c>
      <c r="E432" s="45" t="inlineStr"/>
      <c r="F432" s="45" t="inlineStr"/>
    </row>
    <row r="433" ht="13" customHeight="1">
      <c r="A433" s="49" t="inlineStr">
        <is>
          <t>3011</t>
        </is>
      </c>
      <c r="B433" s="49" t="inlineStr">
        <is>
          <t>14966</t>
        </is>
      </c>
      <c r="C433" s="49" t="inlineStr">
        <is>
          <t>2×7×1069</t>
        </is>
      </c>
      <c r="D433" s="49" t="inlineStr">
        <is>
          <t>2·7</t>
        </is>
      </c>
      <c r="E433" s="49" t="inlineStr"/>
      <c r="F433" s="49" t="inlineStr"/>
    </row>
    <row r="434" ht="13" customHeight="1">
      <c r="A434" s="41" t="inlineStr">
        <is>
          <t>3019</t>
        </is>
      </c>
      <c r="B434" s="41" t="inlineStr">
        <is>
          <t>13611</t>
        </is>
      </c>
      <c r="C434" s="41" t="inlineStr">
        <is>
          <t>3×13×349</t>
        </is>
      </c>
      <c r="D434" s="41" t="inlineStr">
        <is>
          <t>3·13</t>
        </is>
      </c>
      <c r="E434" s="41" t="inlineStr"/>
      <c r="F434" s="41" t="inlineStr"/>
    </row>
    <row r="435" ht="13" customHeight="1">
      <c r="A435" s="49" t="inlineStr">
        <is>
          <t>3023</t>
        </is>
      </c>
      <c r="B435" s="49" t="inlineStr">
        <is>
          <t>10844</t>
        </is>
      </c>
      <c r="C435" s="49" t="inlineStr">
        <is>
          <t>2×2×2711</t>
        </is>
      </c>
      <c r="D435" s="49" t="inlineStr">
        <is>
          <t>2</t>
        </is>
      </c>
      <c r="E435" s="49" t="inlineStr"/>
      <c r="F435" s="49" t="inlineStr"/>
    </row>
    <row r="436" ht="13" customHeight="1">
      <c r="A436" s="41" t="inlineStr">
        <is>
          <t>3037</t>
        </is>
      </c>
      <c r="B436" s="41" t="inlineStr">
        <is>
          <t>42194</t>
        </is>
      </c>
      <c r="C436" s="41" t="inlineStr">
        <is>
          <t>2×17×17×73</t>
        </is>
      </c>
      <c r="D436" s="41" t="inlineStr">
        <is>
          <t>2·17</t>
        </is>
      </c>
      <c r="E436" s="41" t="inlineStr"/>
      <c r="F436" s="41" t="inlineStr"/>
    </row>
    <row r="437" ht="13" customHeight="1">
      <c r="A437" s="49" t="inlineStr">
        <is>
          <t>3041</t>
        </is>
      </c>
      <c r="B437" s="49" t="inlineStr">
        <is>
          <t>12786</t>
        </is>
      </c>
      <c r="C437" s="49" t="inlineStr">
        <is>
          <t>2×3×2131</t>
        </is>
      </c>
      <c r="D437" s="49" t="inlineStr">
        <is>
          <t>2·3</t>
        </is>
      </c>
      <c r="E437" s="49" t="inlineStr"/>
      <c r="F437" s="49" t="inlineStr"/>
    </row>
    <row r="438" ht="13" customHeight="1">
      <c r="A438" s="51" t="inlineStr">
        <is>
          <t>3049</t>
        </is>
      </c>
      <c r="B438" s="51" t="inlineStr">
        <is>
          <t>16245</t>
        </is>
      </c>
      <c r="C438" s="51" t="inlineStr">
        <is>
          <t>3×3×5×19×19</t>
        </is>
      </c>
      <c r="D438" s="51" t="inlineStr">
        <is>
          <t>3·5·19</t>
        </is>
      </c>
      <c r="E438" s="51" t="inlineStr"/>
      <c r="F438" s="51" t="inlineStr"/>
    </row>
    <row r="439" ht="13" customHeight="1">
      <c r="A439" s="49" t="inlineStr">
        <is>
          <t>3061</t>
        </is>
      </c>
      <c r="B439" s="49" t="inlineStr">
        <is>
          <t>22365</t>
        </is>
      </c>
      <c r="C439" s="49" t="inlineStr">
        <is>
          <t>3×3×5×7×71</t>
        </is>
      </c>
      <c r="D439" s="49" t="inlineStr">
        <is>
          <t>3·5·7</t>
        </is>
      </c>
      <c r="E439" s="49" t="inlineStr"/>
      <c r="F439" s="49" t="inlineStr"/>
    </row>
    <row r="440" ht="13" customHeight="1">
      <c r="A440" s="45" t="inlineStr">
        <is>
          <t>3067</t>
        </is>
      </c>
      <c r="B440" s="45" t="inlineStr">
        <is>
          <t>21687</t>
        </is>
      </c>
      <c r="C440" s="45" t="inlineStr">
        <is>
          <t>3×7229</t>
        </is>
      </c>
      <c r="D440" s="45" t="inlineStr">
        <is>
          <t>3</t>
        </is>
      </c>
      <c r="E440" s="45" t="inlineStr"/>
      <c r="F440" s="45" t="inlineStr"/>
    </row>
    <row r="441" ht="13" customHeight="1">
      <c r="A441" s="49" t="inlineStr">
        <is>
          <t>3079</t>
        </is>
      </c>
      <c r="B441" s="49" t="inlineStr">
        <is>
          <t>22602</t>
        </is>
      </c>
      <c r="C441" s="49" t="inlineStr">
        <is>
          <t>2×3×3767</t>
        </is>
      </c>
      <c r="D441" s="49" t="inlineStr">
        <is>
          <t>2·3</t>
        </is>
      </c>
      <c r="E441" s="49" t="inlineStr"/>
      <c r="F441" s="49" t="inlineStr"/>
    </row>
    <row r="442" ht="13" customHeight="1">
      <c r="A442" s="45" t="inlineStr">
        <is>
          <t>3083</t>
        </is>
      </c>
      <c r="B442" s="45" t="inlineStr">
        <is>
          <t>41295</t>
        </is>
      </c>
      <c r="C442" s="45" t="inlineStr">
        <is>
          <t>3×5×2753</t>
        </is>
      </c>
      <c r="D442" s="45" t="inlineStr">
        <is>
          <t>3·5</t>
        </is>
      </c>
      <c r="E442" s="45" t="inlineStr"/>
      <c r="F442" s="45" t="inlineStr"/>
    </row>
    <row r="443" ht="13" customHeight="1">
      <c r="A443" s="49" t="inlineStr">
        <is>
          <t>3089</t>
        </is>
      </c>
      <c r="B443" s="49" t="inlineStr">
        <is>
          <t>20659</t>
        </is>
      </c>
      <c r="C443" s="49" t="inlineStr">
        <is>
          <t>73×283</t>
        </is>
      </c>
      <c r="D443" s="49" t="inlineStr">
        <is>
          <t>—</t>
        </is>
      </c>
      <c r="E443" s="49" t="inlineStr"/>
      <c r="F443" s="49" t="inlineStr"/>
    </row>
    <row r="444" ht="13" customHeight="1">
      <c r="A444" s="50" t="inlineStr">
        <is>
          <t>3109</t>
        </is>
      </c>
      <c r="B444" s="50" t="inlineStr">
        <is>
          <t>3089</t>
        </is>
      </c>
      <c r="C444" s="50" t="inlineStr">
        <is>
          <t>3089</t>
        </is>
      </c>
      <c r="D444" s="50" t="inlineStr">
        <is>
          <t>—</t>
        </is>
      </c>
      <c r="E444" s="50" t="inlineStr"/>
      <c r="F444" s="50" t="inlineStr"/>
    </row>
    <row r="445" ht="13" customHeight="1">
      <c r="A445" s="50" t="inlineStr">
        <is>
          <t>3119</t>
        </is>
      </c>
      <c r="B445" s="50" t="inlineStr">
        <is>
          <t>6827</t>
        </is>
      </c>
      <c r="C445" s="50" t="inlineStr">
        <is>
          <t>6827</t>
        </is>
      </c>
      <c r="D445" s="50" t="inlineStr">
        <is>
          <t>—</t>
        </is>
      </c>
      <c r="E445" s="50" t="inlineStr"/>
      <c r="F445" s="50" t="inlineStr"/>
    </row>
    <row r="446" ht="13" customHeight="1">
      <c r="A446" s="50" t="inlineStr">
        <is>
          <t>3121</t>
        </is>
      </c>
      <c r="B446" s="50" t="inlineStr">
        <is>
          <t>16111</t>
        </is>
      </c>
      <c r="C446" s="50" t="inlineStr">
        <is>
          <t>16111</t>
        </is>
      </c>
      <c r="D446" s="50" t="inlineStr">
        <is>
          <t>—</t>
        </is>
      </c>
      <c r="E446" s="50" t="inlineStr"/>
      <c r="F446" s="50" t="inlineStr"/>
    </row>
    <row r="447" ht="13" customHeight="1">
      <c r="A447" s="49" t="inlineStr">
        <is>
          <t>3137</t>
        </is>
      </c>
      <c r="B447" s="49" t="inlineStr">
        <is>
          <t>19347</t>
        </is>
      </c>
      <c r="C447" s="49" t="inlineStr">
        <is>
          <t>3×6449</t>
        </is>
      </c>
      <c r="D447" s="49" t="inlineStr">
        <is>
          <t>3</t>
        </is>
      </c>
      <c r="E447" s="49" t="inlineStr"/>
      <c r="F447" s="49" t="inlineStr"/>
    </row>
    <row r="448" ht="13" customHeight="1">
      <c r="A448" s="50" t="inlineStr">
        <is>
          <t>3163</t>
        </is>
      </c>
      <c r="B448" s="50" t="inlineStr">
        <is>
          <t>27481</t>
        </is>
      </c>
      <c r="C448" s="50" t="inlineStr">
        <is>
          <t>27481</t>
        </is>
      </c>
      <c r="D448" s="50" t="inlineStr">
        <is>
          <t>—</t>
        </is>
      </c>
      <c r="E448" s="50" t="inlineStr"/>
      <c r="F448" s="50" t="inlineStr"/>
    </row>
    <row r="449" ht="13" customHeight="1">
      <c r="A449" s="43" t="inlineStr">
        <is>
          <t>3167</t>
        </is>
      </c>
      <c r="B449" s="43" t="inlineStr">
        <is>
          <t>33539</t>
        </is>
      </c>
      <c r="C449" s="43" t="inlineStr">
        <is>
          <t>11×3049</t>
        </is>
      </c>
      <c r="D449" s="43" t="inlineStr">
        <is>
          <t>11</t>
        </is>
      </c>
      <c r="E449" s="43" t="inlineStr"/>
      <c r="F449" s="43" t="inlineStr"/>
    </row>
    <row r="450" ht="13" customHeight="1">
      <c r="A450" s="45" t="inlineStr">
        <is>
          <t>3169</t>
        </is>
      </c>
      <c r="B450" s="45" t="inlineStr">
        <is>
          <t>25989</t>
        </is>
      </c>
      <c r="C450" s="45" t="inlineStr">
        <is>
          <t>3×8663</t>
        </is>
      </c>
      <c r="D450" s="45" t="inlineStr">
        <is>
          <t>3</t>
        </is>
      </c>
      <c r="E450" s="45" t="inlineStr"/>
      <c r="F450" s="45" t="inlineStr"/>
    </row>
    <row r="451" ht="13" customHeight="1">
      <c r="A451" s="49" t="inlineStr">
        <is>
          <t>3181</t>
        </is>
      </c>
      <c r="B451" s="49" t="inlineStr">
        <is>
          <t>33635</t>
        </is>
      </c>
      <c r="C451" s="49" t="inlineStr">
        <is>
          <t>5×7×31×31</t>
        </is>
      </c>
      <c r="D451" s="49" t="inlineStr">
        <is>
          <t>5·7</t>
        </is>
      </c>
      <c r="E451" s="49" t="inlineStr"/>
      <c r="F451" s="49" t="inlineStr"/>
    </row>
    <row r="452" ht="13" customHeight="1">
      <c r="A452" s="45" t="inlineStr">
        <is>
          <t>3187</t>
        </is>
      </c>
      <c r="B452" s="45" t="inlineStr">
        <is>
          <t>25362</t>
        </is>
      </c>
      <c r="C452" s="45" t="inlineStr">
        <is>
          <t>2×3×3×1409</t>
        </is>
      </c>
      <c r="D452" s="45" t="inlineStr">
        <is>
          <t>2·3</t>
        </is>
      </c>
      <c r="E452" s="45" t="inlineStr"/>
      <c r="F452" s="45" t="inlineStr"/>
    </row>
    <row r="453" ht="13" customHeight="1">
      <c r="A453" s="49" t="inlineStr">
        <is>
          <t>3191</t>
        </is>
      </c>
      <c r="B453" s="49" t="inlineStr">
        <is>
          <t>38154</t>
        </is>
      </c>
      <c r="C453" s="49" t="inlineStr">
        <is>
          <t>2×3×6359</t>
        </is>
      </c>
      <c r="D453" s="49" t="inlineStr">
        <is>
          <t>2·3</t>
        </is>
      </c>
      <c r="E453" s="49" t="inlineStr"/>
      <c r="F453" s="49" t="inlineStr"/>
    </row>
    <row r="454" ht="13" customHeight="1">
      <c r="A454" s="45" t="inlineStr">
        <is>
          <t>3203</t>
        </is>
      </c>
      <c r="B454" s="45" t="inlineStr">
        <is>
          <t>30331</t>
        </is>
      </c>
      <c r="C454" s="45" t="inlineStr">
        <is>
          <t>7×7×619</t>
        </is>
      </c>
      <c r="D454" s="45" t="inlineStr">
        <is>
          <t>7</t>
        </is>
      </c>
      <c r="E454" s="45" t="inlineStr"/>
      <c r="F454" s="45" t="inlineStr"/>
    </row>
    <row r="455" ht="13" customHeight="1">
      <c r="A455" s="49" t="inlineStr">
        <is>
          <t>3209</t>
        </is>
      </c>
      <c r="B455" s="49" t="inlineStr">
        <is>
          <t>27052</t>
        </is>
      </c>
      <c r="C455" s="49" t="inlineStr">
        <is>
          <t>2×2×6763</t>
        </is>
      </c>
      <c r="D455" s="49" t="inlineStr">
        <is>
          <t>2</t>
        </is>
      </c>
      <c r="E455" s="49" t="inlineStr"/>
      <c r="F455" s="49" t="inlineStr"/>
    </row>
    <row r="456" ht="13" customHeight="1">
      <c r="A456" s="45" t="inlineStr">
        <is>
          <t>3217</t>
        </is>
      </c>
      <c r="B456" s="45" t="inlineStr">
        <is>
          <t>37120</t>
        </is>
      </c>
      <c r="C456" s="45" t="inlineStr">
        <is>
          <t>2×2×2×2×2×2×2×2×5×29</t>
        </is>
      </c>
      <c r="D456" s="45" t="inlineStr">
        <is>
          <t>2·5</t>
        </is>
      </c>
      <c r="E456" s="45" t="inlineStr"/>
      <c r="F456" s="45" t="inlineStr"/>
    </row>
    <row r="457" ht="13" customHeight="1">
      <c r="A457" s="43" t="inlineStr">
        <is>
          <t>3221</t>
        </is>
      </c>
      <c r="B457" s="43" t="inlineStr">
        <is>
          <t>10604</t>
        </is>
      </c>
      <c r="C457" s="43" t="inlineStr">
        <is>
          <t>2×2×11×241</t>
        </is>
      </c>
      <c r="D457" s="43" t="inlineStr">
        <is>
          <t>2·11</t>
        </is>
      </c>
      <c r="E457" s="43" t="inlineStr"/>
      <c r="F457" s="43" t="inlineStr"/>
    </row>
    <row r="458" ht="13" customHeight="1">
      <c r="A458" s="45" t="inlineStr">
        <is>
          <t>3229</t>
        </is>
      </c>
      <c r="B458" s="45" t="inlineStr">
        <is>
          <t>21741</t>
        </is>
      </c>
      <c r="C458" s="45" t="inlineStr">
        <is>
          <t>3×7247</t>
        </is>
      </c>
      <c r="D458" s="45" t="inlineStr">
        <is>
          <t>3</t>
        </is>
      </c>
      <c r="E458" s="45" t="inlineStr"/>
      <c r="F458" s="45" t="inlineStr"/>
    </row>
    <row r="459" ht="13" customHeight="1">
      <c r="A459" s="49" t="inlineStr">
        <is>
          <t>3251</t>
        </is>
      </c>
      <c r="B459" s="49" t="inlineStr">
        <is>
          <t>4710</t>
        </is>
      </c>
      <c r="C459" s="49" t="inlineStr">
        <is>
          <t>2×3×5×157</t>
        </is>
      </c>
      <c r="D459" s="49" t="inlineStr">
        <is>
          <t>2·3·5</t>
        </is>
      </c>
      <c r="E459" s="49" t="inlineStr"/>
      <c r="F459" s="49" t="inlineStr"/>
    </row>
    <row r="460" ht="13" customHeight="1">
      <c r="A460" s="45" t="inlineStr">
        <is>
          <t>3253</t>
        </is>
      </c>
      <c r="B460" s="45" t="inlineStr">
        <is>
          <t>30009</t>
        </is>
      </c>
      <c r="C460" s="45" t="inlineStr">
        <is>
          <t>3×7×1429</t>
        </is>
      </c>
      <c r="D460" s="45" t="inlineStr">
        <is>
          <t>3·7</t>
        </is>
      </c>
      <c r="E460" s="45" t="inlineStr"/>
      <c r="F460" s="45" t="inlineStr"/>
    </row>
    <row r="461" ht="13" customHeight="1">
      <c r="A461" s="41" t="inlineStr">
        <is>
          <t>3257</t>
        </is>
      </c>
      <c r="B461" s="41" t="inlineStr">
        <is>
          <t>42432</t>
        </is>
      </c>
      <c r="C461" s="41" t="inlineStr">
        <is>
          <t>2×2×2×2×2×2×3×13×17</t>
        </is>
      </c>
      <c r="D461" s="41" t="inlineStr">
        <is>
          <t>2·3·13·17</t>
        </is>
      </c>
      <c r="E461" s="41" t="inlineStr"/>
      <c r="F461" s="41" t="inlineStr"/>
    </row>
    <row r="462" ht="13" customHeight="1">
      <c r="A462" s="41" t="inlineStr">
        <is>
          <t>3259</t>
        </is>
      </c>
      <c r="B462" s="41" t="inlineStr">
        <is>
          <t>3655</t>
        </is>
      </c>
      <c r="C462" s="41" t="inlineStr">
        <is>
          <t>5×17×43</t>
        </is>
      </c>
      <c r="D462" s="41" t="inlineStr">
        <is>
          <t>5·17</t>
        </is>
      </c>
      <c r="E462" s="41" t="inlineStr"/>
      <c r="F462" s="41" t="inlineStr"/>
    </row>
    <row r="463" ht="13" customHeight="1">
      <c r="A463" s="50" t="inlineStr">
        <is>
          <t>3271</t>
        </is>
      </c>
      <c r="B463" s="50" t="inlineStr">
        <is>
          <t>1823</t>
        </is>
      </c>
      <c r="C463" s="50" t="inlineStr">
        <is>
          <t>1823</t>
        </is>
      </c>
      <c r="D463" s="50" t="inlineStr">
        <is>
          <t>—</t>
        </is>
      </c>
      <c r="E463" s="50" t="inlineStr"/>
      <c r="F463" s="50" t="inlineStr"/>
    </row>
    <row r="464" ht="13" customHeight="1">
      <c r="A464" s="45" t="inlineStr">
        <is>
          <t>3299</t>
        </is>
      </c>
      <c r="B464" s="45" t="inlineStr">
        <is>
          <t>29204</t>
        </is>
      </c>
      <c r="C464" s="45" t="inlineStr">
        <is>
          <t>2×2×7×7×149</t>
        </is>
      </c>
      <c r="D464" s="45" t="inlineStr">
        <is>
          <t>2·7</t>
        </is>
      </c>
      <c r="E464" s="45" t="inlineStr"/>
      <c r="F464" s="45" t="inlineStr"/>
    </row>
    <row r="465" ht="13" customHeight="1">
      <c r="A465" s="49" t="inlineStr">
        <is>
          <t>3301</t>
        </is>
      </c>
      <c r="B465" s="49" t="inlineStr">
        <is>
          <t>35307</t>
        </is>
      </c>
      <c r="C465" s="49" t="inlineStr">
        <is>
          <t>3×3×3923</t>
        </is>
      </c>
      <c r="D465" s="49" t="inlineStr">
        <is>
          <t>3</t>
        </is>
      </c>
      <c r="E465" s="49" t="inlineStr"/>
      <c r="F465" s="49" t="inlineStr"/>
    </row>
    <row r="466" ht="13" customHeight="1">
      <c r="A466" s="41" t="inlineStr">
        <is>
          <t>3307</t>
        </is>
      </c>
      <c r="B466" s="41" t="inlineStr">
        <is>
          <t>26435</t>
        </is>
      </c>
      <c r="C466" s="41" t="inlineStr">
        <is>
          <t>5×17×311</t>
        </is>
      </c>
      <c r="D466" s="41" t="inlineStr">
        <is>
          <t>5·17</t>
        </is>
      </c>
      <c r="E466" s="41" t="inlineStr"/>
      <c r="F466" s="41" t="inlineStr"/>
    </row>
    <row r="467" ht="13" customHeight="1">
      <c r="A467" s="49" t="inlineStr">
        <is>
          <t>3313</t>
        </is>
      </c>
      <c r="B467" s="49" t="inlineStr">
        <is>
          <t>38440</t>
        </is>
      </c>
      <c r="C467" s="49" t="inlineStr">
        <is>
          <t>2×2×2×5×31×31</t>
        </is>
      </c>
      <c r="D467" s="49" t="inlineStr">
        <is>
          <t>2·5</t>
        </is>
      </c>
      <c r="E467" s="49" t="inlineStr"/>
      <c r="F467" s="49" t="inlineStr"/>
    </row>
    <row r="468" ht="13" customHeight="1">
      <c r="A468" s="45" t="inlineStr">
        <is>
          <t>3319</t>
        </is>
      </c>
      <c r="B468" s="45" t="inlineStr">
        <is>
          <t>8197</t>
        </is>
      </c>
      <c r="C468" s="45" t="inlineStr">
        <is>
          <t>7×1171</t>
        </is>
      </c>
      <c r="D468" s="45" t="inlineStr">
        <is>
          <t>7</t>
        </is>
      </c>
      <c r="E468" s="45" t="inlineStr"/>
      <c r="F468" s="45" t="inlineStr"/>
    </row>
    <row r="469" ht="13" customHeight="1">
      <c r="A469" s="49" t="inlineStr">
        <is>
          <t>3323</t>
        </is>
      </c>
      <c r="B469" s="49" t="inlineStr">
        <is>
          <t>25965</t>
        </is>
      </c>
      <c r="C469" s="49" t="inlineStr">
        <is>
          <t>3×3×5×577</t>
        </is>
      </c>
      <c r="D469" s="49" t="inlineStr">
        <is>
          <t>3·5</t>
        </is>
      </c>
      <c r="E469" s="49" t="inlineStr"/>
      <c r="F469" s="49" t="inlineStr"/>
    </row>
    <row r="470" ht="13" customHeight="1">
      <c r="A470" s="41" t="inlineStr">
        <is>
          <t>3329</t>
        </is>
      </c>
      <c r="B470" s="41" t="inlineStr">
        <is>
          <t>2236</t>
        </is>
      </c>
      <c r="C470" s="41" t="inlineStr">
        <is>
          <t>2×2×13×43</t>
        </is>
      </c>
      <c r="D470" s="41" t="inlineStr">
        <is>
          <t>2·13</t>
        </is>
      </c>
      <c r="E470" s="41" t="inlineStr"/>
      <c r="F470" s="41" t="inlineStr"/>
    </row>
    <row r="471" ht="13" customHeight="1">
      <c r="A471" s="49" t="inlineStr">
        <is>
          <t>3331</t>
        </is>
      </c>
      <c r="B471" s="49" t="inlineStr">
        <is>
          <t>3130</t>
        </is>
      </c>
      <c r="C471" s="49" t="inlineStr">
        <is>
          <t>2×5×313</t>
        </is>
      </c>
      <c r="D471" s="49" t="inlineStr">
        <is>
          <t>2·5</t>
        </is>
      </c>
      <c r="E471" s="49" t="inlineStr"/>
      <c r="F471" s="49" t="inlineStr"/>
    </row>
    <row r="472" ht="13" customHeight="1">
      <c r="A472" s="45" t="inlineStr">
        <is>
          <t>3343</t>
        </is>
      </c>
      <c r="B472" s="45" t="inlineStr">
        <is>
          <t>36090</t>
        </is>
      </c>
      <c r="C472" s="45" t="inlineStr">
        <is>
          <t>2×3×3×5×401</t>
        </is>
      </c>
      <c r="D472" s="45" t="inlineStr">
        <is>
          <t>2·3·5</t>
        </is>
      </c>
      <c r="E472" s="45" t="inlineStr"/>
      <c r="F472" s="45" t="inlineStr"/>
    </row>
    <row r="473" ht="13" customHeight="1">
      <c r="A473" s="49" t="inlineStr">
        <is>
          <t>3347</t>
        </is>
      </c>
      <c r="B473" s="49" t="inlineStr">
        <is>
          <t>40884</t>
        </is>
      </c>
      <c r="C473" s="49" t="inlineStr">
        <is>
          <t>2×2×3×3407</t>
        </is>
      </c>
      <c r="D473" s="49" t="inlineStr">
        <is>
          <t>2·3</t>
        </is>
      </c>
      <c r="E473" s="49" t="inlineStr"/>
      <c r="F473" s="49" t="inlineStr"/>
    </row>
    <row r="474" ht="13" customHeight="1">
      <c r="A474" s="45" t="inlineStr">
        <is>
          <t>3359</t>
        </is>
      </c>
      <c r="B474" s="45" t="inlineStr">
        <is>
          <t>16743</t>
        </is>
      </c>
      <c r="C474" s="45" t="inlineStr">
        <is>
          <t>3×5581</t>
        </is>
      </c>
      <c r="D474" s="45" t="inlineStr">
        <is>
          <t>3</t>
        </is>
      </c>
      <c r="E474" s="45" t="inlineStr"/>
      <c r="F474" s="45" t="inlineStr"/>
    </row>
    <row r="475" ht="13" customHeight="1">
      <c r="A475" s="49" t="inlineStr">
        <is>
          <t>3361</t>
        </is>
      </c>
      <c r="B475" s="49" t="inlineStr">
        <is>
          <t>2935</t>
        </is>
      </c>
      <c r="C475" s="49" t="inlineStr">
        <is>
          <t>5×587</t>
        </is>
      </c>
      <c r="D475" s="49" t="inlineStr">
        <is>
          <t>5</t>
        </is>
      </c>
      <c r="E475" s="49" t="inlineStr"/>
      <c r="F475" s="49" t="inlineStr"/>
    </row>
    <row r="476" ht="13" customHeight="1">
      <c r="A476" s="45" t="inlineStr">
        <is>
          <t>3371</t>
        </is>
      </c>
      <c r="B476" s="45" t="inlineStr">
        <is>
          <t>206</t>
        </is>
      </c>
      <c r="C476" s="45" t="inlineStr">
        <is>
          <t>2×103</t>
        </is>
      </c>
      <c r="D476" s="45" t="inlineStr">
        <is>
          <t>2</t>
        </is>
      </c>
      <c r="E476" s="45" t="inlineStr"/>
      <c r="F476" s="45" t="inlineStr"/>
    </row>
    <row r="477" ht="13" customHeight="1">
      <c r="A477" s="41" t="inlineStr">
        <is>
          <t>3373</t>
        </is>
      </c>
      <c r="B477" s="41" t="inlineStr">
        <is>
          <t>22474</t>
        </is>
      </c>
      <c r="C477" s="41" t="inlineStr">
        <is>
          <t>2×17×661</t>
        </is>
      </c>
      <c r="D477" s="41" t="inlineStr">
        <is>
          <t>2·17</t>
        </is>
      </c>
      <c r="E477" s="41" t="inlineStr"/>
      <c r="F477" s="41" t="inlineStr"/>
    </row>
    <row r="478" ht="13" customHeight="1">
      <c r="A478" s="45" t="inlineStr">
        <is>
          <t>3389</t>
        </is>
      </c>
      <c r="B478" s="45" t="inlineStr">
        <is>
          <t>39641</t>
        </is>
      </c>
      <c r="C478" s="45" t="inlineStr">
        <is>
          <t>7×7×809</t>
        </is>
      </c>
      <c r="D478" s="45" t="inlineStr">
        <is>
          <t>7</t>
        </is>
      </c>
      <c r="E478" s="45" t="inlineStr"/>
      <c r="F478" s="45" t="inlineStr"/>
    </row>
    <row r="479" ht="13" customHeight="1">
      <c r="A479" s="50" t="inlineStr">
        <is>
          <t>3391</t>
        </is>
      </c>
      <c r="B479" s="50" t="inlineStr">
        <is>
          <t>33223</t>
        </is>
      </c>
      <c r="C479" s="50" t="inlineStr">
        <is>
          <t>33223</t>
        </is>
      </c>
      <c r="D479" s="50" t="inlineStr">
        <is>
          <t>—</t>
        </is>
      </c>
      <c r="E479" s="50" t="inlineStr"/>
      <c r="F479" s="50" t="inlineStr"/>
    </row>
    <row r="480" ht="13" customHeight="1">
      <c r="A480" s="45" t="inlineStr">
        <is>
          <t>3407</t>
        </is>
      </c>
      <c r="B480" s="45" t="inlineStr">
        <is>
          <t>23568</t>
        </is>
      </c>
      <c r="C480" s="45" t="inlineStr">
        <is>
          <t>2×2×2×2×3×491</t>
        </is>
      </c>
      <c r="D480" s="45" t="inlineStr">
        <is>
          <t>2·3</t>
        </is>
      </c>
      <c r="E480" s="45" t="inlineStr"/>
      <c r="F480" s="45" t="inlineStr"/>
    </row>
    <row r="481" ht="13" customHeight="1">
      <c r="A481" s="41" t="inlineStr">
        <is>
          <t>3413</t>
        </is>
      </c>
      <c r="B481" s="41" t="inlineStr">
        <is>
          <t>29601</t>
        </is>
      </c>
      <c r="C481" s="41" t="inlineStr">
        <is>
          <t>3×3×11×13×23</t>
        </is>
      </c>
      <c r="D481" s="41" t="inlineStr">
        <is>
          <t>3·11·13</t>
        </is>
      </c>
      <c r="E481" s="41" t="inlineStr"/>
      <c r="F481" s="41" t="inlineStr"/>
    </row>
    <row r="482" ht="13" customHeight="1">
      <c r="A482" s="43" t="inlineStr">
        <is>
          <t>3433</t>
        </is>
      </c>
      <c r="B482" s="43" t="inlineStr">
        <is>
          <t>33055</t>
        </is>
      </c>
      <c r="C482" s="43" t="inlineStr">
        <is>
          <t>5×11×601</t>
        </is>
      </c>
      <c r="D482" s="43" t="inlineStr">
        <is>
          <t>5·11</t>
        </is>
      </c>
      <c r="E482" s="43" t="inlineStr"/>
      <c r="F482" s="43" t="inlineStr"/>
    </row>
    <row r="483" ht="13" customHeight="1">
      <c r="A483" s="49" t="inlineStr">
        <is>
          <t>3449</t>
        </is>
      </c>
      <c r="B483" s="49" t="inlineStr">
        <is>
          <t>21479</t>
        </is>
      </c>
      <c r="C483" s="49" t="inlineStr">
        <is>
          <t>47×457</t>
        </is>
      </c>
      <c r="D483" s="49" t="inlineStr">
        <is>
          <t>—</t>
        </is>
      </c>
      <c r="E483" s="49" t="inlineStr"/>
      <c r="F483" s="49" t="inlineStr"/>
    </row>
    <row r="484" ht="13" customHeight="1">
      <c r="A484" s="43" t="inlineStr">
        <is>
          <t>3457</t>
        </is>
      </c>
      <c r="B484" s="43" t="inlineStr">
        <is>
          <t>9955</t>
        </is>
      </c>
      <c r="C484" s="43" t="inlineStr">
        <is>
          <t>5×11×181</t>
        </is>
      </c>
      <c r="D484" s="43" t="inlineStr">
        <is>
          <t>5·11</t>
        </is>
      </c>
      <c r="E484" s="43" t="inlineStr"/>
      <c r="F484" s="43" t="inlineStr"/>
    </row>
    <row r="485" ht="13" customHeight="1">
      <c r="A485" s="49" t="inlineStr">
        <is>
          <t>3461</t>
        </is>
      </c>
      <c r="B485" s="49" t="inlineStr">
        <is>
          <t>23493</t>
        </is>
      </c>
      <c r="C485" s="49" t="inlineStr">
        <is>
          <t>3×41×191</t>
        </is>
      </c>
      <c r="D485" s="49" t="inlineStr">
        <is>
          <t>3</t>
        </is>
      </c>
      <c r="E485" s="49" t="inlineStr"/>
      <c r="F485" s="49" t="inlineStr"/>
    </row>
    <row r="486" ht="13" customHeight="1">
      <c r="A486" s="45" t="inlineStr">
        <is>
          <t>3463</t>
        </is>
      </c>
      <c r="B486" s="45" t="inlineStr">
        <is>
          <t>30768</t>
        </is>
      </c>
      <c r="C486" s="45" t="inlineStr">
        <is>
          <t>2×2×2×2×3×641</t>
        </is>
      </c>
      <c r="D486" s="45" t="inlineStr">
        <is>
          <t>2·3</t>
        </is>
      </c>
      <c r="E486" s="45" t="inlineStr"/>
      <c r="F486" s="45" t="inlineStr"/>
    </row>
    <row r="487" ht="13" customHeight="1">
      <c r="A487" s="49" t="inlineStr">
        <is>
          <t>3467</t>
        </is>
      </c>
      <c r="B487" s="49" t="inlineStr">
        <is>
          <t>38108</t>
        </is>
      </c>
      <c r="C487" s="49" t="inlineStr">
        <is>
          <t>2×2×7×1361</t>
        </is>
      </c>
      <c r="D487" s="49" t="inlineStr">
        <is>
          <t>2·7</t>
        </is>
      </c>
      <c r="E487" s="49" t="inlineStr"/>
      <c r="F487" s="49" t="inlineStr"/>
    </row>
    <row r="488" ht="13" customHeight="1">
      <c r="A488" s="41" t="inlineStr">
        <is>
          <t>3469</t>
        </is>
      </c>
      <c r="B488" s="41" t="inlineStr">
        <is>
          <t>29380</t>
        </is>
      </c>
      <c r="C488" s="41" t="inlineStr">
        <is>
          <t>2×2×5×13×113</t>
        </is>
      </c>
      <c r="D488" s="41" t="inlineStr">
        <is>
          <t>2·5·13</t>
        </is>
      </c>
      <c r="E488" s="41" t="inlineStr"/>
      <c r="F488" s="41" t="inlineStr"/>
    </row>
    <row r="489" ht="13" customHeight="1">
      <c r="A489" s="41" t="inlineStr">
        <is>
          <t>3491</t>
        </is>
      </c>
      <c r="B489" s="41" t="inlineStr">
        <is>
          <t>16666</t>
        </is>
      </c>
      <c r="C489" s="41" t="inlineStr">
        <is>
          <t>2×13×641</t>
        </is>
      </c>
      <c r="D489" s="41" t="inlineStr">
        <is>
          <t>2·13</t>
        </is>
      </c>
      <c r="E489" s="41" t="inlineStr"/>
      <c r="F489" s="41" t="inlineStr"/>
    </row>
    <row r="490" ht="13" customHeight="1">
      <c r="A490" s="45" t="inlineStr">
        <is>
          <t>3499</t>
        </is>
      </c>
      <c r="B490" s="45" t="inlineStr">
        <is>
          <t>29233</t>
        </is>
      </c>
      <c r="C490" s="45" t="inlineStr">
        <is>
          <t>23×31×41</t>
        </is>
      </c>
      <c r="D490" s="45" t="inlineStr">
        <is>
          <t>—</t>
        </is>
      </c>
      <c r="E490" s="45" t="inlineStr"/>
      <c r="F490" s="45" t="inlineStr"/>
    </row>
    <row r="491" ht="13" customHeight="1">
      <c r="A491" s="49" t="inlineStr">
        <is>
          <t>3511</t>
        </is>
      </c>
      <c r="B491" s="49" t="inlineStr">
        <is>
          <t>5580</t>
        </is>
      </c>
      <c r="C491" s="49" t="inlineStr">
        <is>
          <t>2×2×3×3×5×31</t>
        </is>
      </c>
      <c r="D491" s="49" t="inlineStr">
        <is>
          <t>2·3·5</t>
        </is>
      </c>
      <c r="E491" s="49" t="inlineStr"/>
      <c r="F491" s="49" t="inlineStr"/>
    </row>
    <row r="492" ht="13" customHeight="1">
      <c r="A492" s="50" t="inlineStr">
        <is>
          <t>3517</t>
        </is>
      </c>
      <c r="B492" s="50" t="inlineStr">
        <is>
          <t>32003</t>
        </is>
      </c>
      <c r="C492" s="50" t="inlineStr">
        <is>
          <t>32003</t>
        </is>
      </c>
      <c r="D492" s="50" t="inlineStr">
        <is>
          <t>—</t>
        </is>
      </c>
      <c r="E492" s="50" t="inlineStr"/>
      <c r="F492" s="50" t="inlineStr"/>
    </row>
    <row r="493" ht="13" customHeight="1">
      <c r="A493" s="49" t="inlineStr">
        <is>
          <t>3527</t>
        </is>
      </c>
      <c r="B493" s="49" t="inlineStr">
        <is>
          <t>39327</t>
        </is>
      </c>
      <c r="C493" s="49" t="inlineStr">
        <is>
          <t>3×13109</t>
        </is>
      </c>
      <c r="D493" s="49" t="inlineStr">
        <is>
          <t>3</t>
        </is>
      </c>
      <c r="E493" s="49" t="inlineStr"/>
      <c r="F493" s="49" t="inlineStr"/>
    </row>
    <row r="494" ht="13" customHeight="1">
      <c r="A494" s="43" t="inlineStr">
        <is>
          <t>3529</t>
        </is>
      </c>
      <c r="B494" s="43" t="inlineStr">
        <is>
          <t>9790</t>
        </is>
      </c>
      <c r="C494" s="43" t="inlineStr">
        <is>
          <t>2×5×11×89</t>
        </is>
      </c>
      <c r="D494" s="43" t="inlineStr">
        <is>
          <t>2·5·11</t>
        </is>
      </c>
      <c r="E494" s="43" t="inlineStr"/>
      <c r="F494" s="43" t="inlineStr"/>
    </row>
    <row r="495" ht="13" customHeight="1">
      <c r="A495" s="49" t="inlineStr">
        <is>
          <t>3533</t>
        </is>
      </c>
      <c r="B495" s="49" t="inlineStr">
        <is>
          <t>34588</t>
        </is>
      </c>
      <c r="C495" s="49" t="inlineStr">
        <is>
          <t>2×2×8647</t>
        </is>
      </c>
      <c r="D495" s="49" t="inlineStr">
        <is>
          <t>2</t>
        </is>
      </c>
      <c r="E495" s="49" t="inlineStr"/>
      <c r="F495" s="49" t="inlineStr"/>
    </row>
    <row r="496" ht="13" customHeight="1">
      <c r="A496" s="45" t="inlineStr">
        <is>
          <t>3539</t>
        </is>
      </c>
      <c r="B496" s="45" t="inlineStr">
        <is>
          <t>1048</t>
        </is>
      </c>
      <c r="C496" s="45" t="inlineStr">
        <is>
          <t>2×2×2×131</t>
        </is>
      </c>
      <c r="D496" s="45" t="inlineStr">
        <is>
          <t>2</t>
        </is>
      </c>
      <c r="E496" s="45" t="inlineStr"/>
      <c r="F496" s="45" t="inlineStr"/>
    </row>
    <row r="497" ht="13" customHeight="1">
      <c r="A497" s="49" t="inlineStr">
        <is>
          <t>3541</t>
        </is>
      </c>
      <c r="B497" s="49" t="inlineStr">
        <is>
          <t>27619</t>
        </is>
      </c>
      <c r="C497" s="49" t="inlineStr">
        <is>
          <t>71×389</t>
        </is>
      </c>
      <c r="D497" s="49" t="inlineStr">
        <is>
          <t>—</t>
        </is>
      </c>
      <c r="E497" s="49" t="inlineStr"/>
      <c r="F497" s="49" t="inlineStr"/>
    </row>
    <row r="498" ht="13" customHeight="1">
      <c r="A498" s="45" t="inlineStr">
        <is>
          <t>3547</t>
        </is>
      </c>
      <c r="B498" s="45" t="inlineStr">
        <is>
          <t>35903</t>
        </is>
      </c>
      <c r="C498" s="45" t="inlineStr">
        <is>
          <t>7×23×223</t>
        </is>
      </c>
      <c r="D498" s="45" t="inlineStr">
        <is>
          <t>7</t>
        </is>
      </c>
      <c r="E498" s="45" t="inlineStr"/>
      <c r="F498" s="45" t="inlineStr"/>
    </row>
    <row r="499" ht="13" customHeight="1">
      <c r="A499" s="49" t="inlineStr">
        <is>
          <t>3557</t>
        </is>
      </c>
      <c r="B499" s="49" t="inlineStr">
        <is>
          <t>21113</t>
        </is>
      </c>
      <c r="C499" s="49" t="inlineStr">
        <is>
          <t>43×491</t>
        </is>
      </c>
      <c r="D499" s="49" t="inlineStr">
        <is>
          <t>—</t>
        </is>
      </c>
      <c r="E499" s="49" t="inlineStr"/>
      <c r="F499" s="49" t="inlineStr"/>
    </row>
    <row r="500" ht="13" customHeight="1">
      <c r="A500" s="50" t="inlineStr">
        <is>
          <t>3559</t>
        </is>
      </c>
      <c r="B500" s="50" t="inlineStr">
        <is>
          <t>71</t>
        </is>
      </c>
      <c r="C500" s="50" t="inlineStr">
        <is>
          <t>71</t>
        </is>
      </c>
      <c r="D500" s="50" t="inlineStr">
        <is>
          <t>—</t>
        </is>
      </c>
      <c r="E500" s="50" t="inlineStr"/>
      <c r="F500" s="50" t="inlineStr"/>
    </row>
    <row r="501" ht="13" customHeight="1">
      <c r="A501" s="50" t="inlineStr">
        <is>
          <t>3571</t>
        </is>
      </c>
      <c r="B501" s="50" t="inlineStr">
        <is>
          <t>42611</t>
        </is>
      </c>
      <c r="C501" s="50" t="inlineStr">
        <is>
          <t>42611</t>
        </is>
      </c>
      <c r="D501" s="50" t="inlineStr">
        <is>
          <t>—</t>
        </is>
      </c>
      <c r="E501" s="50" t="inlineStr"/>
      <c r="F501" s="50" t="inlineStr"/>
    </row>
    <row r="502" ht="13" customHeight="1">
      <c r="A502" s="41" t="inlineStr">
        <is>
          <t>3581</t>
        </is>
      </c>
      <c r="B502" s="41" t="inlineStr">
        <is>
          <t>15810</t>
        </is>
      </c>
      <c r="C502" s="41" t="inlineStr">
        <is>
          <t>2×3×5×17×31</t>
        </is>
      </c>
      <c r="D502" s="41" t="inlineStr">
        <is>
          <t>2·3·5·17</t>
        </is>
      </c>
      <c r="E502" s="41" t="inlineStr"/>
      <c r="F502" s="41" t="inlineStr"/>
    </row>
    <row r="503" ht="13" customHeight="1">
      <c r="A503" s="50" t="inlineStr">
        <is>
          <t>3583</t>
        </is>
      </c>
      <c r="B503" s="50" t="inlineStr">
        <is>
          <t>13879</t>
        </is>
      </c>
      <c r="C503" s="50" t="inlineStr">
        <is>
          <t>13879</t>
        </is>
      </c>
      <c r="D503" s="50" t="inlineStr">
        <is>
          <t>—</t>
        </is>
      </c>
      <c r="E503" s="50" t="inlineStr"/>
      <c r="F503" s="50" t="inlineStr"/>
    </row>
    <row r="504" ht="13" customHeight="1">
      <c r="A504" s="43" t="inlineStr">
        <is>
          <t>3593</t>
        </is>
      </c>
      <c r="B504" s="43" t="inlineStr">
        <is>
          <t>15884</t>
        </is>
      </c>
      <c r="C504" s="43" t="inlineStr">
        <is>
          <t>2×2×11×19×19</t>
        </is>
      </c>
      <c r="D504" s="43" t="inlineStr">
        <is>
          <t>2·11·19</t>
        </is>
      </c>
      <c r="E504" s="43" t="inlineStr"/>
      <c r="F504" s="43" t="inlineStr"/>
    </row>
    <row r="505" ht="13" customHeight="1">
      <c r="A505" s="49" t="inlineStr">
        <is>
          <t>3607</t>
        </is>
      </c>
      <c r="B505" s="49" t="inlineStr">
        <is>
          <t>18742</t>
        </is>
      </c>
      <c r="C505" s="49" t="inlineStr">
        <is>
          <t>2×9371</t>
        </is>
      </c>
      <c r="D505" s="49" t="inlineStr">
        <is>
          <t>2</t>
        </is>
      </c>
      <c r="E505" s="49" t="inlineStr"/>
      <c r="F505" s="49" t="inlineStr"/>
    </row>
    <row r="506" ht="13" customHeight="1">
      <c r="A506" s="45" t="inlineStr">
        <is>
          <t>3613</t>
        </is>
      </c>
      <c r="B506" s="45" t="inlineStr">
        <is>
          <t>4690</t>
        </is>
      </c>
      <c r="C506" s="45" t="inlineStr">
        <is>
          <t>2×5×7×67</t>
        </is>
      </c>
      <c r="D506" s="45" t="inlineStr">
        <is>
          <t>2·5·7</t>
        </is>
      </c>
      <c r="E506" s="45" t="inlineStr"/>
      <c r="F506" s="45" t="inlineStr"/>
    </row>
    <row r="507" ht="13" customHeight="1">
      <c r="A507" s="50" t="inlineStr">
        <is>
          <t>3617</t>
        </is>
      </c>
      <c r="B507" s="50" t="inlineStr">
        <is>
          <t>8431</t>
        </is>
      </c>
      <c r="C507" s="50" t="inlineStr">
        <is>
          <t>8431</t>
        </is>
      </c>
      <c r="D507" s="50" t="inlineStr">
        <is>
          <t>—</t>
        </is>
      </c>
      <c r="E507" s="50" t="inlineStr"/>
      <c r="F507" s="50" t="inlineStr"/>
    </row>
    <row r="508" ht="13" customHeight="1">
      <c r="A508" s="45" t="inlineStr">
        <is>
          <t>3623</t>
        </is>
      </c>
      <c r="B508" s="45" t="inlineStr">
        <is>
          <t>17806</t>
        </is>
      </c>
      <c r="C508" s="45" t="inlineStr">
        <is>
          <t>2×29×307</t>
        </is>
      </c>
      <c r="D508" s="45" t="inlineStr">
        <is>
          <t>2</t>
        </is>
      </c>
      <c r="E508" s="45" t="inlineStr"/>
      <c r="F508" s="45" t="inlineStr"/>
    </row>
    <row r="509" ht="13" customHeight="1">
      <c r="A509" s="49" t="inlineStr">
        <is>
          <t>3631</t>
        </is>
      </c>
      <c r="B509" s="49" t="inlineStr">
        <is>
          <t>39082</t>
        </is>
      </c>
      <c r="C509" s="49" t="inlineStr">
        <is>
          <t>2×19541</t>
        </is>
      </c>
      <c r="D509" s="49" t="inlineStr">
        <is>
          <t>2</t>
        </is>
      </c>
      <c r="E509" s="49" t="inlineStr"/>
      <c r="F509" s="49" t="inlineStr"/>
    </row>
    <row r="510" ht="13" customHeight="1">
      <c r="A510" s="43" t="inlineStr">
        <is>
          <t>3637</t>
        </is>
      </c>
      <c r="B510" s="43" t="inlineStr">
        <is>
          <t>24101</t>
        </is>
      </c>
      <c r="C510" s="43" t="inlineStr">
        <is>
          <t>7×11×313</t>
        </is>
      </c>
      <c r="D510" s="43" t="inlineStr">
        <is>
          <t>7·11</t>
        </is>
      </c>
      <c r="E510" s="43" t="inlineStr"/>
      <c r="F510" s="43" t="inlineStr"/>
    </row>
    <row r="511" ht="13" customHeight="1">
      <c r="A511" s="50" t="inlineStr">
        <is>
          <t>3643</t>
        </is>
      </c>
      <c r="B511" s="50" t="inlineStr">
        <is>
          <t>5351</t>
        </is>
      </c>
      <c r="C511" s="50" t="inlineStr">
        <is>
          <t>5351</t>
        </is>
      </c>
      <c r="D511" s="50" t="inlineStr">
        <is>
          <t>—</t>
        </is>
      </c>
      <c r="E511" s="50" t="inlineStr"/>
      <c r="F511" s="50" t="inlineStr"/>
    </row>
    <row r="512" ht="13" customHeight="1">
      <c r="A512" s="41" t="inlineStr">
        <is>
          <t>3659</t>
        </is>
      </c>
      <c r="B512" s="41" t="inlineStr">
        <is>
          <t>8008</t>
        </is>
      </c>
      <c r="C512" s="41" t="inlineStr">
        <is>
          <t>2×2×2×7×11×13</t>
        </is>
      </c>
      <c r="D512" s="41" t="inlineStr">
        <is>
          <t>2·7·11·13</t>
        </is>
      </c>
      <c r="E512" s="41" t="inlineStr"/>
      <c r="F512" s="41" t="inlineStr"/>
    </row>
    <row r="513" ht="13" customHeight="1">
      <c r="A513" s="49" t="inlineStr">
        <is>
          <t>3671</t>
        </is>
      </c>
      <c r="B513" s="49" t="inlineStr">
        <is>
          <t>42808</t>
        </is>
      </c>
      <c r="C513" s="49" t="inlineStr">
        <is>
          <t>2×2×2×5351</t>
        </is>
      </c>
      <c r="D513" s="49" t="inlineStr">
        <is>
          <t>2</t>
        </is>
      </c>
      <c r="E513" s="49" t="inlineStr"/>
      <c r="F513" s="49" t="inlineStr"/>
    </row>
    <row r="514" ht="13" customHeight="1">
      <c r="A514" s="45" t="inlineStr">
        <is>
          <t>3673</t>
        </is>
      </c>
      <c r="B514" s="45" t="inlineStr">
        <is>
          <t>21759</t>
        </is>
      </c>
      <c r="C514" s="45" t="inlineStr">
        <is>
          <t>3×7253</t>
        </is>
      </c>
      <c r="D514" s="45" t="inlineStr">
        <is>
          <t>3</t>
        </is>
      </c>
      <c r="E514" s="45" t="inlineStr"/>
      <c r="F514" s="45" t="inlineStr"/>
    </row>
    <row r="515" ht="13" customHeight="1">
      <c r="A515" s="41" t="inlineStr">
        <is>
          <t>3677</t>
        </is>
      </c>
      <c r="B515" s="41" t="inlineStr">
        <is>
          <t>42262</t>
        </is>
      </c>
      <c r="C515" s="41" t="inlineStr">
        <is>
          <t>2×11×17×113</t>
        </is>
      </c>
      <c r="D515" s="41" t="inlineStr">
        <is>
          <t>2·11·17</t>
        </is>
      </c>
      <c r="E515" s="41" t="inlineStr"/>
      <c r="F515" s="41" t="inlineStr"/>
    </row>
    <row r="516" ht="13" customHeight="1">
      <c r="A516" s="41" t="inlineStr">
        <is>
          <t>3691</t>
        </is>
      </c>
      <c r="B516" s="41" t="inlineStr">
        <is>
          <t>16068</t>
        </is>
      </c>
      <c r="C516" s="41" t="inlineStr">
        <is>
          <t>2×2×3×13×103</t>
        </is>
      </c>
      <c r="D516" s="41" t="inlineStr">
        <is>
          <t>2·3·13</t>
        </is>
      </c>
      <c r="E516" s="41" t="inlineStr"/>
      <c r="F516" s="41" t="inlineStr"/>
    </row>
    <row r="517" ht="13" customHeight="1">
      <c r="A517" s="50" t="inlineStr">
        <is>
          <t>3697</t>
        </is>
      </c>
      <c r="B517" s="50" t="inlineStr">
        <is>
          <t>38821</t>
        </is>
      </c>
      <c r="C517" s="50" t="inlineStr">
        <is>
          <t>38821</t>
        </is>
      </c>
      <c r="D517" s="50" t="inlineStr">
        <is>
          <t>—</t>
        </is>
      </c>
      <c r="E517" s="50" t="inlineStr"/>
      <c r="F517" s="50" t="inlineStr"/>
    </row>
    <row r="518" ht="13" customHeight="1">
      <c r="A518" s="45" t="inlineStr">
        <is>
          <t>3701</t>
        </is>
      </c>
      <c r="B518" s="45" t="inlineStr">
        <is>
          <t>21259</t>
        </is>
      </c>
      <c r="C518" s="45" t="inlineStr">
        <is>
          <t>7×3037</t>
        </is>
      </c>
      <c r="D518" s="45" t="inlineStr">
        <is>
          <t>7</t>
        </is>
      </c>
      <c r="E518" s="45" t="inlineStr"/>
      <c r="F518" s="45" t="inlineStr"/>
    </row>
    <row r="519" ht="13" customHeight="1">
      <c r="A519" s="49" t="inlineStr">
        <is>
          <t>3709</t>
        </is>
      </c>
      <c r="B519" s="49" t="inlineStr">
        <is>
          <t>23846</t>
        </is>
      </c>
      <c r="C519" s="49" t="inlineStr">
        <is>
          <t>2×11923</t>
        </is>
      </c>
      <c r="D519" s="49" t="inlineStr">
        <is>
          <t>2</t>
        </is>
      </c>
      <c r="E519" s="49" t="inlineStr"/>
      <c r="F519" s="49" t="inlineStr"/>
    </row>
    <row r="520" ht="13" customHeight="1">
      <c r="A520" s="41" t="inlineStr">
        <is>
          <t>3719</t>
        </is>
      </c>
      <c r="B520" s="41" t="inlineStr">
        <is>
          <t>20241</t>
        </is>
      </c>
      <c r="C520" s="41" t="inlineStr">
        <is>
          <t>3×3×13×173</t>
        </is>
      </c>
      <c r="D520" s="41" t="inlineStr">
        <is>
          <t>3·13</t>
        </is>
      </c>
      <c r="E520" s="41" t="inlineStr"/>
      <c r="F520" s="41" t="inlineStr"/>
    </row>
    <row r="521" ht="13" customHeight="1">
      <c r="A521" s="49" t="inlineStr">
        <is>
          <t>3727</t>
        </is>
      </c>
      <c r="B521" s="49" t="inlineStr">
        <is>
          <t>38020</t>
        </is>
      </c>
      <c r="C521" s="49" t="inlineStr">
        <is>
          <t>2×2×5×1901</t>
        </is>
      </c>
      <c r="D521" s="49" t="inlineStr">
        <is>
          <t>2·5</t>
        </is>
      </c>
      <c r="E521" s="49" t="inlineStr"/>
      <c r="F521" s="49" t="inlineStr"/>
    </row>
    <row r="522" ht="13" customHeight="1">
      <c r="A522" s="43" t="inlineStr">
        <is>
          <t>3733</t>
        </is>
      </c>
      <c r="B522" s="43" t="inlineStr">
        <is>
          <t>7700</t>
        </is>
      </c>
      <c r="C522" s="43" t="inlineStr">
        <is>
          <t>2×2×5×5×7×11</t>
        </is>
      </c>
      <c r="D522" s="43" t="inlineStr">
        <is>
          <t>2·5·7·11</t>
        </is>
      </c>
      <c r="E522" s="43" t="inlineStr"/>
      <c r="F522" s="43" t="inlineStr"/>
    </row>
    <row r="523" ht="13" customHeight="1">
      <c r="A523" s="49" t="inlineStr">
        <is>
          <t>3739</t>
        </is>
      </c>
      <c r="B523" s="49" t="inlineStr">
        <is>
          <t>43816</t>
        </is>
      </c>
      <c r="C523" s="49" t="inlineStr">
        <is>
          <t>2×2×2×5477</t>
        </is>
      </c>
      <c r="D523" s="49" t="inlineStr">
        <is>
          <t>2</t>
        </is>
      </c>
      <c r="E523" s="49" t="inlineStr"/>
      <c r="F523" s="49" t="inlineStr"/>
    </row>
    <row r="524" ht="13" customHeight="1">
      <c r="A524" s="45" t="inlineStr">
        <is>
          <t>3761</t>
        </is>
      </c>
      <c r="B524" s="45" t="inlineStr">
        <is>
          <t>30930</t>
        </is>
      </c>
      <c r="C524" s="45" t="inlineStr">
        <is>
          <t>2×3×5×1031</t>
        </is>
      </c>
      <c r="D524" s="45" t="inlineStr">
        <is>
          <t>2·3·5</t>
        </is>
      </c>
      <c r="E524" s="45" t="inlineStr"/>
      <c r="F524" s="45" t="inlineStr"/>
    </row>
    <row r="525" ht="13" customHeight="1">
      <c r="A525" s="49" t="inlineStr">
        <is>
          <t>3767</t>
        </is>
      </c>
      <c r="B525" s="49" t="inlineStr">
        <is>
          <t>39852</t>
        </is>
      </c>
      <c r="C525" s="49" t="inlineStr">
        <is>
          <t>2×2×3×3×3×3×3×41</t>
        </is>
      </c>
      <c r="D525" s="49" t="inlineStr">
        <is>
          <t>2·3</t>
        </is>
      </c>
      <c r="E525" s="49" t="inlineStr"/>
      <c r="F525" s="49" t="inlineStr"/>
    </row>
    <row r="526" ht="13" customHeight="1">
      <c r="A526" s="51" t="inlineStr">
        <is>
          <t>3769</t>
        </is>
      </c>
      <c r="B526" s="51" t="inlineStr">
        <is>
          <t>2698</t>
        </is>
      </c>
      <c r="C526" s="51" t="inlineStr">
        <is>
          <t>2×19×71</t>
        </is>
      </c>
      <c r="D526" s="51" t="inlineStr">
        <is>
          <t>2·19</t>
        </is>
      </c>
      <c r="E526" s="51" t="inlineStr"/>
      <c r="F526" s="51" t="inlineStr"/>
    </row>
    <row r="527" ht="13" customHeight="1">
      <c r="A527" s="41" t="inlineStr">
        <is>
          <t>3779</t>
        </is>
      </c>
      <c r="B527" s="41" t="inlineStr">
        <is>
          <t>32623</t>
        </is>
      </c>
      <c r="C527" s="41" t="inlineStr">
        <is>
          <t>17×19×101</t>
        </is>
      </c>
      <c r="D527" s="41" t="inlineStr">
        <is>
          <t>17·19</t>
        </is>
      </c>
      <c r="E527" s="41" t="inlineStr"/>
      <c r="F527" s="41" t="inlineStr"/>
    </row>
    <row r="528" ht="13" customHeight="1">
      <c r="A528" s="41" t="inlineStr">
        <is>
          <t>3793</t>
        </is>
      </c>
      <c r="B528" s="41" t="inlineStr">
        <is>
          <t>41021</t>
        </is>
      </c>
      <c r="C528" s="41" t="inlineStr">
        <is>
          <t>17×19×127</t>
        </is>
      </c>
      <c r="D528" s="41" t="inlineStr">
        <is>
          <t>17·19</t>
        </is>
      </c>
      <c r="E528" s="41" t="inlineStr"/>
      <c r="F528" s="41" t="inlineStr"/>
    </row>
    <row r="529" ht="13" customHeight="1">
      <c r="A529" s="49" t="inlineStr">
        <is>
          <t>3797</t>
        </is>
      </c>
      <c r="B529" s="49" t="inlineStr">
        <is>
          <t>40004</t>
        </is>
      </c>
      <c r="C529" s="49" t="inlineStr">
        <is>
          <t>2×2×73×137</t>
        </is>
      </c>
      <c r="D529" s="49" t="inlineStr">
        <is>
          <t>2</t>
        </is>
      </c>
      <c r="E529" s="49" t="inlineStr"/>
      <c r="F529" s="49" t="inlineStr"/>
    </row>
    <row r="530" ht="13" customHeight="1">
      <c r="A530" s="45" t="inlineStr">
        <is>
          <t>3803</t>
        </is>
      </c>
      <c r="B530" s="45" t="inlineStr">
        <is>
          <t>15203</t>
        </is>
      </c>
      <c r="C530" s="45" t="inlineStr">
        <is>
          <t>23×661</t>
        </is>
      </c>
      <c r="D530" s="45" t="inlineStr">
        <is>
          <t>—</t>
        </is>
      </c>
      <c r="E530" s="45" t="inlineStr"/>
      <c r="F530" s="45" t="inlineStr"/>
    </row>
    <row r="531" ht="13" customHeight="1">
      <c r="A531" s="43" t="inlineStr">
        <is>
          <t>3821</t>
        </is>
      </c>
      <c r="B531" s="43" t="inlineStr">
        <is>
          <t>9977</t>
        </is>
      </c>
      <c r="C531" s="43" t="inlineStr">
        <is>
          <t>11×907</t>
        </is>
      </c>
      <c r="D531" s="43" t="inlineStr">
        <is>
          <t>11</t>
        </is>
      </c>
      <c r="E531" s="43" t="inlineStr"/>
      <c r="F531" s="43" t="inlineStr"/>
    </row>
    <row r="532" ht="13" customHeight="1">
      <c r="A532" s="45" t="inlineStr">
        <is>
          <t>3823</t>
        </is>
      </c>
      <c r="B532" s="45" t="inlineStr">
        <is>
          <t>5075</t>
        </is>
      </c>
      <c r="C532" s="45" t="inlineStr">
        <is>
          <t>5×5×7×29</t>
        </is>
      </c>
      <c r="D532" s="45" t="inlineStr">
        <is>
          <t>5·7</t>
        </is>
      </c>
      <c r="E532" s="45" t="inlineStr"/>
      <c r="F532" s="45" t="inlineStr"/>
    </row>
    <row r="533" ht="13" customHeight="1">
      <c r="A533" s="49" t="inlineStr">
        <is>
          <t>3833</t>
        </is>
      </c>
      <c r="B533" s="49" t="inlineStr">
        <is>
          <t>17887</t>
        </is>
      </c>
      <c r="C533" s="49" t="inlineStr">
        <is>
          <t>31×577</t>
        </is>
      </c>
      <c r="D533" s="49" t="inlineStr">
        <is>
          <t>—</t>
        </is>
      </c>
      <c r="E533" s="49" t="inlineStr"/>
      <c r="F533" s="49" t="inlineStr"/>
    </row>
    <row r="534" ht="13" customHeight="1">
      <c r="A534" s="45" t="inlineStr">
        <is>
          <t>3847</t>
        </is>
      </c>
      <c r="B534" s="45" t="inlineStr">
        <is>
          <t>36406</t>
        </is>
      </c>
      <c r="C534" s="45" t="inlineStr">
        <is>
          <t>2×109×167</t>
        </is>
      </c>
      <c r="D534" s="45" t="inlineStr">
        <is>
          <t>2</t>
        </is>
      </c>
      <c r="E534" s="45" t="inlineStr"/>
      <c r="F534" s="45" t="inlineStr"/>
    </row>
    <row r="535" ht="13" customHeight="1">
      <c r="A535" s="49" t="inlineStr">
        <is>
          <t>3851</t>
        </is>
      </c>
      <c r="B535" s="49" t="inlineStr">
        <is>
          <t>1988</t>
        </is>
      </c>
      <c r="C535" s="49" t="inlineStr">
        <is>
          <t>2×2×7×71</t>
        </is>
      </c>
      <c r="D535" s="49" t="inlineStr">
        <is>
          <t>2·7</t>
        </is>
      </c>
      <c r="E535" s="49" t="inlineStr"/>
      <c r="F535" s="49" t="inlineStr"/>
    </row>
    <row r="536" ht="13" customHeight="1">
      <c r="A536" s="50" t="inlineStr">
        <is>
          <t>3853</t>
        </is>
      </c>
      <c r="B536" s="50" t="inlineStr">
        <is>
          <t>22549</t>
        </is>
      </c>
      <c r="C536" s="50" t="inlineStr">
        <is>
          <t>22549</t>
        </is>
      </c>
      <c r="D536" s="50" t="inlineStr">
        <is>
          <t>—</t>
        </is>
      </c>
      <c r="E536" s="50" t="inlineStr"/>
      <c r="F536" s="50" t="inlineStr"/>
    </row>
    <row r="537" ht="13" customHeight="1">
      <c r="A537" s="49" t="inlineStr">
        <is>
          <t>3863</t>
        </is>
      </c>
      <c r="B537" s="49" t="inlineStr">
        <is>
          <t>9583</t>
        </is>
      </c>
      <c r="C537" s="49" t="inlineStr">
        <is>
          <t>7×37×37</t>
        </is>
      </c>
      <c r="D537" s="49" t="inlineStr">
        <is>
          <t>7</t>
        </is>
      </c>
      <c r="E537" s="49" t="inlineStr"/>
      <c r="F537" s="49" t="inlineStr"/>
    </row>
    <row r="538" ht="13" customHeight="1">
      <c r="A538" s="50" t="inlineStr">
        <is>
          <t>3877</t>
        </is>
      </c>
      <c r="B538" s="50" t="inlineStr">
        <is>
          <t>30781</t>
        </is>
      </c>
      <c r="C538" s="50" t="inlineStr">
        <is>
          <t>30781</t>
        </is>
      </c>
      <c r="D538" s="50" t="inlineStr">
        <is>
          <t>—</t>
        </is>
      </c>
      <c r="E538" s="50" t="inlineStr"/>
      <c r="F538" s="50" t="inlineStr"/>
    </row>
    <row r="539" ht="13" customHeight="1">
      <c r="A539" s="50" t="inlineStr">
        <is>
          <t>3881</t>
        </is>
      </c>
      <c r="B539" s="50" t="inlineStr">
        <is>
          <t>8231</t>
        </is>
      </c>
      <c r="C539" s="50" t="inlineStr">
        <is>
          <t>8231</t>
        </is>
      </c>
      <c r="D539" s="50" t="inlineStr">
        <is>
          <t>—</t>
        </is>
      </c>
      <c r="E539" s="50" t="inlineStr"/>
      <c r="F539" s="50" t="inlineStr"/>
    </row>
    <row r="540" ht="13" customHeight="1">
      <c r="A540" s="45" t="inlineStr">
        <is>
          <t>3889</t>
        </is>
      </c>
      <c r="B540" s="45" t="inlineStr">
        <is>
          <t>15904</t>
        </is>
      </c>
      <c r="C540" s="45" t="inlineStr">
        <is>
          <t>2×2×2×2×2×7×71</t>
        </is>
      </c>
      <c r="D540" s="45" t="inlineStr">
        <is>
          <t>2·7</t>
        </is>
      </c>
      <c r="E540" s="45" t="inlineStr"/>
      <c r="F540" s="45" t="inlineStr"/>
    </row>
    <row r="541" ht="13" customHeight="1">
      <c r="A541" s="41" t="inlineStr">
        <is>
          <t>3907</t>
        </is>
      </c>
      <c r="B541" s="41" t="inlineStr">
        <is>
          <t>29427</t>
        </is>
      </c>
      <c r="C541" s="41" t="inlineStr">
        <is>
          <t>3×17×577</t>
        </is>
      </c>
      <c r="D541" s="41" t="inlineStr">
        <is>
          <t>3·17</t>
        </is>
      </c>
      <c r="E541" s="41" t="inlineStr"/>
      <c r="F541" s="41" t="inlineStr"/>
    </row>
    <row r="542" ht="13" customHeight="1">
      <c r="A542" s="45" t="inlineStr">
        <is>
          <t>3911</t>
        </is>
      </c>
      <c r="B542" s="45" t="inlineStr">
        <is>
          <t>37595</t>
        </is>
      </c>
      <c r="C542" s="45" t="inlineStr">
        <is>
          <t>5×73×103</t>
        </is>
      </c>
      <c r="D542" s="45" t="inlineStr">
        <is>
          <t>5</t>
        </is>
      </c>
      <c r="E542" s="45" t="inlineStr"/>
      <c r="F542" s="45" t="inlineStr"/>
    </row>
    <row r="543" ht="13" customHeight="1">
      <c r="A543" s="49" t="inlineStr">
        <is>
          <t>3917</t>
        </is>
      </c>
      <c r="B543" s="49" t="inlineStr">
        <is>
          <t>1636</t>
        </is>
      </c>
      <c r="C543" s="49" t="inlineStr">
        <is>
          <t>2×2×409</t>
        </is>
      </c>
      <c r="D543" s="49" t="inlineStr">
        <is>
          <t>2</t>
        </is>
      </c>
      <c r="E543" s="49" t="inlineStr"/>
      <c r="F543" s="49" t="inlineStr"/>
    </row>
    <row r="544" ht="13" customHeight="1">
      <c r="A544" s="51" t="inlineStr">
        <is>
          <t>3919</t>
        </is>
      </c>
      <c r="B544" s="51" t="inlineStr">
        <is>
          <t>266</t>
        </is>
      </c>
      <c r="C544" s="51" t="inlineStr">
        <is>
          <t>2×7×19</t>
        </is>
      </c>
      <c r="D544" s="51" t="inlineStr">
        <is>
          <t>2·7·19</t>
        </is>
      </c>
      <c r="E544" s="51" t="inlineStr"/>
      <c r="F544" s="51" t="inlineStr"/>
    </row>
    <row r="545" ht="13" customHeight="1">
      <c r="A545" s="49" t="inlineStr">
        <is>
          <t>3923</t>
        </is>
      </c>
      <c r="B545" s="49" t="inlineStr">
        <is>
          <t>17717</t>
        </is>
      </c>
      <c r="C545" s="49" t="inlineStr">
        <is>
          <t>7×2531</t>
        </is>
      </c>
      <c r="D545" s="49" t="inlineStr">
        <is>
          <t>7</t>
        </is>
      </c>
      <c r="E545" s="49" t="inlineStr"/>
      <c r="F545" s="49" t="inlineStr"/>
    </row>
    <row r="546" ht="13" customHeight="1">
      <c r="A546" s="51" t="inlineStr">
        <is>
          <t>3929</t>
        </is>
      </c>
      <c r="B546" s="51" t="inlineStr">
        <is>
          <t>23351</t>
        </is>
      </c>
      <c r="C546" s="51" t="inlineStr">
        <is>
          <t>19×1229</t>
        </is>
      </c>
      <c r="D546" s="51" t="inlineStr">
        <is>
          <t>19</t>
        </is>
      </c>
      <c r="E546" s="51" t="inlineStr"/>
      <c r="F546" s="51" t="inlineStr"/>
    </row>
    <row r="547" ht="13" customHeight="1">
      <c r="A547" s="49" t="inlineStr">
        <is>
          <t>3931</t>
        </is>
      </c>
      <c r="B547" s="49" t="inlineStr">
        <is>
          <t>25573</t>
        </is>
      </c>
      <c r="C547" s="49" t="inlineStr">
        <is>
          <t>107×239</t>
        </is>
      </c>
      <c r="D547" s="49" t="inlineStr">
        <is>
          <t>—</t>
        </is>
      </c>
      <c r="E547" s="49" t="inlineStr"/>
      <c r="F547" s="49" t="inlineStr"/>
    </row>
    <row r="548" ht="13" customHeight="1">
      <c r="A548" s="45" t="inlineStr">
        <is>
          <t>3943</t>
        </is>
      </c>
      <c r="B548" s="45" t="inlineStr">
        <is>
          <t>43262</t>
        </is>
      </c>
      <c r="C548" s="45" t="inlineStr">
        <is>
          <t>2×97×223</t>
        </is>
      </c>
      <c r="D548" s="45" t="inlineStr">
        <is>
          <t>2</t>
        </is>
      </c>
      <c r="E548" s="45" t="inlineStr"/>
      <c r="F548" s="45" t="inlineStr"/>
    </row>
    <row r="549" ht="13" customHeight="1">
      <c r="A549" s="49" t="inlineStr">
        <is>
          <t>3947</t>
        </is>
      </c>
      <c r="B549" s="49" t="inlineStr">
        <is>
          <t>29657</t>
        </is>
      </c>
      <c r="C549" s="49" t="inlineStr">
        <is>
          <t>47×631</t>
        </is>
      </c>
      <c r="D549" s="49" t="inlineStr">
        <is>
          <t>—</t>
        </is>
      </c>
      <c r="E549" s="49" t="inlineStr"/>
      <c r="F549" s="49" t="inlineStr"/>
    </row>
    <row r="550" ht="13" customHeight="1">
      <c r="A550" s="45" t="inlineStr">
        <is>
          <t>3967</t>
        </is>
      </c>
      <c r="B550" s="45" t="inlineStr">
        <is>
          <t>22666</t>
        </is>
      </c>
      <c r="C550" s="45" t="inlineStr">
        <is>
          <t>2×7×1619</t>
        </is>
      </c>
      <c r="D550" s="45" t="inlineStr">
        <is>
          <t>2·7</t>
        </is>
      </c>
      <c r="E550" s="45" t="inlineStr"/>
      <c r="F550" s="45" t="inlineStr"/>
    </row>
    <row r="551" ht="13" customHeight="1">
      <c r="A551" s="49" t="inlineStr">
        <is>
          <t>3989</t>
        </is>
      </c>
      <c r="B551" s="49" t="inlineStr">
        <is>
          <t>23615</t>
        </is>
      </c>
      <c r="C551" s="49" t="inlineStr">
        <is>
          <t>5×4723</t>
        </is>
      </c>
      <c r="D551" s="49" t="inlineStr">
        <is>
          <t>5</t>
        </is>
      </c>
      <c r="E551" s="49" t="inlineStr"/>
      <c r="F551" s="49" t="inlineStr"/>
    </row>
    <row r="552" ht="13" customHeight="1">
      <c r="A552" s="50" t="inlineStr">
        <is>
          <t>4001</t>
        </is>
      </c>
      <c r="B552" s="50" t="inlineStr">
        <is>
          <t>15923</t>
        </is>
      </c>
      <c r="C552" s="50" t="inlineStr">
        <is>
          <t>15923</t>
        </is>
      </c>
      <c r="D552" s="50" t="inlineStr">
        <is>
          <t>—</t>
        </is>
      </c>
      <c r="E552" s="50" t="inlineStr"/>
      <c r="F552" s="50" t="inlineStr"/>
    </row>
    <row r="553" ht="13" customHeight="1">
      <c r="A553" s="49" t="inlineStr">
        <is>
          <t>4003</t>
        </is>
      </c>
      <c r="B553" s="49" t="inlineStr">
        <is>
          <t>5234</t>
        </is>
      </c>
      <c r="C553" s="49" t="inlineStr">
        <is>
          <t>2×2617</t>
        </is>
      </c>
      <c r="D553" s="49" t="inlineStr">
        <is>
          <t>2</t>
        </is>
      </c>
      <c r="E553" s="49" t="inlineStr"/>
      <c r="F553" s="49" t="inlineStr"/>
    </row>
    <row r="554" ht="13" customHeight="1">
      <c r="A554" s="50" t="inlineStr">
        <is>
          <t>4007</t>
        </is>
      </c>
      <c r="B554" s="50" t="inlineStr">
        <is>
          <t>17669</t>
        </is>
      </c>
      <c r="C554" s="50" t="inlineStr">
        <is>
          <t>17669</t>
        </is>
      </c>
      <c r="D554" s="50" t="inlineStr">
        <is>
          <t>—</t>
        </is>
      </c>
      <c r="E554" s="50" t="inlineStr"/>
      <c r="F554" s="50" t="inlineStr"/>
    </row>
    <row r="555" ht="13" customHeight="1">
      <c r="A555" s="49" t="inlineStr">
        <is>
          <t>4013</t>
        </is>
      </c>
      <c r="B555" s="49" t="inlineStr">
        <is>
          <t>38622</t>
        </is>
      </c>
      <c r="C555" s="49" t="inlineStr">
        <is>
          <t>2×3×41×157</t>
        </is>
      </c>
      <c r="D555" s="49" t="inlineStr">
        <is>
          <t>2·3</t>
        </is>
      </c>
      <c r="E555" s="49" t="inlineStr"/>
      <c r="F555" s="49" t="inlineStr"/>
    </row>
    <row r="556" ht="13" customHeight="1">
      <c r="A556" s="41" t="inlineStr">
        <is>
          <t>4019</t>
        </is>
      </c>
      <c r="B556" s="41" t="inlineStr">
        <is>
          <t>28951</t>
        </is>
      </c>
      <c r="C556" s="41" t="inlineStr">
        <is>
          <t>13×17×131</t>
        </is>
      </c>
      <c r="D556" s="41" t="inlineStr">
        <is>
          <t>13·17</t>
        </is>
      </c>
      <c r="E556" s="41" t="inlineStr"/>
      <c r="F556" s="41" t="inlineStr"/>
    </row>
    <row r="557" ht="13" customHeight="1">
      <c r="A557" s="41" t="inlineStr">
        <is>
          <t>4021</t>
        </is>
      </c>
      <c r="B557" s="41" t="inlineStr">
        <is>
          <t>11526</t>
        </is>
      </c>
      <c r="C557" s="41" t="inlineStr">
        <is>
          <t>2×3×17×113</t>
        </is>
      </c>
      <c r="D557" s="41" t="inlineStr">
        <is>
          <t>2·3·17</t>
        </is>
      </c>
      <c r="E557" s="41" t="inlineStr"/>
      <c r="F557" s="41" t="inlineStr"/>
    </row>
    <row r="558" ht="13" customHeight="1">
      <c r="A558" s="41" t="inlineStr">
        <is>
          <t>4027</t>
        </is>
      </c>
      <c r="B558" s="41" t="inlineStr">
        <is>
          <t>25942</t>
        </is>
      </c>
      <c r="C558" s="41" t="inlineStr">
        <is>
          <t>2×7×17×109</t>
        </is>
      </c>
      <c r="D558" s="41" t="inlineStr">
        <is>
          <t>2·7·17</t>
        </is>
      </c>
      <c r="E558" s="41" t="inlineStr"/>
      <c r="F558" s="41" t="inlineStr"/>
    </row>
    <row r="559" ht="13" customHeight="1">
      <c r="A559" s="49" t="inlineStr">
        <is>
          <t>4049</t>
        </is>
      </c>
      <c r="B559" s="49" t="inlineStr">
        <is>
          <t>33158</t>
        </is>
      </c>
      <c r="C559" s="49" t="inlineStr">
        <is>
          <t>2×59×281</t>
        </is>
      </c>
      <c r="D559" s="49" t="inlineStr">
        <is>
          <t>2</t>
        </is>
      </c>
      <c r="E559" s="49" t="inlineStr"/>
      <c r="F559" s="49" t="inlineStr"/>
    </row>
    <row r="560" ht="13" customHeight="1">
      <c r="A560" s="51" t="inlineStr">
        <is>
          <t>4051</t>
        </is>
      </c>
      <c r="B560" s="51" t="inlineStr">
        <is>
          <t>18753</t>
        </is>
      </c>
      <c r="C560" s="51" t="inlineStr">
        <is>
          <t>3×7×19×47</t>
        </is>
      </c>
      <c r="D560" s="51" t="inlineStr">
        <is>
          <t>3·7·19</t>
        </is>
      </c>
      <c r="E560" s="51" t="inlineStr"/>
      <c r="F560" s="51" t="inlineStr"/>
    </row>
    <row r="561" ht="13" customHeight="1">
      <c r="A561" s="49" t="inlineStr">
        <is>
          <t>4057</t>
        </is>
      </c>
      <c r="B561" s="49" t="inlineStr">
        <is>
          <t>33282</t>
        </is>
      </c>
      <c r="C561" s="49" t="inlineStr">
        <is>
          <t>2×3×3×43×43</t>
        </is>
      </c>
      <c r="D561" s="49" t="inlineStr">
        <is>
          <t>2·3</t>
        </is>
      </c>
      <c r="E561" s="49" t="inlineStr"/>
      <c r="F561" s="49" t="inlineStr"/>
    </row>
    <row r="562" ht="13" customHeight="1">
      <c r="A562" s="41" t="inlineStr">
        <is>
          <t>4073</t>
        </is>
      </c>
      <c r="B562" s="41" t="inlineStr">
        <is>
          <t>17969</t>
        </is>
      </c>
      <c r="C562" s="41" t="inlineStr">
        <is>
          <t>7×17×151</t>
        </is>
      </c>
      <c r="D562" s="41" t="inlineStr">
        <is>
          <t>7·17</t>
        </is>
      </c>
      <c r="E562" s="41" t="inlineStr"/>
      <c r="F562" s="41" t="inlineStr"/>
    </row>
    <row r="563" ht="13" customHeight="1">
      <c r="A563" s="51" t="inlineStr">
        <is>
          <t>4079</t>
        </is>
      </c>
      <c r="B563" s="51" t="inlineStr">
        <is>
          <t>19969</t>
        </is>
      </c>
      <c r="C563" s="51" t="inlineStr">
        <is>
          <t>19×1051</t>
        </is>
      </c>
      <c r="D563" s="51" t="inlineStr">
        <is>
          <t>19</t>
        </is>
      </c>
      <c r="E563" s="51" t="inlineStr"/>
      <c r="F563" s="51" t="inlineStr"/>
    </row>
    <row r="564" ht="13" customHeight="1">
      <c r="A564" s="39" t="inlineStr">
        <is>
          <t>4091</t>
        </is>
      </c>
      <c r="B564" s="39" t="inlineStr">
        <is>
          <t>11025</t>
        </is>
      </c>
      <c r="C564" s="39" t="inlineStr">
        <is>
          <t>3×3×5×5×7×7</t>
        </is>
      </c>
      <c r="D564" s="39" t="inlineStr">
        <is>
          <t>3·5·7</t>
        </is>
      </c>
      <c r="E564" s="39" t="inlineStr"/>
      <c r="F564" s="39" t="inlineStr"/>
    </row>
    <row r="565" ht="13" customHeight="1">
      <c r="A565" s="49" t="inlineStr">
        <is>
          <t>4093</t>
        </is>
      </c>
      <c r="B565" s="49" t="inlineStr">
        <is>
          <t>4975</t>
        </is>
      </c>
      <c r="C565" s="49" t="inlineStr">
        <is>
          <t>5×5×199</t>
        </is>
      </c>
      <c r="D565" s="49" t="inlineStr">
        <is>
          <t>5</t>
        </is>
      </c>
      <c r="E565" s="49" t="inlineStr"/>
      <c r="F565" s="49" t="inlineStr"/>
    </row>
    <row r="566" ht="13" customHeight="1">
      <c r="A566" s="50" t="inlineStr">
        <is>
          <t>4099</t>
        </is>
      </c>
      <c r="B566" s="50" t="inlineStr">
        <is>
          <t>13873</t>
        </is>
      </c>
      <c r="C566" s="50" t="inlineStr">
        <is>
          <t>13873</t>
        </is>
      </c>
      <c r="D566" s="50" t="inlineStr">
        <is>
          <t>—</t>
        </is>
      </c>
      <c r="E566" s="50" t="inlineStr"/>
      <c r="F566" s="50" t="inlineStr"/>
    </row>
    <row r="567" ht="13" customHeight="1">
      <c r="A567" s="49" t="inlineStr">
        <is>
          <t>4111</t>
        </is>
      </c>
      <c r="B567" s="49" t="inlineStr">
        <is>
          <t>31012</t>
        </is>
      </c>
      <c r="C567" s="49" t="inlineStr">
        <is>
          <t>2×2×7753</t>
        </is>
      </c>
      <c r="D567" s="49" t="inlineStr">
        <is>
          <t>2</t>
        </is>
      </c>
      <c r="E567" s="49" t="inlineStr"/>
      <c r="F567" s="49" t="inlineStr"/>
    </row>
    <row r="568" ht="13" customHeight="1">
      <c r="A568" s="45" t="inlineStr">
        <is>
          <t>4127</t>
        </is>
      </c>
      <c r="B568" s="45" t="inlineStr">
        <is>
          <t>26272</t>
        </is>
      </c>
      <c r="C568" s="45" t="inlineStr">
        <is>
          <t>2×2×2×2×2×821</t>
        </is>
      </c>
      <c r="D568" s="45" t="inlineStr">
        <is>
          <t>2</t>
        </is>
      </c>
      <c r="E568" s="45" t="inlineStr"/>
      <c r="F568" s="45" t="inlineStr"/>
    </row>
    <row r="569" ht="13" customHeight="1">
      <c r="A569" s="49" t="inlineStr">
        <is>
          <t>4129</t>
        </is>
      </c>
      <c r="B569" s="49" t="inlineStr">
        <is>
          <t>17982</t>
        </is>
      </c>
      <c r="C569" s="49" t="inlineStr">
        <is>
          <t>2×3×3×3×3×3×37</t>
        </is>
      </c>
      <c r="D569" s="49" t="inlineStr">
        <is>
          <t>2·3</t>
        </is>
      </c>
      <c r="E569" s="49" t="inlineStr"/>
      <c r="F569" s="49" t="inlineStr"/>
    </row>
    <row r="570" ht="13" customHeight="1">
      <c r="A570" s="45" t="inlineStr">
        <is>
          <t>4133</t>
        </is>
      </c>
      <c r="B570" s="45" t="inlineStr">
        <is>
          <t>6532</t>
        </is>
      </c>
      <c r="C570" s="45" t="inlineStr">
        <is>
          <t>2×2×23×71</t>
        </is>
      </c>
      <c r="D570" s="45" t="inlineStr">
        <is>
          <t>2</t>
        </is>
      </c>
      <c r="E570" s="45" t="inlineStr"/>
      <c r="F570" s="45" t="inlineStr"/>
    </row>
    <row r="571" ht="13" customHeight="1">
      <c r="A571" s="49" t="inlineStr">
        <is>
          <t>4139</t>
        </is>
      </c>
      <c r="B571" s="49" t="inlineStr">
        <is>
          <t>31155</t>
        </is>
      </c>
      <c r="C571" s="49" t="inlineStr">
        <is>
          <t>3×5×31×67</t>
        </is>
      </c>
      <c r="D571" s="49" t="inlineStr">
        <is>
          <t>3·5</t>
        </is>
      </c>
      <c r="E571" s="49" t="inlineStr"/>
      <c r="F571" s="49" t="inlineStr"/>
    </row>
    <row r="572" ht="13" customHeight="1">
      <c r="A572" s="45" t="inlineStr">
        <is>
          <t>4153</t>
        </is>
      </c>
      <c r="B572" s="45" t="inlineStr">
        <is>
          <t>8080</t>
        </is>
      </c>
      <c r="C572" s="45" t="inlineStr">
        <is>
          <t>2×2×2×2×5×101</t>
        </is>
      </c>
      <c r="D572" s="45" t="inlineStr">
        <is>
          <t>2·5</t>
        </is>
      </c>
      <c r="E572" s="45" t="inlineStr"/>
      <c r="F572" s="45" t="inlineStr"/>
    </row>
    <row r="573" ht="13" customHeight="1">
      <c r="A573" s="49" t="inlineStr">
        <is>
          <t>4157</t>
        </is>
      </c>
      <c r="B573" s="49" t="inlineStr">
        <is>
          <t>28761</t>
        </is>
      </c>
      <c r="C573" s="49" t="inlineStr">
        <is>
          <t>3×9587</t>
        </is>
      </c>
      <c r="D573" s="49" t="inlineStr">
        <is>
          <t>3</t>
        </is>
      </c>
      <c r="E573" s="49" t="inlineStr"/>
      <c r="F573" s="49" t="inlineStr"/>
    </row>
    <row r="574" ht="13" customHeight="1">
      <c r="A574" s="45" t="inlineStr">
        <is>
          <t>4159</t>
        </is>
      </c>
      <c r="B574" s="45" t="inlineStr">
        <is>
          <t>4209</t>
        </is>
      </c>
      <c r="C574" s="45" t="inlineStr">
        <is>
          <t>3×23×61</t>
        </is>
      </c>
      <c r="D574" s="45" t="inlineStr">
        <is>
          <t>3</t>
        </is>
      </c>
      <c r="E574" s="45" t="inlineStr"/>
      <c r="F574" s="45" t="inlineStr"/>
    </row>
    <row r="575" ht="13" customHeight="1">
      <c r="A575" s="49" t="inlineStr">
        <is>
          <t>4177</t>
        </is>
      </c>
      <c r="B575" s="49" t="inlineStr">
        <is>
          <t>35669</t>
        </is>
      </c>
      <c r="C575" s="49" t="inlineStr">
        <is>
          <t>53×673</t>
        </is>
      </c>
      <c r="D575" s="49" t="inlineStr">
        <is>
          <t>—</t>
        </is>
      </c>
      <c r="E575" s="49" t="inlineStr"/>
      <c r="F575" s="49" t="inlineStr"/>
    </row>
    <row r="576" ht="13" customHeight="1">
      <c r="A576" s="45" t="inlineStr">
        <is>
          <t>4201</t>
        </is>
      </c>
      <c r="B576" s="45" t="inlineStr">
        <is>
          <t>22324</t>
        </is>
      </c>
      <c r="C576" s="45" t="inlineStr">
        <is>
          <t>2×2×5581</t>
        </is>
      </c>
      <c r="D576" s="45" t="inlineStr">
        <is>
          <t>2</t>
        </is>
      </c>
      <c r="E576" s="45" t="inlineStr"/>
      <c r="F576" s="45" t="inlineStr"/>
    </row>
    <row r="577" ht="13" customHeight="1">
      <c r="A577" s="49" t="inlineStr">
        <is>
          <t>4211</t>
        </is>
      </c>
      <c r="B577" s="49" t="inlineStr">
        <is>
          <t>40737</t>
        </is>
      </c>
      <c r="C577" s="49" t="inlineStr">
        <is>
          <t>3×37×367</t>
        </is>
      </c>
      <c r="D577" s="49" t="inlineStr">
        <is>
          <t>3</t>
        </is>
      </c>
      <c r="E577" s="49" t="inlineStr"/>
      <c r="F577" s="49" t="inlineStr"/>
    </row>
    <row r="578" ht="13" customHeight="1">
      <c r="A578" s="41" t="inlineStr">
        <is>
          <t>4217</t>
        </is>
      </c>
      <c r="B578" s="41" t="inlineStr">
        <is>
          <t>19958</t>
        </is>
      </c>
      <c r="C578" s="41" t="inlineStr">
        <is>
          <t>2×17×587</t>
        </is>
      </c>
      <c r="D578" s="41" t="inlineStr">
        <is>
          <t>2·17</t>
        </is>
      </c>
      <c r="E578" s="41" t="inlineStr"/>
      <c r="F578" s="41" t="inlineStr"/>
    </row>
    <row r="579" ht="13" customHeight="1">
      <c r="A579" s="49" t="inlineStr">
        <is>
          <t>4219</t>
        </is>
      </c>
      <c r="B579" s="49" t="inlineStr">
        <is>
          <t>758</t>
        </is>
      </c>
      <c r="C579" s="49" t="inlineStr">
        <is>
          <t>2×379</t>
        </is>
      </c>
      <c r="D579" s="49" t="inlineStr">
        <is>
          <t>2</t>
        </is>
      </c>
      <c r="E579" s="49" t="inlineStr"/>
      <c r="F579" s="49" t="inlineStr"/>
    </row>
    <row r="580" ht="13" customHeight="1">
      <c r="A580" s="50" t="inlineStr">
        <is>
          <t>4229</t>
        </is>
      </c>
      <c r="B580" s="50" t="inlineStr">
        <is>
          <t>24593</t>
        </is>
      </c>
      <c r="C580" s="50" t="inlineStr">
        <is>
          <t>24593</t>
        </is>
      </c>
      <c r="D580" s="50" t="inlineStr">
        <is>
          <t>—</t>
        </is>
      </c>
      <c r="E580" s="50" t="inlineStr"/>
      <c r="F580" s="50" t="inlineStr"/>
    </row>
    <row r="581" ht="13" customHeight="1">
      <c r="A581" s="41" t="inlineStr">
        <is>
          <t>4231</t>
        </is>
      </c>
      <c r="B581" s="41" t="inlineStr">
        <is>
          <t>38376</t>
        </is>
      </c>
      <c r="C581" s="41" t="inlineStr">
        <is>
          <t>2×2×2×3×3×13×41</t>
        </is>
      </c>
      <c r="D581" s="41" t="inlineStr">
        <is>
          <t>2·3·13</t>
        </is>
      </c>
      <c r="E581" s="41" t="inlineStr"/>
      <c r="F581" s="41" t="inlineStr"/>
    </row>
    <row r="582" ht="13" customHeight="1">
      <c r="A582" s="45" t="inlineStr">
        <is>
          <t>4241</t>
        </is>
      </c>
      <c r="B582" s="45" t="inlineStr">
        <is>
          <t>40861</t>
        </is>
      </c>
      <c r="C582" s="45" t="inlineStr">
        <is>
          <t>29×1409</t>
        </is>
      </c>
      <c r="D582" s="45" t="inlineStr">
        <is>
          <t>—</t>
        </is>
      </c>
      <c r="E582" s="45" t="inlineStr"/>
      <c r="F582" s="45" t="inlineStr"/>
    </row>
    <row r="583" ht="13" customHeight="1">
      <c r="A583" s="41" t="inlineStr">
        <is>
          <t>4243</t>
        </is>
      </c>
      <c r="B583" s="41" t="inlineStr">
        <is>
          <t>13260</t>
        </is>
      </c>
      <c r="C583" s="41" t="inlineStr">
        <is>
          <t>2×2×3×5×13×17</t>
        </is>
      </c>
      <c r="D583" s="41" t="inlineStr">
        <is>
          <t>2·3·5·13·17</t>
        </is>
      </c>
      <c r="E583" s="41" t="inlineStr"/>
      <c r="F583" s="41" t="inlineStr"/>
    </row>
    <row r="584" ht="13" customHeight="1">
      <c r="A584" s="45" t="inlineStr">
        <is>
          <t>4253</t>
        </is>
      </c>
      <c r="B584" s="45" t="inlineStr">
        <is>
          <t>37748</t>
        </is>
      </c>
      <c r="C584" s="45" t="inlineStr">
        <is>
          <t>2×2×9437</t>
        </is>
      </c>
      <c r="D584" s="45" t="inlineStr">
        <is>
          <t>2</t>
        </is>
      </c>
      <c r="E584" s="45" t="inlineStr"/>
      <c r="F584" s="45" t="inlineStr"/>
    </row>
    <row r="585" ht="13" customHeight="1">
      <c r="A585" s="41" t="inlineStr">
        <is>
          <t>4259</t>
        </is>
      </c>
      <c r="B585" s="41" t="inlineStr">
        <is>
          <t>16081</t>
        </is>
      </c>
      <c r="C585" s="41" t="inlineStr">
        <is>
          <t>13×1237</t>
        </is>
      </c>
      <c r="D585" s="41" t="inlineStr">
        <is>
          <t>13</t>
        </is>
      </c>
      <c r="E585" s="41" t="inlineStr"/>
      <c r="F585" s="41" t="inlineStr"/>
    </row>
    <row r="586" ht="13" customHeight="1">
      <c r="A586" s="45" t="inlineStr">
        <is>
          <t>4261</t>
        </is>
      </c>
      <c r="B586" s="45" t="inlineStr">
        <is>
          <t>42521</t>
        </is>
      </c>
      <c r="C586" s="45" t="inlineStr">
        <is>
          <t>101×421</t>
        </is>
      </c>
      <c r="D586" s="45" t="inlineStr">
        <is>
          <t>—</t>
        </is>
      </c>
      <c r="E586" s="45" t="inlineStr"/>
      <c r="F586" s="45" t="inlineStr"/>
    </row>
    <row r="587" ht="13" customHeight="1">
      <c r="A587" s="39" t="inlineStr">
        <is>
          <t>4271</t>
        </is>
      </c>
      <c r="B587" s="39" t="inlineStr">
        <is>
          <t>20160</t>
        </is>
      </c>
      <c r="C587" s="39" t="inlineStr">
        <is>
          <t>2×2×2×2×2×2×3×3×5×7</t>
        </is>
      </c>
      <c r="D587" s="39" t="inlineStr">
        <is>
          <t>2·3·5·7</t>
        </is>
      </c>
      <c r="E587" s="39" t="inlineStr"/>
      <c r="F587" s="39" t="inlineStr"/>
    </row>
    <row r="588" ht="13" customHeight="1">
      <c r="A588" s="45" t="inlineStr">
        <is>
          <t>4273</t>
        </is>
      </c>
      <c r="B588" s="45" t="inlineStr">
        <is>
          <t>4296</t>
        </is>
      </c>
      <c r="C588" s="45" t="inlineStr">
        <is>
          <t>2×2×2×3×179</t>
        </is>
      </c>
      <c r="D588" s="45" t="inlineStr">
        <is>
          <t>2·3</t>
        </is>
      </c>
      <c r="E588" s="45" t="inlineStr"/>
      <c r="F588" s="45" t="inlineStr"/>
    </row>
    <row r="589" ht="13" customHeight="1">
      <c r="A589" s="50" t="inlineStr">
        <is>
          <t>4283</t>
        </is>
      </c>
      <c r="B589" s="50" t="inlineStr">
        <is>
          <t>42323</t>
        </is>
      </c>
      <c r="C589" s="50" t="inlineStr">
        <is>
          <t>42323</t>
        </is>
      </c>
      <c r="D589" s="50" t="inlineStr">
        <is>
          <t>—</t>
        </is>
      </c>
      <c r="E589" s="50" t="inlineStr"/>
      <c r="F589" s="50" t="inlineStr"/>
    </row>
    <row r="590" ht="13" customHeight="1">
      <c r="A590" s="45" t="inlineStr">
        <is>
          <t>4289</t>
        </is>
      </c>
      <c r="B590" s="45" t="inlineStr">
        <is>
          <t>42182</t>
        </is>
      </c>
      <c r="C590" s="45" t="inlineStr">
        <is>
          <t>2×7×23×131</t>
        </is>
      </c>
      <c r="D590" s="45" t="inlineStr">
        <is>
          <t>2·7</t>
        </is>
      </c>
      <c r="E590" s="45" t="inlineStr"/>
      <c r="F590" s="45" t="inlineStr"/>
    </row>
    <row r="591" ht="13" customHeight="1">
      <c r="A591" s="50" t="inlineStr">
        <is>
          <t>4297</t>
        </is>
      </c>
      <c r="B591" s="50" t="inlineStr">
        <is>
          <t>24407</t>
        </is>
      </c>
      <c r="C591" s="50" t="inlineStr">
        <is>
          <t>24407</t>
        </is>
      </c>
      <c r="D591" s="50" t="inlineStr">
        <is>
          <t>—</t>
        </is>
      </c>
      <c r="E591" s="50" t="inlineStr"/>
      <c r="F591" s="50" t="inlineStr"/>
    </row>
    <row r="592" ht="13" customHeight="1">
      <c r="A592" s="50" t="inlineStr">
        <is>
          <t>4327</t>
        </is>
      </c>
      <c r="B592" s="50" t="inlineStr">
        <is>
          <t>32633</t>
        </is>
      </c>
      <c r="C592" s="50" t="inlineStr">
        <is>
          <t>32633</t>
        </is>
      </c>
      <c r="D592" s="50" t="inlineStr">
        <is>
          <t>—</t>
        </is>
      </c>
      <c r="E592" s="50" t="inlineStr"/>
      <c r="F592" s="50" t="inlineStr"/>
    </row>
    <row r="593" ht="13" customHeight="1">
      <c r="A593" s="51" t="inlineStr">
        <is>
          <t>4337</t>
        </is>
      </c>
      <c r="B593" s="51" t="inlineStr">
        <is>
          <t>4142</t>
        </is>
      </c>
      <c r="C593" s="51" t="inlineStr">
        <is>
          <t>2×19×109</t>
        </is>
      </c>
      <c r="D593" s="51" t="inlineStr">
        <is>
          <t>2·19</t>
        </is>
      </c>
      <c r="E593" s="51" t="inlineStr"/>
      <c r="F593" s="51" t="inlineStr"/>
    </row>
    <row r="594" ht="13" customHeight="1">
      <c r="A594" s="51" t="inlineStr">
        <is>
          <t>4339</t>
        </is>
      </c>
      <c r="B594" s="51" t="inlineStr">
        <is>
          <t>2318</t>
        </is>
      </c>
      <c r="C594" s="51" t="inlineStr">
        <is>
          <t>2×19×61</t>
        </is>
      </c>
      <c r="D594" s="51" t="inlineStr">
        <is>
          <t>2·19</t>
        </is>
      </c>
      <c r="E594" s="51" t="inlineStr"/>
      <c r="F594" s="51" t="inlineStr"/>
    </row>
    <row r="595" ht="13" customHeight="1">
      <c r="A595" s="50" t="inlineStr">
        <is>
          <t>4349</t>
        </is>
      </c>
      <c r="B595" s="50" t="inlineStr">
        <is>
          <t>42841</t>
        </is>
      </c>
      <c r="C595" s="50" t="inlineStr">
        <is>
          <t>42841</t>
        </is>
      </c>
      <c r="D595" s="50" t="inlineStr">
        <is>
          <t>—</t>
        </is>
      </c>
      <c r="E595" s="50" t="inlineStr"/>
      <c r="F595" s="50" t="inlineStr"/>
    </row>
    <row r="596" ht="13" customHeight="1">
      <c r="A596" s="45" t="inlineStr">
        <is>
          <t>4357</t>
        </is>
      </c>
      <c r="B596" s="45" t="inlineStr">
        <is>
          <t>26751</t>
        </is>
      </c>
      <c r="C596" s="45" t="inlineStr">
        <is>
          <t>3×37×241</t>
        </is>
      </c>
      <c r="D596" s="45" t="inlineStr">
        <is>
          <t>3</t>
        </is>
      </c>
      <c r="E596" s="45" t="inlineStr"/>
      <c r="F596" s="45" t="inlineStr"/>
    </row>
    <row r="597" ht="13" customHeight="1">
      <c r="A597" s="50" t="inlineStr">
        <is>
          <t>4363</t>
        </is>
      </c>
      <c r="B597" s="50" t="inlineStr">
        <is>
          <t>26501</t>
        </is>
      </c>
      <c r="C597" s="50" t="inlineStr">
        <is>
          <t>26501</t>
        </is>
      </c>
      <c r="D597" s="50" t="inlineStr">
        <is>
          <t>—</t>
        </is>
      </c>
      <c r="E597" s="50" t="inlineStr"/>
      <c r="F597" s="50" t="inlineStr"/>
    </row>
    <row r="598" ht="13" customHeight="1">
      <c r="A598" s="45" t="inlineStr">
        <is>
          <t>4373</t>
        </is>
      </c>
      <c r="B598" s="45" t="inlineStr">
        <is>
          <t>25691</t>
        </is>
      </c>
      <c r="C598" s="45" t="inlineStr">
        <is>
          <t>23×1117</t>
        </is>
      </c>
      <c r="D598" s="45" t="inlineStr">
        <is>
          <t>—</t>
        </is>
      </c>
      <c r="E598" s="45" t="inlineStr"/>
      <c r="F598" s="45" t="inlineStr"/>
    </row>
    <row r="599" ht="13" customHeight="1">
      <c r="A599" s="49" t="inlineStr">
        <is>
          <t>4391</t>
        </is>
      </c>
      <c r="B599" s="49" t="inlineStr">
        <is>
          <t>26856</t>
        </is>
      </c>
      <c r="C599" s="49" t="inlineStr">
        <is>
          <t>2×2×2×3×3×373</t>
        </is>
      </c>
      <c r="D599" s="49" t="inlineStr">
        <is>
          <t>2·3</t>
        </is>
      </c>
      <c r="E599" s="49" t="inlineStr"/>
      <c r="F599" s="49" t="inlineStr"/>
    </row>
    <row r="600" ht="13" customHeight="1">
      <c r="A600" s="45" t="inlineStr">
        <is>
          <t>4397</t>
        </is>
      </c>
      <c r="B600" s="45" t="inlineStr">
        <is>
          <t>23274</t>
        </is>
      </c>
      <c r="C600" s="45" t="inlineStr">
        <is>
          <t>2×3×3×3×431</t>
        </is>
      </c>
      <c r="D600" s="45" t="inlineStr">
        <is>
          <t>2·3</t>
        </is>
      </c>
      <c r="E600" s="45" t="inlineStr"/>
      <c r="F600" s="45" t="inlineStr"/>
    </row>
    <row r="601" ht="13" customHeight="1">
      <c r="A601" s="49" t="inlineStr">
        <is>
          <t>4409</t>
        </is>
      </c>
      <c r="B601" s="49" t="inlineStr">
        <is>
          <t>2616</t>
        </is>
      </c>
      <c r="C601" s="49" t="inlineStr">
        <is>
          <t>2×2×2×3×109</t>
        </is>
      </c>
      <c r="D601" s="49" t="inlineStr">
        <is>
          <t>2·3</t>
        </is>
      </c>
      <c r="E601" s="49" t="inlineStr"/>
      <c r="F601" s="49" t="inlineStr"/>
    </row>
    <row r="602" ht="13" customHeight="1">
      <c r="A602" s="45" t="inlineStr">
        <is>
          <t>4421</t>
        </is>
      </c>
      <c r="B602" s="45" t="inlineStr">
        <is>
          <t>21965</t>
        </is>
      </c>
      <c r="C602" s="45" t="inlineStr">
        <is>
          <t>5×23×191</t>
        </is>
      </c>
      <c r="D602" s="45" t="inlineStr">
        <is>
          <t>5</t>
        </is>
      </c>
      <c r="E602" s="45" t="inlineStr"/>
      <c r="F602" s="45" t="inlineStr"/>
    </row>
    <row r="603" ht="13" customHeight="1">
      <c r="A603" s="43" t="inlineStr">
        <is>
          <t>4423</t>
        </is>
      </c>
      <c r="B603" s="43" t="inlineStr">
        <is>
          <t>19613</t>
        </is>
      </c>
      <c r="C603" s="43" t="inlineStr">
        <is>
          <t>11×1783</t>
        </is>
      </c>
      <c r="D603" s="43" t="inlineStr">
        <is>
          <t>11</t>
        </is>
      </c>
      <c r="E603" s="43" t="inlineStr"/>
      <c r="F603" s="43" t="inlineStr"/>
    </row>
    <row r="604" ht="13" customHeight="1">
      <c r="A604" s="45" t="inlineStr">
        <is>
          <t>4441</t>
        </is>
      </c>
      <c r="B604" s="45" t="inlineStr">
        <is>
          <t>38596</t>
        </is>
      </c>
      <c r="C604" s="45" t="inlineStr">
        <is>
          <t>2×2×9649</t>
        </is>
      </c>
      <c r="D604" s="45" t="inlineStr">
        <is>
          <t>2</t>
        </is>
      </c>
      <c r="E604" s="45" t="inlineStr"/>
      <c r="F604" s="45" t="inlineStr"/>
    </row>
    <row r="605" ht="13" customHeight="1">
      <c r="A605" s="50" t="inlineStr">
        <is>
          <t>4447</t>
        </is>
      </c>
      <c r="B605" s="50" t="inlineStr">
        <is>
          <t>3313</t>
        </is>
      </c>
      <c r="C605" s="50" t="inlineStr">
        <is>
          <t>3313</t>
        </is>
      </c>
      <c r="D605" s="50" t="inlineStr">
        <is>
          <t>—</t>
        </is>
      </c>
      <c r="E605" s="50" t="inlineStr"/>
      <c r="F605" s="50" t="inlineStr"/>
    </row>
    <row r="606" ht="13" customHeight="1">
      <c r="A606" s="45" t="inlineStr">
        <is>
          <t>4451</t>
        </is>
      </c>
      <c r="B606" s="45" t="inlineStr">
        <is>
          <t>989</t>
        </is>
      </c>
      <c r="C606" s="45" t="inlineStr">
        <is>
          <t>23×43</t>
        </is>
      </c>
      <c r="D606" s="45" t="inlineStr">
        <is>
          <t>—</t>
        </is>
      </c>
      <c r="E606" s="45" t="inlineStr"/>
      <c r="F606" s="45" t="inlineStr"/>
    </row>
    <row r="607" ht="13" customHeight="1">
      <c r="A607" s="49" t="inlineStr">
        <is>
          <t>4457</t>
        </is>
      </c>
      <c r="B607" s="49" t="inlineStr">
        <is>
          <t>39808</t>
        </is>
      </c>
      <c r="C607" s="49" t="inlineStr">
        <is>
          <t>2×2×2×2×2×2×2×311</t>
        </is>
      </c>
      <c r="D607" s="49" t="inlineStr">
        <is>
          <t>2</t>
        </is>
      </c>
      <c r="E607" s="49" t="inlineStr"/>
      <c r="F607" s="49" t="inlineStr"/>
    </row>
    <row r="608" ht="13" customHeight="1">
      <c r="A608" s="45" t="inlineStr">
        <is>
          <t>4463</t>
        </is>
      </c>
      <c r="B608" s="45" t="inlineStr">
        <is>
          <t>24364</t>
        </is>
      </c>
      <c r="C608" s="45" t="inlineStr">
        <is>
          <t>2×2×6091</t>
        </is>
      </c>
      <c r="D608" s="45" t="inlineStr">
        <is>
          <t>2</t>
        </is>
      </c>
      <c r="E608" s="45" t="inlineStr"/>
      <c r="F608" s="45" t="inlineStr"/>
    </row>
    <row r="609" ht="13" customHeight="1">
      <c r="A609" s="49" t="inlineStr">
        <is>
          <t>4481</t>
        </is>
      </c>
      <c r="B609" s="49" t="inlineStr">
        <is>
          <t>42583</t>
        </is>
      </c>
      <c r="C609" s="49" t="inlineStr">
        <is>
          <t>97×439</t>
        </is>
      </c>
      <c r="D609" s="49" t="inlineStr">
        <is>
          <t>—</t>
        </is>
      </c>
      <c r="E609" s="49" t="inlineStr"/>
      <c r="F609" s="49" t="inlineStr"/>
    </row>
    <row r="610" ht="13" customHeight="1">
      <c r="A610" s="41" t="inlineStr">
        <is>
          <t>4483</t>
        </is>
      </c>
      <c r="B610" s="41" t="inlineStr">
        <is>
          <t>3944</t>
        </is>
      </c>
      <c r="C610" s="41" t="inlineStr">
        <is>
          <t>2×2×2×17×29</t>
        </is>
      </c>
      <c r="D610" s="41" t="inlineStr">
        <is>
          <t>2·17</t>
        </is>
      </c>
      <c r="E610" s="41" t="inlineStr"/>
      <c r="F610" s="41" t="inlineStr"/>
    </row>
    <row r="611" ht="13" customHeight="1">
      <c r="A611" s="49" t="inlineStr">
        <is>
          <t>4493</t>
        </is>
      </c>
      <c r="B611" s="49" t="inlineStr">
        <is>
          <t>25494</t>
        </is>
      </c>
      <c r="C611" s="49" t="inlineStr">
        <is>
          <t>2×3×7×607</t>
        </is>
      </c>
      <c r="D611" s="49" t="inlineStr">
        <is>
          <t>2·3·7</t>
        </is>
      </c>
      <c r="E611" s="49" t="inlineStr"/>
      <c r="F611" s="49" t="inlineStr"/>
    </row>
    <row r="612" ht="13" customHeight="1">
      <c r="A612" s="50" t="inlineStr">
        <is>
          <t>4507</t>
        </is>
      </c>
      <c r="B612" s="50" t="inlineStr">
        <is>
          <t>34501</t>
        </is>
      </c>
      <c r="C612" s="50" t="inlineStr">
        <is>
          <t>34501</t>
        </is>
      </c>
      <c r="D612" s="50" t="inlineStr">
        <is>
          <t>—</t>
        </is>
      </c>
      <c r="E612" s="50" t="inlineStr"/>
      <c r="F612" s="50" t="inlineStr"/>
    </row>
    <row r="613" ht="13" customHeight="1">
      <c r="A613" s="49" t="inlineStr">
        <is>
          <t>4513</t>
        </is>
      </c>
      <c r="B613" s="49" t="inlineStr">
        <is>
          <t>39087</t>
        </is>
      </c>
      <c r="C613" s="49" t="inlineStr">
        <is>
          <t>3×3×43×101</t>
        </is>
      </c>
      <c r="D613" s="49" t="inlineStr">
        <is>
          <t>3</t>
        </is>
      </c>
      <c r="E613" s="49" t="inlineStr"/>
      <c r="F613" s="49" t="inlineStr"/>
    </row>
    <row r="614" ht="13" customHeight="1">
      <c r="A614" s="45" t="inlineStr">
        <is>
          <t>4517</t>
        </is>
      </c>
      <c r="B614" s="45" t="inlineStr">
        <is>
          <t>19670</t>
        </is>
      </c>
      <c r="C614" s="45" t="inlineStr">
        <is>
          <t>2×5×7×281</t>
        </is>
      </c>
      <c r="D614" s="45" t="inlineStr">
        <is>
          <t>2·5·7</t>
        </is>
      </c>
      <c r="E614" s="45" t="inlineStr"/>
      <c r="F614" s="45" t="inlineStr"/>
    </row>
    <row r="615" ht="13" customHeight="1">
      <c r="A615" s="49" t="inlineStr">
        <is>
          <t>4519</t>
        </is>
      </c>
      <c r="B615" s="49" t="inlineStr">
        <is>
          <t>41790</t>
        </is>
      </c>
      <c r="C615" s="49" t="inlineStr">
        <is>
          <t>2×3×5×7×199</t>
        </is>
      </c>
      <c r="D615" s="49" t="inlineStr">
        <is>
          <t>2·3·5·7</t>
        </is>
      </c>
      <c r="E615" s="49" t="inlineStr"/>
      <c r="F615" s="49" t="inlineStr"/>
    </row>
    <row r="616" ht="13" customHeight="1">
      <c r="A616" s="41" t="inlineStr">
        <is>
          <t>4523</t>
        </is>
      </c>
      <c r="B616" s="41" t="inlineStr">
        <is>
          <t>33082</t>
        </is>
      </c>
      <c r="C616" s="41" t="inlineStr">
        <is>
          <t>2×7×17×139</t>
        </is>
      </c>
      <c r="D616" s="41" t="inlineStr">
        <is>
          <t>2·7·17</t>
        </is>
      </c>
      <c r="E616" s="41" t="inlineStr"/>
      <c r="F616" s="41" t="inlineStr"/>
    </row>
    <row r="617" ht="13" customHeight="1">
      <c r="A617" s="49" t="inlineStr">
        <is>
          <t>4547</t>
        </is>
      </c>
      <c r="B617" s="49" t="inlineStr">
        <is>
          <t>36555</t>
        </is>
      </c>
      <c r="C617" s="49" t="inlineStr">
        <is>
          <t>3×5×2437</t>
        </is>
      </c>
      <c r="D617" s="49" t="inlineStr">
        <is>
          <t>3·5</t>
        </is>
      </c>
      <c r="E617" s="49" t="inlineStr"/>
      <c r="F617" s="49" t="inlineStr"/>
    </row>
    <row r="618" ht="13" customHeight="1">
      <c r="A618" s="45" t="inlineStr">
        <is>
          <t>4549</t>
        </is>
      </c>
      <c r="B618" s="45" t="inlineStr">
        <is>
          <t>35352</t>
        </is>
      </c>
      <c r="C618" s="45" t="inlineStr">
        <is>
          <t>2×2×2×3×3×491</t>
        </is>
      </c>
      <c r="D618" s="45" t="inlineStr">
        <is>
          <t>2·3</t>
        </is>
      </c>
      <c r="E618" s="45" t="inlineStr"/>
      <c r="F618" s="45" t="inlineStr"/>
    </row>
    <row r="619" ht="13" customHeight="1">
      <c r="A619" s="41" t="inlineStr">
        <is>
          <t>4561</t>
        </is>
      </c>
      <c r="B619" s="41" t="inlineStr">
        <is>
          <t>14467</t>
        </is>
      </c>
      <c r="C619" s="41" t="inlineStr">
        <is>
          <t>17×23×37</t>
        </is>
      </c>
      <c r="D619" s="41" t="inlineStr">
        <is>
          <t>17</t>
        </is>
      </c>
      <c r="E619" s="41" t="inlineStr"/>
      <c r="F619" s="41" t="inlineStr"/>
    </row>
    <row r="620" ht="13" customHeight="1">
      <c r="A620" s="43" t="inlineStr">
        <is>
          <t>4567</t>
        </is>
      </c>
      <c r="B620" s="43" t="inlineStr">
        <is>
          <t>5918</t>
        </is>
      </c>
      <c r="C620" s="43" t="inlineStr">
        <is>
          <t>2×11×269</t>
        </is>
      </c>
      <c r="D620" s="43" t="inlineStr">
        <is>
          <t>2·11</t>
        </is>
      </c>
      <c r="E620" s="43" t="inlineStr"/>
      <c r="F620" s="43" t="inlineStr"/>
    </row>
    <row r="621" ht="13" customHeight="1">
      <c r="A621" s="43" t="inlineStr">
        <is>
          <t>4583</t>
        </is>
      </c>
      <c r="B621" s="43" t="inlineStr">
        <is>
          <t>11715</t>
        </is>
      </c>
      <c r="C621" s="43" t="inlineStr">
        <is>
          <t>3×5×11×71</t>
        </is>
      </c>
      <c r="D621" s="43" t="inlineStr">
        <is>
          <t>3·5·11</t>
        </is>
      </c>
      <c r="E621" s="43" t="inlineStr"/>
      <c r="F621" s="43" t="inlineStr"/>
    </row>
    <row r="622" ht="13" customHeight="1">
      <c r="A622" s="41" t="inlineStr">
        <is>
          <t>4591</t>
        </is>
      </c>
      <c r="B622" s="41" t="inlineStr">
        <is>
          <t>11424</t>
        </is>
      </c>
      <c r="C622" s="41" t="inlineStr">
        <is>
          <t>2×2×2×2×2×3×7×17</t>
        </is>
      </c>
      <c r="D622" s="41" t="inlineStr">
        <is>
          <t>2·3·7·17</t>
        </is>
      </c>
      <c r="E622" s="41" t="inlineStr"/>
      <c r="F622" s="41" t="inlineStr"/>
    </row>
    <row r="623" ht="13" customHeight="1">
      <c r="A623" s="49" t="inlineStr">
        <is>
          <t>4597</t>
        </is>
      </c>
      <c r="B623" s="49" t="inlineStr">
        <is>
          <t>40112</t>
        </is>
      </c>
      <c r="C623" s="49" t="inlineStr">
        <is>
          <t>2×2×2×2×23×109</t>
        </is>
      </c>
      <c r="D623" s="49" t="inlineStr">
        <is>
          <t>2</t>
        </is>
      </c>
      <c r="E623" s="49" t="inlineStr"/>
      <c r="F623" s="49" t="inlineStr"/>
    </row>
    <row r="624" ht="13" customHeight="1">
      <c r="A624" s="41" t="inlineStr">
        <is>
          <t>4603</t>
        </is>
      </c>
      <c r="B624" s="41" t="inlineStr">
        <is>
          <t>14280</t>
        </is>
      </c>
      <c r="C624" s="41" t="inlineStr">
        <is>
          <t>2×2×2×3×5×7×17</t>
        </is>
      </c>
      <c r="D624" s="41" t="inlineStr">
        <is>
          <t>2·3·5·7·17</t>
        </is>
      </c>
      <c r="E624" s="41" t="inlineStr"/>
      <c r="F624" s="41" t="inlineStr"/>
    </row>
    <row r="625" ht="13" customHeight="1">
      <c r="A625" s="49" t="inlineStr">
        <is>
          <t>4621</t>
        </is>
      </c>
      <c r="B625" s="49" t="inlineStr">
        <is>
          <t>29870</t>
        </is>
      </c>
      <c r="C625" s="49" t="inlineStr">
        <is>
          <t>2×5×29×103</t>
        </is>
      </c>
      <c r="D625" s="49" t="inlineStr">
        <is>
          <t>2·5</t>
        </is>
      </c>
      <c r="E625" s="49" t="inlineStr"/>
      <c r="F625" s="49" t="inlineStr"/>
    </row>
    <row r="626" ht="13" customHeight="1">
      <c r="A626" s="41" t="inlineStr">
        <is>
          <t>4637</t>
        </is>
      </c>
      <c r="B626" s="41" t="inlineStr">
        <is>
          <t>21840</t>
        </is>
      </c>
      <c r="C626" s="41" t="inlineStr">
        <is>
          <t>2×2×2×2×3×5×7×13</t>
        </is>
      </c>
      <c r="D626" s="41" t="inlineStr">
        <is>
          <t>2·3·5·7·13</t>
        </is>
      </c>
      <c r="E626" s="41" t="inlineStr"/>
      <c r="F626" s="41" t="inlineStr"/>
    </row>
    <row r="627" ht="13" customHeight="1">
      <c r="A627" s="49" t="inlineStr">
        <is>
          <t>4639</t>
        </is>
      </c>
      <c r="B627" s="49" t="inlineStr">
        <is>
          <t>42849</t>
        </is>
      </c>
      <c r="C627" s="49" t="inlineStr">
        <is>
          <t>3×3×3×3×23×23</t>
        </is>
      </c>
      <c r="D627" s="49" t="inlineStr">
        <is>
          <t>3</t>
        </is>
      </c>
      <c r="E627" s="49" t="inlineStr"/>
      <c r="F627" s="49" t="inlineStr"/>
    </row>
    <row r="628" ht="13" customHeight="1">
      <c r="A628" s="50" t="inlineStr">
        <is>
          <t>4643</t>
        </is>
      </c>
      <c r="B628" s="50" t="inlineStr">
        <is>
          <t>4357</t>
        </is>
      </c>
      <c r="C628" s="50" t="inlineStr">
        <is>
          <t>4357</t>
        </is>
      </c>
      <c r="D628" s="50" t="inlineStr">
        <is>
          <t>—</t>
        </is>
      </c>
      <c r="E628" s="50" t="inlineStr"/>
      <c r="F628" s="50" t="inlineStr"/>
    </row>
    <row r="629" ht="13" customHeight="1">
      <c r="A629" s="43" t="inlineStr">
        <is>
          <t>4649</t>
        </is>
      </c>
      <c r="B629" s="43" t="inlineStr">
        <is>
          <t>660</t>
        </is>
      </c>
      <c r="C629" s="43" t="inlineStr">
        <is>
          <t>2×2×3×5×11</t>
        </is>
      </c>
      <c r="D629" s="43" t="inlineStr">
        <is>
          <t>2·3·5·11</t>
        </is>
      </c>
      <c r="E629" s="43" t="inlineStr"/>
      <c r="F629" s="43" t="inlineStr"/>
    </row>
    <row r="630" ht="13" customHeight="1">
      <c r="A630" s="41" t="inlineStr">
        <is>
          <t>4651</t>
        </is>
      </c>
      <c r="B630" s="41" t="inlineStr">
        <is>
          <t>2860</t>
        </is>
      </c>
      <c r="C630" s="41" t="inlineStr">
        <is>
          <t>2×2×5×11×13</t>
        </is>
      </c>
      <c r="D630" s="41" t="inlineStr">
        <is>
          <t>2·5·11·13</t>
        </is>
      </c>
      <c r="E630" s="41" t="inlineStr"/>
      <c r="F630" s="41" t="inlineStr"/>
    </row>
    <row r="631" ht="13" customHeight="1">
      <c r="A631" s="49" t="inlineStr">
        <is>
          <t>4657</t>
        </is>
      </c>
      <c r="B631" s="49" t="inlineStr">
        <is>
          <t>31077</t>
        </is>
      </c>
      <c r="C631" s="49" t="inlineStr">
        <is>
          <t>3×3×3×1151</t>
        </is>
      </c>
      <c r="D631" s="49" t="inlineStr">
        <is>
          <t>3</t>
        </is>
      </c>
      <c r="E631" s="49" t="inlineStr"/>
      <c r="F631" s="49" t="inlineStr"/>
    </row>
    <row r="632" ht="13" customHeight="1">
      <c r="A632" s="45" t="inlineStr">
        <is>
          <t>4663</t>
        </is>
      </c>
      <c r="B632" s="45" t="inlineStr">
        <is>
          <t>35333</t>
        </is>
      </c>
      <c r="C632" s="45" t="inlineStr">
        <is>
          <t>89×397</t>
        </is>
      </c>
      <c r="D632" s="45" t="inlineStr">
        <is>
          <t>—</t>
        </is>
      </c>
      <c r="E632" s="45" t="inlineStr"/>
      <c r="F632" s="45" t="inlineStr"/>
    </row>
    <row r="633" ht="13" customHeight="1">
      <c r="A633" s="49" t="inlineStr">
        <is>
          <t>4673</t>
        </is>
      </c>
      <c r="B633" s="49" t="inlineStr">
        <is>
          <t>7461</t>
        </is>
      </c>
      <c r="C633" s="49" t="inlineStr">
        <is>
          <t>3×3×829</t>
        </is>
      </c>
      <c r="D633" s="49" t="inlineStr">
        <is>
          <t>3</t>
        </is>
      </c>
      <c r="E633" s="49" t="inlineStr"/>
      <c r="F633" s="49" t="inlineStr"/>
    </row>
    <row r="634" ht="13" customHeight="1">
      <c r="A634" s="45" t="inlineStr">
        <is>
          <t>4679</t>
        </is>
      </c>
      <c r="B634" s="45" t="inlineStr">
        <is>
          <t>24386</t>
        </is>
      </c>
      <c r="C634" s="45" t="inlineStr">
        <is>
          <t>2×89×137</t>
        </is>
      </c>
      <c r="D634" s="45" t="inlineStr">
        <is>
          <t>2</t>
        </is>
      </c>
      <c r="E634" s="45" t="inlineStr"/>
      <c r="F634" s="45" t="inlineStr"/>
    </row>
    <row r="635" ht="13" customHeight="1">
      <c r="A635" s="41" t="inlineStr">
        <is>
          <t>4691</t>
        </is>
      </c>
      <c r="B635" s="41" t="inlineStr">
        <is>
          <t>43248</t>
        </is>
      </c>
      <c r="C635" s="41" t="inlineStr">
        <is>
          <t>2×2×2×2×3×17×53</t>
        </is>
      </c>
      <c r="D635" s="41" t="inlineStr">
        <is>
          <t>2·3·17</t>
        </is>
      </c>
      <c r="E635" s="41" t="inlineStr"/>
      <c r="F635" s="41" t="inlineStr"/>
    </row>
    <row r="636" ht="13" customHeight="1">
      <c r="A636" s="41" t="inlineStr">
        <is>
          <t>4703</t>
        </is>
      </c>
      <c r="B636" s="41" t="inlineStr">
        <is>
          <t>5270</t>
        </is>
      </c>
      <c r="C636" s="41" t="inlineStr">
        <is>
          <t>2×5×17×31</t>
        </is>
      </c>
      <c r="D636" s="41" t="inlineStr">
        <is>
          <t>2·5·17</t>
        </is>
      </c>
      <c r="E636" s="41" t="inlineStr"/>
      <c r="F636" s="41" t="inlineStr"/>
    </row>
    <row r="637" ht="13" customHeight="1">
      <c r="A637" s="49" t="inlineStr">
        <is>
          <t>4721</t>
        </is>
      </c>
      <c r="B637" s="49" t="inlineStr">
        <is>
          <t>37834</t>
        </is>
      </c>
      <c r="C637" s="49" t="inlineStr">
        <is>
          <t>2×18917</t>
        </is>
      </c>
      <c r="D637" s="49" t="inlineStr">
        <is>
          <t>2</t>
        </is>
      </c>
      <c r="E637" s="49" t="inlineStr"/>
      <c r="F637" s="49" t="inlineStr"/>
    </row>
    <row r="638" ht="13" customHeight="1">
      <c r="A638" s="43" t="inlineStr">
        <is>
          <t>4723</t>
        </is>
      </c>
      <c r="B638" s="43" t="inlineStr">
        <is>
          <t>37576</t>
        </is>
      </c>
      <c r="C638" s="43" t="inlineStr">
        <is>
          <t>2×2×2×7×11×61</t>
        </is>
      </c>
      <c r="D638" s="43" t="inlineStr">
        <is>
          <t>2·7·11</t>
        </is>
      </c>
      <c r="E638" s="43" t="inlineStr"/>
      <c r="F638" s="43" t="inlineStr"/>
    </row>
    <row r="639" ht="13" customHeight="1">
      <c r="A639" s="49" t="inlineStr">
        <is>
          <t>4729</t>
        </is>
      </c>
      <c r="B639" s="49" t="inlineStr">
        <is>
          <t>26476</t>
        </is>
      </c>
      <c r="C639" s="49" t="inlineStr">
        <is>
          <t>2×2×6619</t>
        </is>
      </c>
      <c r="D639" s="49" t="inlineStr">
        <is>
          <t>2</t>
        </is>
      </c>
      <c r="E639" s="49" t="inlineStr"/>
      <c r="F639" s="49" t="inlineStr"/>
    </row>
    <row r="640" ht="13" customHeight="1">
      <c r="A640" s="41" t="inlineStr">
        <is>
          <t>4733</t>
        </is>
      </c>
      <c r="B640" s="41" t="inlineStr">
        <is>
          <t>26979</t>
        </is>
      </c>
      <c r="C640" s="41" t="inlineStr">
        <is>
          <t>3×17×23×23</t>
        </is>
      </c>
      <c r="D640" s="41" t="inlineStr">
        <is>
          <t>3·17</t>
        </is>
      </c>
      <c r="E640" s="41" t="inlineStr"/>
      <c r="F640" s="41" t="inlineStr"/>
    </row>
    <row r="641" ht="13" customHeight="1">
      <c r="A641" s="50" t="inlineStr">
        <is>
          <t>4751</t>
        </is>
      </c>
      <c r="B641" s="50" t="inlineStr">
        <is>
          <t>439</t>
        </is>
      </c>
      <c r="C641" s="50" t="inlineStr">
        <is>
          <t>439</t>
        </is>
      </c>
      <c r="D641" s="50" t="inlineStr">
        <is>
          <t>—</t>
        </is>
      </c>
      <c r="E641" s="50" t="inlineStr"/>
      <c r="F641" s="50" t="inlineStr"/>
    </row>
    <row r="642" ht="13" customHeight="1">
      <c r="A642" s="45" t="inlineStr">
        <is>
          <t>4759</t>
        </is>
      </c>
      <c r="B642" s="45" t="inlineStr">
        <is>
          <t>38667</t>
        </is>
      </c>
      <c r="C642" s="45" t="inlineStr">
        <is>
          <t>3×12889</t>
        </is>
      </c>
      <c r="D642" s="45" t="inlineStr">
        <is>
          <t>3</t>
        </is>
      </c>
      <c r="E642" s="45" t="inlineStr"/>
      <c r="F642" s="45" t="inlineStr"/>
    </row>
    <row r="643" ht="13" customHeight="1">
      <c r="A643" s="49" t="inlineStr">
        <is>
          <t>4783</t>
        </is>
      </c>
      <c r="B643" s="49" t="inlineStr">
        <is>
          <t>791</t>
        </is>
      </c>
      <c r="C643" s="49" t="inlineStr">
        <is>
          <t>7×113</t>
        </is>
      </c>
      <c r="D643" s="49" t="inlineStr">
        <is>
          <t>7</t>
        </is>
      </c>
      <c r="E643" s="49" t="inlineStr"/>
      <c r="F643" s="49" t="inlineStr"/>
    </row>
    <row r="644" ht="13" customHeight="1">
      <c r="A644" s="41" t="inlineStr">
        <is>
          <t>4787</t>
        </is>
      </c>
      <c r="B644" s="41" t="inlineStr">
        <is>
          <t>19643</t>
        </is>
      </c>
      <c r="C644" s="41" t="inlineStr">
        <is>
          <t>13×1511</t>
        </is>
      </c>
      <c r="D644" s="41" t="inlineStr">
        <is>
          <t>13</t>
        </is>
      </c>
      <c r="E644" s="41" t="inlineStr"/>
      <c r="F644" s="41" t="inlineStr"/>
    </row>
    <row r="645" ht="13" customHeight="1">
      <c r="A645" s="50" t="inlineStr">
        <is>
          <t>4789</t>
        </is>
      </c>
      <c r="B645" s="50" t="inlineStr">
        <is>
          <t>29833</t>
        </is>
      </c>
      <c r="C645" s="50" t="inlineStr">
        <is>
          <t>29833</t>
        </is>
      </c>
      <c r="D645" s="50" t="inlineStr">
        <is>
          <t>—</t>
        </is>
      </c>
      <c r="E645" s="50" t="inlineStr"/>
      <c r="F645" s="50" t="inlineStr"/>
    </row>
    <row r="646" ht="13" customHeight="1">
      <c r="A646" s="45" t="inlineStr">
        <is>
          <t>4793</t>
        </is>
      </c>
      <c r="B646" s="45" t="inlineStr">
        <is>
          <t>8473</t>
        </is>
      </c>
      <c r="C646" s="45" t="inlineStr">
        <is>
          <t>37×229</t>
        </is>
      </c>
      <c r="D646" s="45" t="inlineStr">
        <is>
          <t>—</t>
        </is>
      </c>
      <c r="E646" s="45" t="inlineStr"/>
      <c r="F646" s="45" t="inlineStr"/>
    </row>
    <row r="647" ht="13" customHeight="1">
      <c r="A647" s="51" t="inlineStr">
        <is>
          <t>4799</t>
        </is>
      </c>
      <c r="B647" s="51" t="inlineStr">
        <is>
          <t>43510</t>
        </is>
      </c>
      <c r="C647" s="51" t="inlineStr">
        <is>
          <t>2×5×19×229</t>
        </is>
      </c>
      <c r="D647" s="51" t="inlineStr">
        <is>
          <t>2·5·19</t>
        </is>
      </c>
      <c r="E647" s="51" t="inlineStr"/>
      <c r="F647" s="51" t="inlineStr"/>
    </row>
    <row r="648" ht="13" customHeight="1">
      <c r="A648" s="45" t="inlineStr">
        <is>
          <t>4801</t>
        </is>
      </c>
      <c r="B648" s="45" t="inlineStr">
        <is>
          <t>30543</t>
        </is>
      </c>
      <c r="C648" s="45" t="inlineStr">
        <is>
          <t>3×10181</t>
        </is>
      </c>
      <c r="D648" s="45" t="inlineStr">
        <is>
          <t>3</t>
        </is>
      </c>
      <c r="E648" s="45" t="inlineStr"/>
      <c r="F648" s="45" t="inlineStr"/>
    </row>
    <row r="649" ht="13" customHeight="1">
      <c r="A649" s="49" t="inlineStr">
        <is>
          <t>4813</t>
        </is>
      </c>
      <c r="B649" s="49" t="inlineStr">
        <is>
          <t>28185</t>
        </is>
      </c>
      <c r="C649" s="49" t="inlineStr">
        <is>
          <t>3×5×1879</t>
        </is>
      </c>
      <c r="D649" s="49" t="inlineStr">
        <is>
          <t>3·5</t>
        </is>
      </c>
      <c r="E649" s="49" t="inlineStr"/>
      <c r="F649" s="49" t="inlineStr"/>
    </row>
    <row r="650" ht="13" customHeight="1">
      <c r="A650" s="41" t="inlineStr">
        <is>
          <t>4817</t>
        </is>
      </c>
      <c r="B650" s="41" t="inlineStr">
        <is>
          <t>18190</t>
        </is>
      </c>
      <c r="C650" s="41" t="inlineStr">
        <is>
          <t>2×5×17×107</t>
        </is>
      </c>
      <c r="D650" s="41" t="inlineStr">
        <is>
          <t>2·5·17</t>
        </is>
      </c>
      <c r="E650" s="41" t="inlineStr"/>
      <c r="F650" s="41" t="inlineStr"/>
    </row>
    <row r="651" ht="13" customHeight="1">
      <c r="A651" s="49" t="inlineStr">
        <is>
          <t>4831</t>
        </is>
      </c>
      <c r="B651" s="49" t="inlineStr">
        <is>
          <t>20450</t>
        </is>
      </c>
      <c r="C651" s="49" t="inlineStr">
        <is>
          <t>2×5×5×409</t>
        </is>
      </c>
      <c r="D651" s="49" t="inlineStr">
        <is>
          <t>2·5</t>
        </is>
      </c>
      <c r="E651" s="49" t="inlineStr"/>
      <c r="F651" s="49" t="inlineStr"/>
    </row>
    <row r="652" ht="13" customHeight="1">
      <c r="A652" s="45" t="inlineStr">
        <is>
          <t>4861</t>
        </is>
      </c>
      <c r="B652" s="45" t="inlineStr">
        <is>
          <t>698</t>
        </is>
      </c>
      <c r="C652" s="45" t="inlineStr">
        <is>
          <t>2×349</t>
        </is>
      </c>
      <c r="D652" s="45" t="inlineStr">
        <is>
          <t>2</t>
        </is>
      </c>
      <c r="E652" s="45" t="inlineStr"/>
      <c r="F652" s="45" t="inlineStr"/>
    </row>
    <row r="653" ht="13" customHeight="1">
      <c r="A653" s="41" t="inlineStr">
        <is>
          <t>4871</t>
        </is>
      </c>
      <c r="B653" s="41" t="inlineStr">
        <is>
          <t>21151</t>
        </is>
      </c>
      <c r="C653" s="41" t="inlineStr">
        <is>
          <t>13×1627</t>
        </is>
      </c>
      <c r="D653" s="41" t="inlineStr">
        <is>
          <t>13</t>
        </is>
      </c>
      <c r="E653" s="41" t="inlineStr"/>
      <c r="F653" s="41" t="inlineStr"/>
    </row>
    <row r="654" ht="13" customHeight="1">
      <c r="A654" s="51" t="inlineStr">
        <is>
          <t>4877</t>
        </is>
      </c>
      <c r="B654" s="51" t="inlineStr">
        <is>
          <t>31483</t>
        </is>
      </c>
      <c r="C654" s="51" t="inlineStr">
        <is>
          <t>19×1657</t>
        </is>
      </c>
      <c r="D654" s="51" t="inlineStr">
        <is>
          <t>19</t>
        </is>
      </c>
      <c r="E654" s="51" t="inlineStr"/>
      <c r="F654" s="51" t="inlineStr"/>
    </row>
    <row r="655" ht="13" customHeight="1">
      <c r="A655" s="49" t="inlineStr">
        <is>
          <t>4889</t>
        </is>
      </c>
      <c r="B655" s="49" t="inlineStr">
        <is>
          <t>31662</t>
        </is>
      </c>
      <c r="C655" s="49" t="inlineStr">
        <is>
          <t>2×3×3×1759</t>
        </is>
      </c>
      <c r="D655" s="49" t="inlineStr">
        <is>
          <t>2·3</t>
        </is>
      </c>
      <c r="E655" s="49" t="inlineStr"/>
      <c r="F655" s="49" t="inlineStr"/>
    </row>
    <row r="656" ht="13" customHeight="1">
      <c r="A656" s="45" t="inlineStr">
        <is>
          <t>4903</t>
        </is>
      </c>
      <c r="B656" s="45" t="inlineStr">
        <is>
          <t>35466</t>
        </is>
      </c>
      <c r="C656" s="45" t="inlineStr">
        <is>
          <t>2×3×23×257</t>
        </is>
      </c>
      <c r="D656" s="45" t="inlineStr">
        <is>
          <t>2·3</t>
        </is>
      </c>
      <c r="E656" s="45" t="inlineStr"/>
      <c r="F656" s="45" t="inlineStr"/>
    </row>
    <row r="657" ht="13" customHeight="1">
      <c r="A657" s="49" t="inlineStr">
        <is>
          <t>4909</t>
        </is>
      </c>
      <c r="B657" s="49" t="inlineStr">
        <is>
          <t>33058</t>
        </is>
      </c>
      <c r="C657" s="49" t="inlineStr">
        <is>
          <t>2×16529</t>
        </is>
      </c>
      <c r="D657" s="49" t="inlineStr">
        <is>
          <t>2</t>
        </is>
      </c>
      <c r="E657" s="49" t="inlineStr"/>
      <c r="F657" s="49" t="inlineStr"/>
    </row>
    <row r="658" ht="13" customHeight="1">
      <c r="A658" s="43" t="inlineStr">
        <is>
          <t>4919</t>
        </is>
      </c>
      <c r="B658" s="43" t="inlineStr">
        <is>
          <t>42955</t>
        </is>
      </c>
      <c r="C658" s="43" t="inlineStr">
        <is>
          <t>5×11×11×71</t>
        </is>
      </c>
      <c r="D658" s="43" t="inlineStr">
        <is>
          <t>5·11</t>
        </is>
      </c>
      <c r="E658" s="43" t="inlineStr"/>
      <c r="F658" s="43" t="inlineStr"/>
    </row>
    <row r="659" ht="13" customHeight="1">
      <c r="A659" s="41" t="inlineStr">
        <is>
          <t>4931</t>
        </is>
      </c>
      <c r="B659" s="41" t="inlineStr">
        <is>
          <t>4550</t>
        </is>
      </c>
      <c r="C659" s="41" t="inlineStr">
        <is>
          <t>2×5×5×7×13</t>
        </is>
      </c>
      <c r="D659" s="41" t="inlineStr">
        <is>
          <t>2·5·7·13</t>
        </is>
      </c>
      <c r="E659" s="41" t="inlineStr"/>
      <c r="F659" s="41" t="inlineStr"/>
    </row>
    <row r="660" ht="13" customHeight="1">
      <c r="A660" s="43" t="inlineStr">
        <is>
          <t>4933</t>
        </is>
      </c>
      <c r="B660" s="43" t="inlineStr">
        <is>
          <t>29942</t>
        </is>
      </c>
      <c r="C660" s="43" t="inlineStr">
        <is>
          <t>2×11×1361</t>
        </is>
      </c>
      <c r="D660" s="43" t="inlineStr">
        <is>
          <t>2·11</t>
        </is>
      </c>
      <c r="E660" s="43" t="inlineStr"/>
      <c r="F660" s="43" t="inlineStr"/>
    </row>
    <row r="661" ht="13" customHeight="1">
      <c r="A661" s="49" t="inlineStr">
        <is>
          <t>4937</t>
        </is>
      </c>
      <c r="B661" s="49" t="inlineStr">
        <is>
          <t>17405</t>
        </is>
      </c>
      <c r="C661" s="49" t="inlineStr">
        <is>
          <t>5×59×59</t>
        </is>
      </c>
      <c r="D661" s="49" t="inlineStr">
        <is>
          <t>5</t>
        </is>
      </c>
      <c r="E661" s="49" t="inlineStr"/>
      <c r="F661" s="49" t="inlineStr"/>
    </row>
    <row r="662" ht="13" customHeight="1">
      <c r="A662" s="45" t="inlineStr">
        <is>
          <t>4943</t>
        </is>
      </c>
      <c r="B662" s="45" t="inlineStr">
        <is>
          <t>33272</t>
        </is>
      </c>
      <c r="C662" s="45" t="inlineStr">
        <is>
          <t>2×2×2×4159</t>
        </is>
      </c>
      <c r="D662" s="45" t="inlineStr">
        <is>
          <t>2</t>
        </is>
      </c>
      <c r="E662" s="45" t="inlineStr"/>
      <c r="F662" s="45" t="inlineStr"/>
    </row>
    <row r="663" ht="13" customHeight="1">
      <c r="A663" s="49" t="inlineStr">
        <is>
          <t>4951</t>
        </is>
      </c>
      <c r="B663" s="49" t="inlineStr">
        <is>
          <t>13703</t>
        </is>
      </c>
      <c r="C663" s="49" t="inlineStr">
        <is>
          <t>71×193</t>
        </is>
      </c>
      <c r="D663" s="49" t="inlineStr">
        <is>
          <t>—</t>
        </is>
      </c>
      <c r="E663" s="49" t="inlineStr"/>
      <c r="F663" s="49" t="inlineStr"/>
    </row>
    <row r="664" ht="13" customHeight="1">
      <c r="A664" s="45" t="inlineStr">
        <is>
          <t>4957</t>
        </is>
      </c>
      <c r="B664" s="45" t="inlineStr">
        <is>
          <t>25921</t>
        </is>
      </c>
      <c r="C664" s="45" t="inlineStr">
        <is>
          <t>7×7×23×23</t>
        </is>
      </c>
      <c r="D664" s="45" t="inlineStr">
        <is>
          <t>7</t>
        </is>
      </c>
      <c r="E664" s="45" t="inlineStr"/>
      <c r="F664" s="45" t="inlineStr"/>
    </row>
    <row r="665" ht="13" customHeight="1">
      <c r="A665" s="49" t="inlineStr">
        <is>
          <t>4967</t>
        </is>
      </c>
      <c r="B665" s="49" t="inlineStr">
        <is>
          <t>30946</t>
        </is>
      </c>
      <c r="C665" s="49" t="inlineStr">
        <is>
          <t>2×15473</t>
        </is>
      </c>
      <c r="D665" s="49" t="inlineStr">
        <is>
          <t>2</t>
        </is>
      </c>
      <c r="E665" s="49" t="inlineStr"/>
      <c r="F665" s="49" t="inlineStr"/>
    </row>
    <row r="666" ht="13" customHeight="1">
      <c r="A666" s="41" t="inlineStr">
        <is>
          <t>4969</t>
        </is>
      </c>
      <c r="B666" s="41" t="inlineStr">
        <is>
          <t>2535</t>
        </is>
      </c>
      <c r="C666" s="41" t="inlineStr">
        <is>
          <t>3×5×13×13</t>
        </is>
      </c>
      <c r="D666" s="41" t="inlineStr">
        <is>
          <t>3·5·13</t>
        </is>
      </c>
      <c r="E666" s="41" t="inlineStr"/>
      <c r="F666" s="41" t="inlineStr"/>
    </row>
    <row r="667" ht="13" customHeight="1">
      <c r="A667" s="49" t="inlineStr">
        <is>
          <t>4973</t>
        </is>
      </c>
      <c r="B667" s="49" t="inlineStr">
        <is>
          <t>43635</t>
        </is>
      </c>
      <c r="C667" s="49" t="inlineStr">
        <is>
          <t>3×5×2909</t>
        </is>
      </c>
      <c r="D667" s="49" t="inlineStr">
        <is>
          <t>3·5</t>
        </is>
      </c>
      <c r="E667" s="49" t="inlineStr"/>
      <c r="F667" s="49" t="inlineStr"/>
    </row>
    <row r="668" ht="13" customHeight="1">
      <c r="A668" s="50" t="inlineStr">
        <is>
          <t>4987</t>
        </is>
      </c>
      <c r="B668" s="50" t="inlineStr">
        <is>
          <t>29347</t>
        </is>
      </c>
      <c r="C668" s="50" t="inlineStr">
        <is>
          <t>29347</t>
        </is>
      </c>
      <c r="D668" s="50" t="inlineStr">
        <is>
          <t>—</t>
        </is>
      </c>
      <c r="E668" s="50" t="inlineStr"/>
      <c r="F668" s="50" t="inlineStr"/>
    </row>
    <row r="669" ht="13" customHeight="1">
      <c r="A669" s="41" t="inlineStr">
        <is>
          <t>4993</t>
        </is>
      </c>
      <c r="B669" s="41" t="inlineStr">
        <is>
          <t>1037</t>
        </is>
      </c>
      <c r="C669" s="41" t="inlineStr">
        <is>
          <t>17×61</t>
        </is>
      </c>
      <c r="D669" s="41" t="inlineStr">
        <is>
          <t>17</t>
        </is>
      </c>
      <c r="E669" s="41" t="inlineStr"/>
      <c r="F669" s="41" t="inlineStr"/>
    </row>
    <row r="670" ht="13" customHeight="1">
      <c r="A670" s="39" t="inlineStr">
        <is>
          <t>4999</t>
        </is>
      </c>
      <c r="B670" s="39" t="inlineStr">
        <is>
          <t>2025</t>
        </is>
      </c>
      <c r="C670" s="39" t="inlineStr">
        <is>
          <t>3×3×3×3×5×5</t>
        </is>
      </c>
      <c r="D670" s="39" t="inlineStr">
        <is>
          <t>3·5</t>
        </is>
      </c>
      <c r="E670" s="39" t="inlineStr"/>
      <c r="F670" s="39" t="inlineStr"/>
    </row>
    <row r="671" ht="13" customHeight="1">
      <c r="A671" s="49" t="inlineStr">
        <is>
          <t>5003</t>
        </is>
      </c>
      <c r="B671" s="49" t="inlineStr">
        <is>
          <t>29318</t>
        </is>
      </c>
      <c r="C671" s="49" t="inlineStr">
        <is>
          <t>2×107×137</t>
        </is>
      </c>
      <c r="D671" s="49" t="inlineStr">
        <is>
          <t>2</t>
        </is>
      </c>
      <c r="E671" s="49" t="inlineStr"/>
      <c r="F671" s="49" t="inlineStr"/>
    </row>
    <row r="672" ht="13" customHeight="1">
      <c r="A672" s="45" t="inlineStr">
        <is>
          <t>5009</t>
        </is>
      </c>
      <c r="B672" s="45" t="inlineStr">
        <is>
          <t>34401</t>
        </is>
      </c>
      <c r="C672" s="45" t="inlineStr">
        <is>
          <t>3×11467</t>
        </is>
      </c>
      <c r="D672" s="45" t="inlineStr">
        <is>
          <t>3</t>
        </is>
      </c>
      <c r="E672" s="45" t="inlineStr"/>
      <c r="F672" s="45" t="inlineStr"/>
    </row>
    <row r="673" ht="13" customHeight="1">
      <c r="A673" s="49" t="inlineStr">
        <is>
          <t>5011</t>
        </is>
      </c>
      <c r="B673" s="49" t="inlineStr">
        <is>
          <t>30473</t>
        </is>
      </c>
      <c r="C673" s="49" t="inlineStr">
        <is>
          <t>31×983</t>
        </is>
      </c>
      <c r="D673" s="49" t="inlineStr">
        <is>
          <t>—</t>
        </is>
      </c>
      <c r="E673" s="49" t="inlineStr"/>
      <c r="F673" s="49" t="inlineStr"/>
    </row>
    <row r="674" ht="13" customHeight="1">
      <c r="A674" s="45" t="inlineStr">
        <is>
          <t>5021</t>
        </is>
      </c>
      <c r="B674" s="45" t="inlineStr">
        <is>
          <t>21392</t>
        </is>
      </c>
      <c r="C674" s="45" t="inlineStr">
        <is>
          <t>2×2×2×2×7×191</t>
        </is>
      </c>
      <c r="D674" s="45" t="inlineStr">
        <is>
          <t>2·7</t>
        </is>
      </c>
      <c r="E674" s="45" t="inlineStr"/>
      <c r="F674" s="45" t="inlineStr"/>
    </row>
    <row r="675" ht="13" customHeight="1">
      <c r="A675" s="51" t="inlineStr">
        <is>
          <t>5023</t>
        </is>
      </c>
      <c r="B675" s="51" t="inlineStr">
        <is>
          <t>16359</t>
        </is>
      </c>
      <c r="C675" s="51" t="inlineStr">
        <is>
          <t>3×7×19×41</t>
        </is>
      </c>
      <c r="D675" s="51" t="inlineStr">
        <is>
          <t>3·7·19</t>
        </is>
      </c>
      <c r="E675" s="51" t="inlineStr"/>
      <c r="F675" s="51" t="inlineStr"/>
    </row>
    <row r="676" ht="13" customHeight="1">
      <c r="A676" s="45" t="inlineStr">
        <is>
          <t>5039</t>
        </is>
      </c>
      <c r="B676" s="45" t="inlineStr">
        <is>
          <t>24768</t>
        </is>
      </c>
      <c r="C676" s="45" t="inlineStr">
        <is>
          <t>2×2×2×2×2×2×3×3×43</t>
        </is>
      </c>
      <c r="D676" s="45" t="inlineStr">
        <is>
          <t>2·3</t>
        </is>
      </c>
      <c r="E676" s="45" t="inlineStr"/>
      <c r="F676" s="45" t="inlineStr"/>
    </row>
    <row r="677" ht="13" customHeight="1">
      <c r="A677" s="51" t="inlineStr">
        <is>
          <t>5051</t>
        </is>
      </c>
      <c r="B677" s="51" t="inlineStr">
        <is>
          <t>11875</t>
        </is>
      </c>
      <c r="C677" s="51" t="inlineStr">
        <is>
          <t>5×5×5×5×19</t>
        </is>
      </c>
      <c r="D677" s="51" t="inlineStr">
        <is>
          <t>5·19</t>
        </is>
      </c>
      <c r="E677" s="51" t="inlineStr"/>
      <c r="F677" s="51" t="inlineStr"/>
    </row>
    <row r="678" ht="13" customHeight="1">
      <c r="A678" s="45" t="inlineStr">
        <is>
          <t>5059</t>
        </is>
      </c>
      <c r="B678" s="45" t="inlineStr">
        <is>
          <t>15027</t>
        </is>
      </c>
      <c r="C678" s="45" t="inlineStr">
        <is>
          <t>3×5009</t>
        </is>
      </c>
      <c r="D678" s="45" t="inlineStr">
        <is>
          <t>3</t>
        </is>
      </c>
      <c r="E678" s="45" t="inlineStr"/>
      <c r="F678" s="45" t="inlineStr"/>
    </row>
    <row r="679" ht="13" customHeight="1">
      <c r="A679" s="49" t="inlineStr">
        <is>
          <t>5077</t>
        </is>
      </c>
      <c r="B679" s="49" t="inlineStr">
        <is>
          <t>29558</t>
        </is>
      </c>
      <c r="C679" s="49" t="inlineStr">
        <is>
          <t>2×14779</t>
        </is>
      </c>
      <c r="D679" s="49" t="inlineStr">
        <is>
          <t>2</t>
        </is>
      </c>
      <c r="E679" s="49" t="inlineStr"/>
      <c r="F679" s="49" t="inlineStr"/>
    </row>
    <row r="680" ht="13" customHeight="1">
      <c r="A680" s="43" t="inlineStr">
        <is>
          <t>5081</t>
        </is>
      </c>
      <c r="B680" s="43" t="inlineStr">
        <is>
          <t>539</t>
        </is>
      </c>
      <c r="C680" s="43" t="inlineStr">
        <is>
          <t>7×7×11</t>
        </is>
      </c>
      <c r="D680" s="43" t="inlineStr">
        <is>
          <t>7·11</t>
        </is>
      </c>
      <c r="E680" s="43" t="inlineStr"/>
      <c r="F680" s="43" t="inlineStr"/>
    </row>
    <row r="681" ht="13" customHeight="1">
      <c r="A681" s="49" t="inlineStr">
        <is>
          <t>5087</t>
        </is>
      </c>
      <c r="B681" s="49" t="inlineStr">
        <is>
          <t>33090</t>
        </is>
      </c>
      <c r="C681" s="49" t="inlineStr">
        <is>
          <t>2×3×5×1103</t>
        </is>
      </c>
      <c r="D681" s="49" t="inlineStr">
        <is>
          <t>2·3·5</t>
        </is>
      </c>
      <c r="E681" s="49" t="inlineStr"/>
      <c r="F681" s="49" t="inlineStr"/>
    </row>
    <row r="682" ht="13" customHeight="1">
      <c r="A682" s="45" t="inlineStr">
        <is>
          <t>5099</t>
        </is>
      </c>
      <c r="B682" s="45" t="inlineStr">
        <is>
          <t>30352</t>
        </is>
      </c>
      <c r="C682" s="45" t="inlineStr">
        <is>
          <t>2×2×2×2×7×271</t>
        </is>
      </c>
      <c r="D682" s="45" t="inlineStr">
        <is>
          <t>2·7</t>
        </is>
      </c>
      <c r="E682" s="45" t="inlineStr"/>
      <c r="F682" s="45" t="inlineStr"/>
    </row>
    <row r="683" ht="13" customHeight="1">
      <c r="A683" s="41" t="inlineStr">
        <is>
          <t>5101</t>
        </is>
      </c>
      <c r="B683" s="41" t="inlineStr">
        <is>
          <t>12675</t>
        </is>
      </c>
      <c r="C683" s="41" t="inlineStr">
        <is>
          <t>3×5×5×13×13</t>
        </is>
      </c>
      <c r="D683" s="41" t="inlineStr">
        <is>
          <t>3·5·13</t>
        </is>
      </c>
      <c r="E683" s="41" t="inlineStr"/>
      <c r="F683" s="41" t="inlineStr"/>
    </row>
    <row r="684" ht="13" customHeight="1">
      <c r="A684" s="45" t="inlineStr">
        <is>
          <t>5107</t>
        </is>
      </c>
      <c r="B684" s="45" t="inlineStr">
        <is>
          <t>13916</t>
        </is>
      </c>
      <c r="C684" s="45" t="inlineStr">
        <is>
          <t>2×2×7×7×71</t>
        </is>
      </c>
      <c r="D684" s="45" t="inlineStr">
        <is>
          <t>2·7</t>
        </is>
      </c>
      <c r="E684" s="45" t="inlineStr"/>
      <c r="F684" s="45" t="inlineStr"/>
    </row>
    <row r="685" ht="13" customHeight="1">
      <c r="A685" s="49" t="inlineStr">
        <is>
          <t>5113</t>
        </is>
      </c>
      <c r="B685" s="49" t="inlineStr">
        <is>
          <t>13504</t>
        </is>
      </c>
      <c r="C685" s="49" t="inlineStr">
        <is>
          <t>2×2×2×2×2×2×211</t>
        </is>
      </c>
      <c r="D685" s="49" t="inlineStr">
        <is>
          <t>2</t>
        </is>
      </c>
      <c r="E685" s="49" t="inlineStr"/>
      <c r="F685" s="49" t="inlineStr"/>
    </row>
    <row r="686" ht="13" customHeight="1">
      <c r="A686" s="41" t="inlineStr">
        <is>
          <t>5119</t>
        </is>
      </c>
      <c r="B686" s="41" t="inlineStr">
        <is>
          <t>37206</t>
        </is>
      </c>
      <c r="C686" s="41" t="inlineStr">
        <is>
          <t>2×3×3×3×13×53</t>
        </is>
      </c>
      <c r="D686" s="41" t="inlineStr">
        <is>
          <t>2·3·13</t>
        </is>
      </c>
      <c r="E686" s="41" t="inlineStr"/>
      <c r="F686" s="41" t="inlineStr"/>
    </row>
    <row r="687" ht="13" customHeight="1">
      <c r="A687" s="49" t="inlineStr">
        <is>
          <t>5147</t>
        </is>
      </c>
      <c r="B687" s="49" t="inlineStr">
        <is>
          <t>42052</t>
        </is>
      </c>
      <c r="C687" s="49" t="inlineStr">
        <is>
          <t>2×2×10513</t>
        </is>
      </c>
      <c r="D687" s="49" t="inlineStr">
        <is>
          <t>2</t>
        </is>
      </c>
      <c r="E687" s="49" t="inlineStr"/>
      <c r="F687" s="49" t="inlineStr"/>
    </row>
    <row r="688" ht="13" customHeight="1">
      <c r="A688" s="45" t="inlineStr">
        <is>
          <t>5153</t>
        </is>
      </c>
      <c r="B688" s="45" t="inlineStr">
        <is>
          <t>38869</t>
        </is>
      </c>
      <c r="C688" s="45" t="inlineStr">
        <is>
          <t>47×827</t>
        </is>
      </c>
      <c r="D688" s="45" t="inlineStr">
        <is>
          <t>—</t>
        </is>
      </c>
      <c r="E688" s="45" t="inlineStr"/>
      <c r="F688" s="45" t="inlineStr"/>
    </row>
    <row r="689" ht="13" customHeight="1">
      <c r="A689" s="49" t="inlineStr">
        <is>
          <t>5167</t>
        </is>
      </c>
      <c r="B689" s="49" t="inlineStr">
        <is>
          <t>14021</t>
        </is>
      </c>
      <c r="C689" s="49" t="inlineStr">
        <is>
          <t>7×2003</t>
        </is>
      </c>
      <c r="D689" s="49" t="inlineStr">
        <is>
          <t>7</t>
        </is>
      </c>
      <c r="E689" s="49" t="inlineStr"/>
      <c r="F689" s="49" t="inlineStr"/>
    </row>
    <row r="690" ht="13" customHeight="1">
      <c r="A690" s="45" t="inlineStr">
        <is>
          <t>5171</t>
        </is>
      </c>
      <c r="B690" s="45" t="inlineStr">
        <is>
          <t>8995</t>
        </is>
      </c>
      <c r="C690" s="45" t="inlineStr">
        <is>
          <t>5×7×257</t>
        </is>
      </c>
      <c r="D690" s="45" t="inlineStr">
        <is>
          <t>5·7</t>
        </is>
      </c>
      <c r="E690" s="45" t="inlineStr"/>
      <c r="F690" s="45" t="inlineStr"/>
    </row>
    <row r="691" ht="13" customHeight="1">
      <c r="A691" s="49" t="inlineStr">
        <is>
          <t>5179</t>
        </is>
      </c>
      <c r="B691" s="49" t="inlineStr">
        <is>
          <t>35610</t>
        </is>
      </c>
      <c r="C691" s="49" t="inlineStr">
        <is>
          <t>2×3×5×1187</t>
        </is>
      </c>
      <c r="D691" s="49" t="inlineStr">
        <is>
          <t>2·3·5</t>
        </is>
      </c>
      <c r="E691" s="49" t="inlineStr"/>
      <c r="F691" s="49" t="inlineStr"/>
    </row>
    <row r="692" ht="13" customHeight="1">
      <c r="A692" s="45" t="inlineStr">
        <is>
          <t>5189</t>
        </is>
      </c>
      <c r="B692" s="45" t="inlineStr">
        <is>
          <t>37166</t>
        </is>
      </c>
      <c r="C692" s="45" t="inlineStr">
        <is>
          <t>2×18583</t>
        </is>
      </c>
      <c r="D692" s="45" t="inlineStr">
        <is>
          <t>2</t>
        </is>
      </c>
      <c r="E692" s="45" t="inlineStr"/>
      <c r="F692" s="45" t="inlineStr"/>
    </row>
    <row r="693" ht="13" customHeight="1">
      <c r="A693" s="49" t="inlineStr">
        <is>
          <t>5197</t>
        </is>
      </c>
      <c r="B693" s="49" t="inlineStr">
        <is>
          <t>9866</t>
        </is>
      </c>
      <c r="C693" s="49" t="inlineStr">
        <is>
          <t>2×4933</t>
        </is>
      </c>
      <c r="D693" s="49" t="inlineStr">
        <is>
          <t>2</t>
        </is>
      </c>
      <c r="E693" s="49" t="inlineStr"/>
      <c r="F693" s="49" t="inlineStr"/>
    </row>
    <row r="694" ht="13" customHeight="1">
      <c r="A694" s="45" t="inlineStr">
        <is>
          <t>5209</t>
        </is>
      </c>
      <c r="B694" s="45" t="inlineStr">
        <is>
          <t>19317</t>
        </is>
      </c>
      <c r="C694" s="45" t="inlineStr">
        <is>
          <t>3×47×137</t>
        </is>
      </c>
      <c r="D694" s="45" t="inlineStr">
        <is>
          <t>3</t>
        </is>
      </c>
      <c r="E694" s="45" t="inlineStr"/>
      <c r="F694" s="45" t="inlineStr"/>
    </row>
    <row r="695" ht="13" customHeight="1">
      <c r="A695" s="43" t="inlineStr">
        <is>
          <t>5227</t>
        </is>
      </c>
      <c r="B695" s="43" t="inlineStr">
        <is>
          <t>12980</t>
        </is>
      </c>
      <c r="C695" s="43" t="inlineStr">
        <is>
          <t>2×2×5×11×59</t>
        </is>
      </c>
      <c r="D695" s="43" t="inlineStr">
        <is>
          <t>2·5·11</t>
        </is>
      </c>
      <c r="E695" s="43" t="inlineStr"/>
      <c r="F695" s="43" t="inlineStr"/>
    </row>
    <row r="696" ht="13" customHeight="1">
      <c r="A696" s="45" t="inlineStr">
        <is>
          <t>5231</t>
        </is>
      </c>
      <c r="B696" s="45" t="inlineStr">
        <is>
          <t>40580</t>
        </is>
      </c>
      <c r="C696" s="45" t="inlineStr">
        <is>
          <t>2×2×5×2029</t>
        </is>
      </c>
      <c r="D696" s="45" t="inlineStr">
        <is>
          <t>2·5</t>
        </is>
      </c>
      <c r="E696" s="45" t="inlineStr"/>
      <c r="F696" s="45" t="inlineStr"/>
    </row>
    <row r="697" ht="13" customHeight="1">
      <c r="A697" s="49" t="inlineStr">
        <is>
          <t>5233</t>
        </is>
      </c>
      <c r="B697" s="49" t="inlineStr">
        <is>
          <t>21665</t>
        </is>
      </c>
      <c r="C697" s="49" t="inlineStr">
        <is>
          <t>5×7×619</t>
        </is>
      </c>
      <c r="D697" s="49" t="inlineStr">
        <is>
          <t>5·7</t>
        </is>
      </c>
      <c r="E697" s="49" t="inlineStr"/>
      <c r="F697" s="49" t="inlineStr"/>
    </row>
    <row r="698" ht="13" customHeight="1">
      <c r="A698" s="45" t="inlineStr">
        <is>
          <t>5237</t>
        </is>
      </c>
      <c r="B698" s="45" t="inlineStr">
        <is>
          <t>32209</t>
        </is>
      </c>
      <c r="C698" s="45" t="inlineStr">
        <is>
          <t>31×1039</t>
        </is>
      </c>
      <c r="D698" s="45" t="inlineStr">
        <is>
          <t>—</t>
        </is>
      </c>
      <c r="E698" s="45" t="inlineStr"/>
      <c r="F698" s="45" t="inlineStr"/>
    </row>
    <row r="699" ht="13" customHeight="1">
      <c r="A699" s="49" t="inlineStr">
        <is>
          <t>5261</t>
        </is>
      </c>
      <c r="B699" s="49" t="inlineStr">
        <is>
          <t>1891</t>
        </is>
      </c>
      <c r="C699" s="49" t="inlineStr">
        <is>
          <t>31×61</t>
        </is>
      </c>
      <c r="D699" s="49" t="inlineStr">
        <is>
          <t>—</t>
        </is>
      </c>
      <c r="E699" s="49" t="inlineStr"/>
      <c r="F699" s="49" t="inlineStr"/>
    </row>
    <row r="700" ht="13" customHeight="1">
      <c r="A700" s="45" t="inlineStr">
        <is>
          <t>5273</t>
        </is>
      </c>
      <c r="B700" s="45" t="inlineStr">
        <is>
          <t>38358</t>
        </is>
      </c>
      <c r="C700" s="45" t="inlineStr">
        <is>
          <t>2×3×3×2131</t>
        </is>
      </c>
      <c r="D700" s="45" t="inlineStr">
        <is>
          <t>2·3</t>
        </is>
      </c>
      <c r="E700" s="45" t="inlineStr"/>
      <c r="F700" s="45" t="inlineStr"/>
    </row>
    <row r="701" ht="13" customHeight="1">
      <c r="A701" s="43" t="inlineStr">
        <is>
          <t>5279</t>
        </is>
      </c>
      <c r="B701" s="43" t="inlineStr">
        <is>
          <t>1969</t>
        </is>
      </c>
      <c r="C701" s="43" t="inlineStr">
        <is>
          <t>11×179</t>
        </is>
      </c>
      <c r="D701" s="43" t="inlineStr">
        <is>
          <t>11</t>
        </is>
      </c>
      <c r="E701" s="43" t="inlineStr"/>
      <c r="F701" s="43" t="inlineStr"/>
    </row>
    <row r="702" ht="13" customHeight="1">
      <c r="A702" s="45" t="inlineStr">
        <is>
          <t>5281</t>
        </is>
      </c>
      <c r="B702" s="45" t="inlineStr">
        <is>
          <t>33740</t>
        </is>
      </c>
      <c r="C702" s="45" t="inlineStr">
        <is>
          <t>2×2×5×7×241</t>
        </is>
      </c>
      <c r="D702" s="45" t="inlineStr">
        <is>
          <t>2·5·7</t>
        </is>
      </c>
      <c r="E702" s="45" t="inlineStr"/>
      <c r="F702" s="45" t="inlineStr"/>
    </row>
    <row r="703" ht="13" customHeight="1">
      <c r="A703" s="49" t="inlineStr">
        <is>
          <t>5297</t>
        </is>
      </c>
      <c r="B703" s="49" t="inlineStr">
        <is>
          <t>32954</t>
        </is>
      </c>
      <c r="C703" s="49" t="inlineStr">
        <is>
          <t>2×16477</t>
        </is>
      </c>
      <c r="D703" s="49" t="inlineStr">
        <is>
          <t>2</t>
        </is>
      </c>
      <c r="E703" s="49" t="inlineStr"/>
      <c r="F703" s="49" t="inlineStr"/>
    </row>
    <row r="704" ht="13" customHeight="1">
      <c r="A704" s="51" t="inlineStr">
        <is>
          <t>5303</t>
        </is>
      </c>
      <c r="B704" s="51" t="inlineStr">
        <is>
          <t>21166</t>
        </is>
      </c>
      <c r="C704" s="51" t="inlineStr">
        <is>
          <t>2×19×557</t>
        </is>
      </c>
      <c r="D704" s="51" t="inlineStr">
        <is>
          <t>2·19</t>
        </is>
      </c>
      <c r="E704" s="51" t="inlineStr"/>
      <c r="F704" s="51" t="inlineStr"/>
    </row>
    <row r="705" ht="13" customHeight="1">
      <c r="A705" s="49" t="inlineStr">
        <is>
          <t>5309</t>
        </is>
      </c>
      <c r="B705" s="49" t="inlineStr">
        <is>
          <t>29283</t>
        </is>
      </c>
      <c r="C705" s="49" t="inlineStr">
        <is>
          <t>3×43×227</t>
        </is>
      </c>
      <c r="D705" s="49" t="inlineStr">
        <is>
          <t>3</t>
        </is>
      </c>
      <c r="E705" s="49" t="inlineStr"/>
      <c r="F705" s="49" t="inlineStr"/>
    </row>
    <row r="706" ht="13" customHeight="1">
      <c r="A706" s="45" t="inlineStr">
        <is>
          <t>5323</t>
        </is>
      </c>
      <c r="B706" s="45" t="inlineStr">
        <is>
          <t>6465</t>
        </is>
      </c>
      <c r="C706" s="45" t="inlineStr">
        <is>
          <t>3×5×431</t>
        </is>
      </c>
      <c r="D706" s="45" t="inlineStr">
        <is>
          <t>3·5</t>
        </is>
      </c>
      <c r="E706" s="45" t="inlineStr"/>
      <c r="F706" s="45" t="inlineStr"/>
    </row>
    <row r="707" ht="13" customHeight="1">
      <c r="A707" s="49" t="inlineStr">
        <is>
          <t>5333</t>
        </is>
      </c>
      <c r="B707" s="49" t="inlineStr">
        <is>
          <t>19103</t>
        </is>
      </c>
      <c r="C707" s="49" t="inlineStr">
        <is>
          <t>7×2729</t>
        </is>
      </c>
      <c r="D707" s="49" t="inlineStr">
        <is>
          <t>7</t>
        </is>
      </c>
      <c r="E707" s="49" t="inlineStr"/>
      <c r="F707" s="49" t="inlineStr"/>
    </row>
    <row r="708" ht="13" customHeight="1">
      <c r="A708" s="50" t="inlineStr">
        <is>
          <t>5347</t>
        </is>
      </c>
      <c r="B708" s="50" t="inlineStr">
        <is>
          <t>12659</t>
        </is>
      </c>
      <c r="C708" s="50" t="inlineStr">
        <is>
          <t>12659</t>
        </is>
      </c>
      <c r="D708" s="50" t="inlineStr">
        <is>
          <t>—</t>
        </is>
      </c>
      <c r="E708" s="50" t="inlineStr"/>
      <c r="F708" s="50" t="inlineStr"/>
    </row>
    <row r="709" ht="13" customHeight="1">
      <c r="A709" s="51" t="inlineStr">
        <is>
          <t>5351</t>
        </is>
      </c>
      <c r="B709" s="51" t="inlineStr">
        <is>
          <t>9709</t>
        </is>
      </c>
      <c r="C709" s="51" t="inlineStr">
        <is>
          <t>7×19×73</t>
        </is>
      </c>
      <c r="D709" s="51" t="inlineStr">
        <is>
          <t>7·19</t>
        </is>
      </c>
      <c r="E709" s="51" t="inlineStr"/>
      <c r="F709" s="51" t="inlineStr"/>
    </row>
    <row r="710" ht="13" customHeight="1">
      <c r="A710" s="45" t="inlineStr">
        <is>
          <t>5381</t>
        </is>
      </c>
      <c r="B710" s="45" t="inlineStr">
        <is>
          <t>38186</t>
        </is>
      </c>
      <c r="C710" s="45" t="inlineStr">
        <is>
          <t>2×61×313</t>
        </is>
      </c>
      <c r="D710" s="45" t="inlineStr">
        <is>
          <t>2</t>
        </is>
      </c>
      <c r="E710" s="45" t="inlineStr"/>
      <c r="F710" s="45" t="inlineStr"/>
    </row>
    <row r="711" ht="13" customHeight="1">
      <c r="A711" s="49" t="inlineStr">
        <is>
          <t>5387</t>
        </is>
      </c>
      <c r="B711" s="49" t="inlineStr">
        <is>
          <t>12915</t>
        </is>
      </c>
      <c r="C711" s="49" t="inlineStr">
        <is>
          <t>3×3×5×7×41</t>
        </is>
      </c>
      <c r="D711" s="49" t="inlineStr">
        <is>
          <t>3·5·7</t>
        </is>
      </c>
      <c r="E711" s="49" t="inlineStr"/>
      <c r="F711" s="49" t="inlineStr"/>
    </row>
    <row r="712" ht="13" customHeight="1">
      <c r="A712" s="45" t="inlineStr">
        <is>
          <t>5393</t>
        </is>
      </c>
      <c r="B712" s="45" t="inlineStr">
        <is>
          <t>3556</t>
        </is>
      </c>
      <c r="C712" s="45" t="inlineStr">
        <is>
          <t>2×2×7×127</t>
        </is>
      </c>
      <c r="D712" s="45" t="inlineStr">
        <is>
          <t>2·7</t>
        </is>
      </c>
      <c r="E712" s="45" t="inlineStr"/>
      <c r="F712" s="45" t="inlineStr"/>
    </row>
    <row r="713" ht="13" customHeight="1">
      <c r="A713" s="49" t="inlineStr">
        <is>
          <t>5399</t>
        </is>
      </c>
      <c r="B713" s="49" t="inlineStr">
        <is>
          <t>32724</t>
        </is>
      </c>
      <c r="C713" s="49" t="inlineStr">
        <is>
          <t>2×2×3×3×3×3×101</t>
        </is>
      </c>
      <c r="D713" s="49" t="inlineStr">
        <is>
          <t>2·3</t>
        </is>
      </c>
      <c r="E713" s="49" t="inlineStr"/>
      <c r="F713" s="49" t="inlineStr"/>
    </row>
    <row r="714" ht="13" customHeight="1">
      <c r="A714" s="45" t="inlineStr">
        <is>
          <t>5407</t>
        </is>
      </c>
      <c r="B714" s="45" t="inlineStr">
        <is>
          <t>28575</t>
        </is>
      </c>
      <c r="C714" s="45" t="inlineStr">
        <is>
          <t>3×3×5×5×127</t>
        </is>
      </c>
      <c r="D714" s="45" t="inlineStr">
        <is>
          <t>3·5</t>
        </is>
      </c>
      <c r="E714" s="45" t="inlineStr"/>
      <c r="F714" s="45" t="inlineStr"/>
    </row>
    <row r="715" ht="13" customHeight="1">
      <c r="A715" s="50" t="inlineStr">
        <is>
          <t>5413</t>
        </is>
      </c>
      <c r="B715" s="50" t="inlineStr">
        <is>
          <t>15349</t>
        </is>
      </c>
      <c r="C715" s="50" t="inlineStr">
        <is>
          <t>15349</t>
        </is>
      </c>
      <c r="D715" s="50" t="inlineStr">
        <is>
          <t>—</t>
        </is>
      </c>
      <c r="E715" s="50" t="inlineStr"/>
      <c r="F715" s="50" t="inlineStr"/>
    </row>
    <row r="716" ht="13" customHeight="1">
      <c r="A716" s="43" t="inlineStr">
        <is>
          <t>5417</t>
        </is>
      </c>
      <c r="B716" s="43" t="inlineStr">
        <is>
          <t>12221</t>
        </is>
      </c>
      <c r="C716" s="43" t="inlineStr">
        <is>
          <t>11×11×101</t>
        </is>
      </c>
      <c r="D716" s="43" t="inlineStr">
        <is>
          <t>11</t>
        </is>
      </c>
      <c r="E716" s="43" t="inlineStr"/>
      <c r="F716" s="43" t="inlineStr"/>
    </row>
    <row r="717" ht="13" customHeight="1">
      <c r="A717" s="50" t="inlineStr">
        <is>
          <t>5419</t>
        </is>
      </c>
      <c r="B717" s="50" t="inlineStr">
        <is>
          <t>18803</t>
        </is>
      </c>
      <c r="C717" s="50" t="inlineStr">
        <is>
          <t>18803</t>
        </is>
      </c>
      <c r="D717" s="50" t="inlineStr">
        <is>
          <t>—</t>
        </is>
      </c>
      <c r="E717" s="50" t="inlineStr"/>
      <c r="F717" s="50" t="inlineStr"/>
    </row>
    <row r="718" ht="13" customHeight="1">
      <c r="A718" s="45" t="inlineStr">
        <is>
          <t>5431</t>
        </is>
      </c>
      <c r="B718" s="45" t="inlineStr">
        <is>
          <t>34486</t>
        </is>
      </c>
      <c r="C718" s="45" t="inlineStr">
        <is>
          <t>2×43×401</t>
        </is>
      </c>
      <c r="D718" s="45" t="inlineStr">
        <is>
          <t>2</t>
        </is>
      </c>
      <c r="E718" s="45" t="inlineStr"/>
      <c r="F718" s="45" t="inlineStr"/>
    </row>
    <row r="719" ht="13" customHeight="1">
      <c r="A719" s="49" t="inlineStr">
        <is>
          <t>5437</t>
        </is>
      </c>
      <c r="B719" s="49" t="inlineStr">
        <is>
          <t>35565</t>
        </is>
      </c>
      <c r="C719" s="49" t="inlineStr">
        <is>
          <t>3×5×2371</t>
        </is>
      </c>
      <c r="D719" s="49" t="inlineStr">
        <is>
          <t>3·5</t>
        </is>
      </c>
      <c r="E719" s="49" t="inlineStr"/>
      <c r="F719" s="49" t="inlineStr"/>
    </row>
    <row r="720" ht="13" customHeight="1">
      <c r="A720" s="50" t="inlineStr">
        <is>
          <t>5441</t>
        </is>
      </c>
      <c r="B720" s="50" t="inlineStr">
        <is>
          <t>6203</t>
        </is>
      </c>
      <c r="C720" s="50" t="inlineStr">
        <is>
          <t>6203</t>
        </is>
      </c>
      <c r="D720" s="50" t="inlineStr">
        <is>
          <t>—</t>
        </is>
      </c>
      <c r="E720" s="50" t="inlineStr"/>
      <c r="F720" s="50" t="inlineStr"/>
    </row>
    <row r="721" ht="13" customHeight="1">
      <c r="A721" s="41" t="inlineStr">
        <is>
          <t>5443</t>
        </is>
      </c>
      <c r="B721" s="41" t="inlineStr">
        <is>
          <t>16813</t>
        </is>
      </c>
      <c r="C721" s="41" t="inlineStr">
        <is>
          <t>17×23×43</t>
        </is>
      </c>
      <c r="D721" s="41" t="inlineStr">
        <is>
          <t>17</t>
        </is>
      </c>
      <c r="E721" s="41" t="inlineStr"/>
      <c r="F721" s="41" t="inlineStr"/>
    </row>
    <row r="722" ht="13" customHeight="1">
      <c r="A722" s="45" t="inlineStr">
        <is>
          <t>5449</t>
        </is>
      </c>
      <c r="B722" s="45" t="inlineStr">
        <is>
          <t>20336</t>
        </is>
      </c>
      <c r="C722" s="45" t="inlineStr">
        <is>
          <t>2×2×2×2×31×41</t>
        </is>
      </c>
      <c r="D722" s="45" t="inlineStr">
        <is>
          <t>2</t>
        </is>
      </c>
      <c r="E722" s="45" t="inlineStr"/>
      <c r="F722" s="45" t="inlineStr"/>
    </row>
    <row r="723" ht="13" customHeight="1">
      <c r="A723" s="49" t="inlineStr">
        <is>
          <t>5471</t>
        </is>
      </c>
      <c r="B723" s="49" t="inlineStr">
        <is>
          <t>40857</t>
        </is>
      </c>
      <c r="C723" s="49" t="inlineStr">
        <is>
          <t>3×13619</t>
        </is>
      </c>
      <c r="D723" s="49" t="inlineStr">
        <is>
          <t>3</t>
        </is>
      </c>
      <c r="E723" s="49" t="inlineStr"/>
      <c r="F723" s="49" t="inlineStr"/>
    </row>
    <row r="724" ht="13" customHeight="1">
      <c r="A724" s="50" t="inlineStr">
        <is>
          <t>5477</t>
        </is>
      </c>
      <c r="B724" s="50" t="inlineStr">
        <is>
          <t>24697</t>
        </is>
      </c>
      <c r="C724" s="50" t="inlineStr">
        <is>
          <t>24697</t>
        </is>
      </c>
      <c r="D724" s="50" t="inlineStr">
        <is>
          <t>—</t>
        </is>
      </c>
      <c r="E724" s="50" t="inlineStr"/>
      <c r="F724" s="50" t="inlineStr"/>
    </row>
    <row r="725" ht="13" customHeight="1">
      <c r="A725" s="43" t="inlineStr">
        <is>
          <t>5479</t>
        </is>
      </c>
      <c r="B725" s="43" t="inlineStr">
        <is>
          <t>31658</t>
        </is>
      </c>
      <c r="C725" s="43" t="inlineStr">
        <is>
          <t>2×11×1439</t>
        </is>
      </c>
      <c r="D725" s="43" t="inlineStr">
        <is>
          <t>2·11</t>
        </is>
      </c>
      <c r="E725" s="43" t="inlineStr"/>
      <c r="F725" s="43" t="inlineStr"/>
    </row>
    <row r="726" ht="13" customHeight="1">
      <c r="A726" s="45" t="inlineStr">
        <is>
          <t>5483</t>
        </is>
      </c>
      <c r="B726" s="45" t="inlineStr">
        <is>
          <t>15273</t>
        </is>
      </c>
      <c r="C726" s="45" t="inlineStr">
        <is>
          <t>3×3×1697</t>
        </is>
      </c>
      <c r="D726" s="45" t="inlineStr">
        <is>
          <t>3</t>
        </is>
      </c>
      <c r="E726" s="45" t="inlineStr"/>
      <c r="F726" s="45" t="inlineStr"/>
    </row>
    <row r="727" ht="13" customHeight="1">
      <c r="A727" s="49" t="inlineStr">
        <is>
          <t>5501</t>
        </is>
      </c>
      <c r="B727" s="49" t="inlineStr">
        <is>
          <t>17345</t>
        </is>
      </c>
      <c r="C727" s="49" t="inlineStr">
        <is>
          <t>5×3469</t>
        </is>
      </c>
      <c r="D727" s="49" t="inlineStr">
        <is>
          <t>5</t>
        </is>
      </c>
      <c r="E727" s="49" t="inlineStr"/>
      <c r="F727" s="49" t="inlineStr"/>
    </row>
    <row r="728" ht="13" customHeight="1">
      <c r="A728" s="41" t="inlineStr">
        <is>
          <t>5503</t>
        </is>
      </c>
      <c r="B728" s="41" t="inlineStr">
        <is>
          <t>27495</t>
        </is>
      </c>
      <c r="C728" s="41" t="inlineStr">
        <is>
          <t>3×3×5×13×47</t>
        </is>
      </c>
      <c r="D728" s="41" t="inlineStr">
        <is>
          <t>3·5·13</t>
        </is>
      </c>
      <c r="E728" s="41" t="inlineStr"/>
      <c r="F728" s="41" t="inlineStr"/>
    </row>
    <row r="729" ht="13" customHeight="1">
      <c r="A729" s="49" t="inlineStr">
        <is>
          <t>5507</t>
        </is>
      </c>
      <c r="B729" s="49" t="inlineStr">
        <is>
          <t>37395</t>
        </is>
      </c>
      <c r="C729" s="49" t="inlineStr">
        <is>
          <t>3×3×3×5×277</t>
        </is>
      </c>
      <c r="D729" s="49" t="inlineStr">
        <is>
          <t>3·5</t>
        </is>
      </c>
      <c r="E729" s="49" t="inlineStr"/>
      <c r="F729" s="49" t="inlineStr"/>
    </row>
    <row r="730" ht="13" customHeight="1">
      <c r="A730" s="45" t="inlineStr">
        <is>
          <t>5519</t>
        </is>
      </c>
      <c r="B730" s="45" t="inlineStr">
        <is>
          <t>12134</t>
        </is>
      </c>
      <c r="C730" s="45" t="inlineStr">
        <is>
          <t>2×6067</t>
        </is>
      </c>
      <c r="D730" s="45" t="inlineStr">
        <is>
          <t>2</t>
        </is>
      </c>
      <c r="E730" s="45" t="inlineStr"/>
      <c r="F730" s="45" t="inlineStr"/>
    </row>
    <row r="731" ht="13" customHeight="1">
      <c r="A731" s="49" t="inlineStr">
        <is>
          <t>5521</t>
        </is>
      </c>
      <c r="B731" s="49" t="inlineStr">
        <is>
          <t>26232</t>
        </is>
      </c>
      <c r="C731" s="49" t="inlineStr">
        <is>
          <t>2×2×2×3×1093</t>
        </is>
      </c>
      <c r="D731" s="49" t="inlineStr">
        <is>
          <t>2·3</t>
        </is>
      </c>
      <c r="E731" s="49" t="inlineStr"/>
      <c r="F731" s="49" t="inlineStr"/>
    </row>
    <row r="732" ht="13" customHeight="1">
      <c r="A732" s="45" t="inlineStr">
        <is>
          <t>5527</t>
        </is>
      </c>
      <c r="B732" s="45" t="inlineStr">
        <is>
          <t>26769</t>
        </is>
      </c>
      <c r="C732" s="45" t="inlineStr">
        <is>
          <t>3×8923</t>
        </is>
      </c>
      <c r="D732" s="45" t="inlineStr">
        <is>
          <t>3</t>
        </is>
      </c>
      <c r="E732" s="45" t="inlineStr"/>
      <c r="F732" s="45" t="inlineStr"/>
    </row>
    <row r="733" ht="13" customHeight="1">
      <c r="A733" s="49" t="inlineStr">
        <is>
          <t>5531</t>
        </is>
      </c>
      <c r="B733" s="49" t="inlineStr">
        <is>
          <t>13476</t>
        </is>
      </c>
      <c r="C733" s="49" t="inlineStr">
        <is>
          <t>2×2×3×1123</t>
        </is>
      </c>
      <c r="D733" s="49" t="inlineStr">
        <is>
          <t>2·3</t>
        </is>
      </c>
      <c r="E733" s="49" t="inlineStr"/>
      <c r="F733" s="49" t="inlineStr"/>
    </row>
    <row r="734" ht="13" customHeight="1">
      <c r="A734" s="41" t="inlineStr">
        <is>
          <t>5557</t>
        </is>
      </c>
      <c r="B734" s="41" t="inlineStr">
        <is>
          <t>9958</t>
        </is>
      </c>
      <c r="C734" s="41" t="inlineStr">
        <is>
          <t>2×13×383</t>
        </is>
      </c>
      <c r="D734" s="41" t="inlineStr">
        <is>
          <t>2·13</t>
        </is>
      </c>
      <c r="E734" s="41" t="inlineStr"/>
      <c r="F734" s="41" t="inlineStr"/>
    </row>
    <row r="735" ht="13" customHeight="1">
      <c r="A735" s="43" t="inlineStr">
        <is>
          <t>5563</t>
        </is>
      </c>
      <c r="B735" s="43" t="inlineStr">
        <is>
          <t>43318</t>
        </is>
      </c>
      <c r="C735" s="43" t="inlineStr">
        <is>
          <t>2×11×11×179</t>
        </is>
      </c>
      <c r="D735" s="43" t="inlineStr">
        <is>
          <t>2·11</t>
        </is>
      </c>
      <c r="E735" s="43" t="inlineStr"/>
      <c r="F735" s="43" t="inlineStr"/>
    </row>
    <row r="736" ht="13" customHeight="1">
      <c r="A736" s="50" t="inlineStr">
        <is>
          <t>5569</t>
        </is>
      </c>
      <c r="B736" s="50" t="inlineStr">
        <is>
          <t>7907</t>
        </is>
      </c>
      <c r="C736" s="50" t="inlineStr">
        <is>
          <t>7907</t>
        </is>
      </c>
      <c r="D736" s="50" t="inlineStr">
        <is>
          <t>—</t>
        </is>
      </c>
      <c r="E736" s="50" t="inlineStr"/>
      <c r="F736" s="50" t="inlineStr"/>
    </row>
    <row r="737" ht="13" customHeight="1">
      <c r="A737" s="49" t="inlineStr">
        <is>
          <t>5573</t>
        </is>
      </c>
      <c r="B737" s="49" t="inlineStr">
        <is>
          <t>3799</t>
        </is>
      </c>
      <c r="C737" s="49" t="inlineStr">
        <is>
          <t>29×131</t>
        </is>
      </c>
      <c r="D737" s="49" t="inlineStr">
        <is>
          <t>—</t>
        </is>
      </c>
      <c r="E737" s="49" t="inlineStr"/>
      <c r="F737" s="49" t="inlineStr"/>
    </row>
    <row r="738" ht="13" customHeight="1">
      <c r="A738" s="45" t="inlineStr">
        <is>
          <t>5581</t>
        </is>
      </c>
      <c r="B738" s="45" t="inlineStr">
        <is>
          <t>13582</t>
        </is>
      </c>
      <c r="C738" s="45" t="inlineStr">
        <is>
          <t>2×6791</t>
        </is>
      </c>
      <c r="D738" s="45" t="inlineStr">
        <is>
          <t>2</t>
        </is>
      </c>
      <c r="E738" s="45" t="inlineStr"/>
      <c r="F738" s="45" t="inlineStr"/>
    </row>
    <row r="739" ht="13" customHeight="1">
      <c r="A739" s="51" t="inlineStr">
        <is>
          <t>5591</t>
        </is>
      </c>
      <c r="B739" s="51" t="inlineStr">
        <is>
          <t>40812</t>
        </is>
      </c>
      <c r="C739" s="51" t="inlineStr">
        <is>
          <t>2×2×3×19×179</t>
        </is>
      </c>
      <c r="D739" s="51" t="inlineStr">
        <is>
          <t>2·3·19</t>
        </is>
      </c>
      <c r="E739" s="51" t="inlineStr"/>
      <c r="F739" s="51" t="inlineStr"/>
    </row>
    <row r="740" ht="13" customHeight="1">
      <c r="A740" s="45" t="inlineStr">
        <is>
          <t>5623</t>
        </is>
      </c>
      <c r="B740" s="45" t="inlineStr">
        <is>
          <t>23048</t>
        </is>
      </c>
      <c r="C740" s="45" t="inlineStr">
        <is>
          <t>2×2×2×43×67</t>
        </is>
      </c>
      <c r="D740" s="45" t="inlineStr">
        <is>
          <t>2</t>
        </is>
      </c>
      <c r="E740" s="45" t="inlineStr"/>
      <c r="F740" s="45" t="inlineStr"/>
    </row>
    <row r="741" ht="13" customHeight="1">
      <c r="A741" s="50" t="inlineStr">
        <is>
          <t>5639</t>
        </is>
      </c>
      <c r="B741" s="50" t="inlineStr">
        <is>
          <t>24919</t>
        </is>
      </c>
      <c r="C741" s="50" t="inlineStr">
        <is>
          <t>24919</t>
        </is>
      </c>
      <c r="D741" s="50" t="inlineStr">
        <is>
          <t>—</t>
        </is>
      </c>
      <c r="E741" s="50" t="inlineStr"/>
      <c r="F741" s="50" t="inlineStr"/>
    </row>
    <row r="742" ht="13" customHeight="1">
      <c r="A742" s="45" t="inlineStr">
        <is>
          <t>5641</t>
        </is>
      </c>
      <c r="B742" s="45" t="inlineStr">
        <is>
          <t>28825</t>
        </is>
      </c>
      <c r="C742" s="45" t="inlineStr">
        <is>
          <t>5×5×1153</t>
        </is>
      </c>
      <c r="D742" s="45" t="inlineStr">
        <is>
          <t>5</t>
        </is>
      </c>
      <c r="E742" s="45" t="inlineStr"/>
      <c r="F742" s="45" t="inlineStr"/>
    </row>
    <row r="743" ht="13" customHeight="1">
      <c r="A743" s="49" t="inlineStr">
        <is>
          <t>5647</t>
        </is>
      </c>
      <c r="B743" s="49" t="inlineStr">
        <is>
          <t>22498</t>
        </is>
      </c>
      <c r="C743" s="49" t="inlineStr">
        <is>
          <t>2×7×1607</t>
        </is>
      </c>
      <c r="D743" s="49" t="inlineStr">
        <is>
          <t>2·7</t>
        </is>
      </c>
      <c r="E743" s="49" t="inlineStr"/>
      <c r="F743" s="49" t="inlineStr"/>
    </row>
    <row r="744" ht="13" customHeight="1">
      <c r="A744" s="43" t="inlineStr">
        <is>
          <t>5651</t>
        </is>
      </c>
      <c r="B744" s="43" t="inlineStr">
        <is>
          <t>8712</t>
        </is>
      </c>
      <c r="C744" s="43" t="inlineStr">
        <is>
          <t>2×2×2×3×3×11×11</t>
        </is>
      </c>
      <c r="D744" s="43" t="inlineStr">
        <is>
          <t>2·3·11</t>
        </is>
      </c>
      <c r="E744" s="43" t="inlineStr"/>
      <c r="F744" s="43" t="inlineStr"/>
    </row>
    <row r="745" ht="13" customHeight="1">
      <c r="A745" s="49" t="inlineStr">
        <is>
          <t>5653</t>
        </is>
      </c>
      <c r="B745" s="49" t="inlineStr">
        <is>
          <t>37410</t>
        </is>
      </c>
      <c r="C745" s="49" t="inlineStr">
        <is>
          <t>2×3×5×29×43</t>
        </is>
      </c>
      <c r="D745" s="49" t="inlineStr">
        <is>
          <t>2·3·5</t>
        </is>
      </c>
      <c r="E745" s="49" t="inlineStr"/>
      <c r="F745" s="49" t="inlineStr"/>
    </row>
    <row r="746" ht="13" customHeight="1">
      <c r="A746" s="41" t="inlineStr">
        <is>
          <t>5657</t>
        </is>
      </c>
      <c r="B746" s="41" t="inlineStr">
        <is>
          <t>37063</t>
        </is>
      </c>
      <c r="C746" s="41" t="inlineStr">
        <is>
          <t>13×2851</t>
        </is>
      </c>
      <c r="D746" s="41" t="inlineStr">
        <is>
          <t>13</t>
        </is>
      </c>
      <c r="E746" s="41" t="inlineStr"/>
      <c r="F746" s="41" t="inlineStr"/>
    </row>
    <row r="747" ht="13" customHeight="1">
      <c r="A747" s="41" t="inlineStr">
        <is>
          <t>5659</t>
        </is>
      </c>
      <c r="B747" s="41" t="inlineStr">
        <is>
          <t>1122</t>
        </is>
      </c>
      <c r="C747" s="41" t="inlineStr">
        <is>
          <t>2×3×11×17</t>
        </is>
      </c>
      <c r="D747" s="41" t="inlineStr">
        <is>
          <t>2·3·11·17</t>
        </is>
      </c>
      <c r="E747" s="41" t="inlineStr"/>
      <c r="F747" s="41" t="inlineStr"/>
    </row>
    <row r="748" ht="13" customHeight="1">
      <c r="A748" s="41" t="inlineStr">
        <is>
          <t>5669</t>
        </is>
      </c>
      <c r="B748" s="41" t="inlineStr">
        <is>
          <t>42783</t>
        </is>
      </c>
      <c r="C748" s="41" t="inlineStr">
        <is>
          <t>3×13×1097</t>
        </is>
      </c>
      <c r="D748" s="41" t="inlineStr">
        <is>
          <t>3·13</t>
        </is>
      </c>
      <c r="E748" s="41" t="inlineStr"/>
      <c r="F748" s="41" t="inlineStr"/>
    </row>
    <row r="749" ht="13" customHeight="1">
      <c r="A749" s="49" t="inlineStr">
        <is>
          <t>5683</t>
        </is>
      </c>
      <c r="B749" s="49" t="inlineStr">
        <is>
          <t>8275</t>
        </is>
      </c>
      <c r="C749" s="49" t="inlineStr">
        <is>
          <t>5×5×331</t>
        </is>
      </c>
      <c r="D749" s="49" t="inlineStr">
        <is>
          <t>5</t>
        </is>
      </c>
      <c r="E749" s="49" t="inlineStr"/>
      <c r="F749" s="49" t="inlineStr"/>
    </row>
    <row r="750" ht="13" customHeight="1">
      <c r="A750" s="45" t="inlineStr">
        <is>
          <t>5689</t>
        </is>
      </c>
      <c r="B750" s="45" t="inlineStr">
        <is>
          <t>37941</t>
        </is>
      </c>
      <c r="C750" s="45" t="inlineStr">
        <is>
          <t>3×12647</t>
        </is>
      </c>
      <c r="D750" s="45" t="inlineStr">
        <is>
          <t>3</t>
        </is>
      </c>
      <c r="E750" s="45" t="inlineStr"/>
      <c r="F750" s="45" t="inlineStr"/>
    </row>
    <row r="751" ht="13" customHeight="1">
      <c r="A751" s="49" t="inlineStr">
        <is>
          <t>5693</t>
        </is>
      </c>
      <c r="B751" s="49" t="inlineStr">
        <is>
          <t>9352</t>
        </is>
      </c>
      <c r="C751" s="49" t="inlineStr">
        <is>
          <t>2×2×2×7×167</t>
        </is>
      </c>
      <c r="D751" s="49" t="inlineStr">
        <is>
          <t>2·7</t>
        </is>
      </c>
      <c r="E751" s="49" t="inlineStr"/>
      <c r="F751" s="49" t="inlineStr"/>
    </row>
    <row r="752" ht="13" customHeight="1">
      <c r="A752" s="45" t="inlineStr">
        <is>
          <t>5701</t>
        </is>
      </c>
      <c r="B752" s="45" t="inlineStr">
        <is>
          <t>11439</t>
        </is>
      </c>
      <c r="C752" s="45" t="inlineStr">
        <is>
          <t>3×3×31×41</t>
        </is>
      </c>
      <c r="D752" s="45" t="inlineStr">
        <is>
          <t>3</t>
        </is>
      </c>
      <c r="E752" s="45" t="inlineStr"/>
      <c r="F752" s="45" t="inlineStr"/>
    </row>
    <row r="753" ht="13" customHeight="1">
      <c r="A753" s="43" t="inlineStr">
        <is>
          <t>5711</t>
        </is>
      </c>
      <c r="B753" s="43" t="inlineStr">
        <is>
          <t>37015</t>
        </is>
      </c>
      <c r="C753" s="43" t="inlineStr">
        <is>
          <t>5×11×673</t>
        </is>
      </c>
      <c r="D753" s="43" t="inlineStr">
        <is>
          <t>5·11</t>
        </is>
      </c>
      <c r="E753" s="43" t="inlineStr"/>
      <c r="F753" s="43" t="inlineStr"/>
    </row>
    <row r="754" ht="13" customHeight="1">
      <c r="A754" s="45" t="inlineStr">
        <is>
          <t>5717</t>
        </is>
      </c>
      <c r="B754" s="45" t="inlineStr">
        <is>
          <t>1681</t>
        </is>
      </c>
      <c r="C754" s="45" t="inlineStr">
        <is>
          <t>41×41</t>
        </is>
      </c>
      <c r="D754" s="45" t="inlineStr">
        <is>
          <t>—</t>
        </is>
      </c>
      <c r="E754" s="45" t="inlineStr"/>
      <c r="F754" s="45" t="inlineStr"/>
    </row>
    <row r="755" ht="13" customHeight="1">
      <c r="A755" s="43" t="inlineStr">
        <is>
          <t>5737</t>
        </is>
      </c>
      <c r="B755" s="43" t="inlineStr">
        <is>
          <t>11242</t>
        </is>
      </c>
      <c r="C755" s="43" t="inlineStr">
        <is>
          <t>2×7×11×73</t>
        </is>
      </c>
      <c r="D755" s="43" t="inlineStr">
        <is>
          <t>2·7·11</t>
        </is>
      </c>
      <c r="E755" s="43" t="inlineStr"/>
      <c r="F755" s="43" t="inlineStr"/>
    </row>
    <row r="756" ht="13" customHeight="1">
      <c r="A756" s="41" t="inlineStr">
        <is>
          <t>5741</t>
        </is>
      </c>
      <c r="B756" s="41" t="inlineStr">
        <is>
          <t>3497</t>
        </is>
      </c>
      <c r="C756" s="41" t="inlineStr">
        <is>
          <t>13×269</t>
        </is>
      </c>
      <c r="D756" s="41" t="inlineStr">
        <is>
          <t>13</t>
        </is>
      </c>
      <c r="E756" s="41" t="inlineStr"/>
      <c r="F756" s="41" t="inlineStr"/>
    </row>
    <row r="757" ht="13" customHeight="1">
      <c r="A757" s="49" t="inlineStr">
        <is>
          <t>5743</t>
        </is>
      </c>
      <c r="B757" s="49" t="inlineStr">
        <is>
          <t>24835</t>
        </is>
      </c>
      <c r="C757" s="49" t="inlineStr">
        <is>
          <t>5×4967</t>
        </is>
      </c>
      <c r="D757" s="49" t="inlineStr">
        <is>
          <t>5</t>
        </is>
      </c>
      <c r="E757" s="49" t="inlineStr"/>
      <c r="F757" s="49" t="inlineStr"/>
    </row>
    <row r="758" ht="13" customHeight="1">
      <c r="A758" s="45" t="inlineStr">
        <is>
          <t>5749</t>
        </is>
      </c>
      <c r="B758" s="45" t="inlineStr">
        <is>
          <t>39454</t>
        </is>
      </c>
      <c r="C758" s="45" t="inlineStr">
        <is>
          <t>2×19727</t>
        </is>
      </c>
      <c r="D758" s="45" t="inlineStr">
        <is>
          <t>2</t>
        </is>
      </c>
      <c r="E758" s="45" t="inlineStr"/>
      <c r="F758" s="45" t="inlineStr"/>
    </row>
    <row r="759" ht="13" customHeight="1">
      <c r="A759" s="41" t="inlineStr">
        <is>
          <t>5779</t>
        </is>
      </c>
      <c r="B759" s="41" t="inlineStr">
        <is>
          <t>1309</t>
        </is>
      </c>
      <c r="C759" s="41" t="inlineStr">
        <is>
          <t>7×11×17</t>
        </is>
      </c>
      <c r="D759" s="41" t="inlineStr">
        <is>
          <t>7·11·17</t>
        </is>
      </c>
      <c r="E759" s="41" t="inlineStr"/>
      <c r="F759" s="41" t="inlineStr"/>
    </row>
    <row r="760" ht="13" customHeight="1">
      <c r="A760" s="45" t="inlineStr">
        <is>
          <t>5783</t>
        </is>
      </c>
      <c r="B760" s="45" t="inlineStr">
        <is>
          <t>20252</t>
        </is>
      </c>
      <c r="C760" s="45" t="inlineStr">
        <is>
          <t>2×2×61×83</t>
        </is>
      </c>
      <c r="D760" s="45" t="inlineStr">
        <is>
          <t>2</t>
        </is>
      </c>
      <c r="E760" s="45" t="inlineStr"/>
      <c r="F760" s="45" t="inlineStr"/>
    </row>
    <row r="761" ht="13" customHeight="1">
      <c r="A761" s="49" t="inlineStr">
        <is>
          <t>5791</t>
        </is>
      </c>
      <c r="B761" s="49" t="inlineStr">
        <is>
          <t>37099</t>
        </is>
      </c>
      <c r="C761" s="49" t="inlineStr">
        <is>
          <t>23×1613</t>
        </is>
      </c>
      <c r="D761" s="49" t="inlineStr">
        <is>
          <t>—</t>
        </is>
      </c>
      <c r="E761" s="49" t="inlineStr"/>
      <c r="F761" s="49" t="inlineStr"/>
    </row>
    <row r="762" ht="13" customHeight="1">
      <c r="A762" s="45" t="inlineStr">
        <is>
          <t>5801</t>
        </is>
      </c>
      <c r="B762" s="45" t="inlineStr">
        <is>
          <t>35692</t>
        </is>
      </c>
      <c r="C762" s="45" t="inlineStr">
        <is>
          <t>2×2×8923</t>
        </is>
      </c>
      <c r="D762" s="45" t="inlineStr">
        <is>
          <t>2</t>
        </is>
      </c>
      <c r="E762" s="45" t="inlineStr"/>
      <c r="F762" s="45" t="inlineStr"/>
    </row>
    <row r="763" ht="13" customHeight="1">
      <c r="A763" s="49" t="inlineStr">
        <is>
          <t>5807</t>
        </is>
      </c>
      <c r="B763" s="49" t="inlineStr">
        <is>
          <t>17205</t>
        </is>
      </c>
      <c r="C763" s="49" t="inlineStr">
        <is>
          <t>3×5×31×37</t>
        </is>
      </c>
      <c r="D763" s="49" t="inlineStr">
        <is>
          <t>3·5</t>
        </is>
      </c>
      <c r="E763" s="49" t="inlineStr"/>
      <c r="F763" s="49" t="inlineStr"/>
    </row>
    <row r="764" ht="13" customHeight="1">
      <c r="A764" s="45" t="inlineStr">
        <is>
          <t>5813</t>
        </is>
      </c>
      <c r="B764" s="45" t="inlineStr">
        <is>
          <t>39255</t>
        </is>
      </c>
      <c r="C764" s="45" t="inlineStr">
        <is>
          <t>3×5×2617</t>
        </is>
      </c>
      <c r="D764" s="45" t="inlineStr">
        <is>
          <t>3·5</t>
        </is>
      </c>
      <c r="E764" s="45" t="inlineStr"/>
      <c r="F764" s="45" t="inlineStr"/>
    </row>
    <row r="765" ht="13" customHeight="1">
      <c r="A765" s="49" t="inlineStr">
        <is>
          <t>5821</t>
        </is>
      </c>
      <c r="B765" s="49" t="inlineStr">
        <is>
          <t>40422</t>
        </is>
      </c>
      <c r="C765" s="49" t="inlineStr">
        <is>
          <t>2×3×6737</t>
        </is>
      </c>
      <c r="D765" s="49" t="inlineStr">
        <is>
          <t>2·3</t>
        </is>
      </c>
      <c r="E765" s="49" t="inlineStr"/>
      <c r="F765" s="49" t="inlineStr"/>
    </row>
    <row r="766" ht="13" customHeight="1">
      <c r="A766" s="45" t="inlineStr">
        <is>
          <t>5827</t>
        </is>
      </c>
      <c r="B766" s="45" t="inlineStr">
        <is>
          <t>38111</t>
        </is>
      </c>
      <c r="C766" s="45" t="inlineStr">
        <is>
          <t>23×1657</t>
        </is>
      </c>
      <c r="D766" s="45" t="inlineStr">
        <is>
          <t>—</t>
        </is>
      </c>
      <c r="E766" s="45" t="inlineStr"/>
      <c r="F766" s="45" t="inlineStr"/>
    </row>
    <row r="767" ht="13" customHeight="1">
      <c r="A767" s="49" t="inlineStr">
        <is>
          <t>5839</t>
        </is>
      </c>
      <c r="B767" s="49" t="inlineStr">
        <is>
          <t>13998</t>
        </is>
      </c>
      <c r="C767" s="49" t="inlineStr">
        <is>
          <t>2×3×2333</t>
        </is>
      </c>
      <c r="D767" s="49" t="inlineStr">
        <is>
          <t>2·3</t>
        </is>
      </c>
      <c r="E767" s="49" t="inlineStr"/>
      <c r="F767" s="49" t="inlineStr"/>
    </row>
    <row r="768" ht="13" customHeight="1">
      <c r="A768" s="51" t="inlineStr">
        <is>
          <t>5843</t>
        </is>
      </c>
      <c r="B768" s="51" t="inlineStr">
        <is>
          <t>4313</t>
        </is>
      </c>
      <c r="C768" s="51" t="inlineStr">
        <is>
          <t>19×227</t>
        </is>
      </c>
      <c r="D768" s="51" t="inlineStr">
        <is>
          <t>19</t>
        </is>
      </c>
      <c r="E768" s="51" t="inlineStr"/>
      <c r="F768" s="51" t="inlineStr"/>
    </row>
    <row r="769" ht="13" customHeight="1">
      <c r="A769" s="51" t="inlineStr">
        <is>
          <t>5849</t>
        </is>
      </c>
      <c r="B769" s="51" t="inlineStr">
        <is>
          <t>43396</t>
        </is>
      </c>
      <c r="C769" s="51" t="inlineStr">
        <is>
          <t>2×2×19×571</t>
        </is>
      </c>
      <c r="D769" s="51" t="inlineStr">
        <is>
          <t>2·19</t>
        </is>
      </c>
      <c r="E769" s="51" t="inlineStr"/>
      <c r="F769" s="51" t="inlineStr"/>
    </row>
    <row r="770" ht="13" customHeight="1">
      <c r="A770" s="45" t="inlineStr">
        <is>
          <t>5851</t>
        </is>
      </c>
      <c r="B770" s="45" t="inlineStr">
        <is>
          <t>22375</t>
        </is>
      </c>
      <c r="C770" s="45" t="inlineStr">
        <is>
          <t>5×5×5×179</t>
        </is>
      </c>
      <c r="D770" s="45" t="inlineStr">
        <is>
          <t>5</t>
        </is>
      </c>
      <c r="E770" s="45" t="inlineStr"/>
      <c r="F770" s="45" t="inlineStr"/>
    </row>
    <row r="771" ht="13" customHeight="1">
      <c r="A771" s="50" t="inlineStr">
        <is>
          <t>5857</t>
        </is>
      </c>
      <c r="B771" s="50" t="inlineStr">
        <is>
          <t>40153</t>
        </is>
      </c>
      <c r="C771" s="50" t="inlineStr">
        <is>
          <t>40153</t>
        </is>
      </c>
      <c r="D771" s="50" t="inlineStr">
        <is>
          <t>—</t>
        </is>
      </c>
      <c r="E771" s="50" t="inlineStr"/>
      <c r="F771" s="50" t="inlineStr"/>
    </row>
    <row r="772" ht="13" customHeight="1">
      <c r="A772" s="45" t="inlineStr">
        <is>
          <t>5861</t>
        </is>
      </c>
      <c r="B772" s="45" t="inlineStr">
        <is>
          <t>7511</t>
        </is>
      </c>
      <c r="C772" s="45" t="inlineStr">
        <is>
          <t>7×29×37</t>
        </is>
      </c>
      <c r="D772" s="45" t="inlineStr">
        <is>
          <t>7</t>
        </is>
      </c>
      <c r="E772" s="45" t="inlineStr"/>
      <c r="F772" s="45" t="inlineStr"/>
    </row>
    <row r="773" ht="13" customHeight="1">
      <c r="A773" s="49" t="inlineStr">
        <is>
          <t>5867</t>
        </is>
      </c>
      <c r="B773" s="49" t="inlineStr">
        <is>
          <t>31852</t>
        </is>
      </c>
      <c r="C773" s="49" t="inlineStr">
        <is>
          <t>2×2×7963</t>
        </is>
      </c>
      <c r="D773" s="49" t="inlineStr">
        <is>
          <t>2</t>
        </is>
      </c>
      <c r="E773" s="49" t="inlineStr"/>
      <c r="F773" s="49" t="inlineStr"/>
    </row>
    <row r="774" ht="13" customHeight="1">
      <c r="A774" s="45" t="inlineStr">
        <is>
          <t>5869</t>
        </is>
      </c>
      <c r="B774" s="45" t="inlineStr">
        <is>
          <t>15690</t>
        </is>
      </c>
      <c r="C774" s="45" t="inlineStr">
        <is>
          <t>2×3×5×523</t>
        </is>
      </c>
      <c r="D774" s="45" t="inlineStr">
        <is>
          <t>2·3·5</t>
        </is>
      </c>
      <c r="E774" s="45" t="inlineStr"/>
      <c r="F774" s="45" t="inlineStr"/>
    </row>
    <row r="775" ht="13" customHeight="1">
      <c r="A775" s="50" t="inlineStr">
        <is>
          <t>5879</t>
        </is>
      </c>
      <c r="B775" s="50" t="inlineStr">
        <is>
          <t>953</t>
        </is>
      </c>
      <c r="C775" s="50" t="inlineStr">
        <is>
          <t>953</t>
        </is>
      </c>
      <c r="D775" s="50" t="inlineStr">
        <is>
          <t>—</t>
        </is>
      </c>
      <c r="E775" s="50" t="inlineStr"/>
      <c r="F775" s="50" t="inlineStr"/>
    </row>
    <row r="776" ht="13" customHeight="1">
      <c r="A776" s="50" t="inlineStr">
        <is>
          <t>5881</t>
        </is>
      </c>
      <c r="B776" s="50" t="inlineStr">
        <is>
          <t>29383</t>
        </is>
      </c>
      <c r="C776" s="50" t="inlineStr">
        <is>
          <t>29383</t>
        </is>
      </c>
      <c r="D776" s="50" t="inlineStr">
        <is>
          <t>—</t>
        </is>
      </c>
      <c r="E776" s="50" t="inlineStr"/>
      <c r="F776" s="50" t="inlineStr"/>
    </row>
    <row r="777" ht="13" customHeight="1">
      <c r="A777" s="49" t="inlineStr">
        <is>
          <t>5897</t>
        </is>
      </c>
      <c r="B777" s="49" t="inlineStr">
        <is>
          <t>42907</t>
        </is>
      </c>
      <c r="C777" s="49" t="inlineStr">
        <is>
          <t>107×401</t>
        </is>
      </c>
      <c r="D777" s="49" t="inlineStr">
        <is>
          <t>—</t>
        </is>
      </c>
      <c r="E777" s="49" t="inlineStr"/>
      <c r="F777" s="49" t="inlineStr"/>
    </row>
    <row r="778" ht="13" customHeight="1">
      <c r="A778" s="45" t="inlineStr">
        <is>
          <t>5903</t>
        </is>
      </c>
      <c r="B778" s="45" t="inlineStr">
        <is>
          <t>1762</t>
        </is>
      </c>
      <c r="C778" s="45" t="inlineStr">
        <is>
          <t>2×881</t>
        </is>
      </c>
      <c r="D778" s="45" t="inlineStr">
        <is>
          <t>2</t>
        </is>
      </c>
      <c r="E778" s="45" t="inlineStr"/>
      <c r="F778" s="45" t="inlineStr"/>
    </row>
    <row r="779" ht="13" customHeight="1">
      <c r="A779" s="43" t="inlineStr">
        <is>
          <t>5923</t>
        </is>
      </c>
      <c r="B779" s="43" t="inlineStr">
        <is>
          <t>43142</t>
        </is>
      </c>
      <c r="C779" s="43" t="inlineStr">
        <is>
          <t>2×11×37×53</t>
        </is>
      </c>
      <c r="D779" s="43" t="inlineStr">
        <is>
          <t>2·11</t>
        </is>
      </c>
      <c r="E779" s="43" t="inlineStr"/>
      <c r="F779" s="43" t="inlineStr"/>
    </row>
    <row r="780" ht="13" customHeight="1">
      <c r="A780" s="45" t="inlineStr">
        <is>
          <t>5927</t>
        </is>
      </c>
      <c r="B780" s="45" t="inlineStr">
        <is>
          <t>6972</t>
        </is>
      </c>
      <c r="C780" s="45" t="inlineStr">
        <is>
          <t>2×2×3×7×83</t>
        </is>
      </c>
      <c r="D780" s="45" t="inlineStr">
        <is>
          <t>2·3·7</t>
        </is>
      </c>
      <c r="E780" s="45" t="inlineStr"/>
      <c r="F780" s="45" t="inlineStr"/>
    </row>
    <row r="781" ht="13" customHeight="1">
      <c r="A781" s="49" t="inlineStr">
        <is>
          <t>5939</t>
        </is>
      </c>
      <c r="B781" s="49" t="inlineStr">
        <is>
          <t>11575</t>
        </is>
      </c>
      <c r="C781" s="49" t="inlineStr">
        <is>
          <t>5×5×463</t>
        </is>
      </c>
      <c r="D781" s="49" t="inlineStr">
        <is>
          <t>5</t>
        </is>
      </c>
      <c r="E781" s="49" t="inlineStr"/>
      <c r="F781" s="49" t="inlineStr"/>
    </row>
    <row r="782" ht="13" customHeight="1">
      <c r="A782" s="45" t="inlineStr">
        <is>
          <t>5953</t>
        </is>
      </c>
      <c r="B782" s="45" t="inlineStr">
        <is>
          <t>1025</t>
        </is>
      </c>
      <c r="C782" s="45" t="inlineStr">
        <is>
          <t>5×5×41</t>
        </is>
      </c>
      <c r="D782" s="45" t="inlineStr">
        <is>
          <t>5</t>
        </is>
      </c>
      <c r="E782" s="45" t="inlineStr"/>
      <c r="F782" s="45" t="inlineStr"/>
    </row>
    <row r="783" ht="13" customHeight="1">
      <c r="A783" s="49" t="inlineStr">
        <is>
          <t>5981</t>
        </is>
      </c>
      <c r="B783" s="49" t="inlineStr">
        <is>
          <t>34018</t>
        </is>
      </c>
      <c r="C783" s="49" t="inlineStr">
        <is>
          <t>2×73×233</t>
        </is>
      </c>
      <c r="D783" s="49" t="inlineStr">
        <is>
          <t>2</t>
        </is>
      </c>
      <c r="E783" s="49" t="inlineStr"/>
      <c r="F783" s="49" t="inlineStr"/>
    </row>
    <row r="784" ht="13" customHeight="1">
      <c r="A784" s="39" t="inlineStr">
        <is>
          <t>5987</t>
        </is>
      </c>
      <c r="B784" s="39" t="inlineStr">
        <is>
          <t>20580</t>
        </is>
      </c>
      <c r="C784" s="39" t="inlineStr">
        <is>
          <t>2×2×3×5×7×7×7</t>
        </is>
      </c>
      <c r="D784" s="39" t="inlineStr">
        <is>
          <t>2·3·5·7</t>
        </is>
      </c>
      <c r="E784" s="39" t="inlineStr"/>
      <c r="F784" s="39" t="inlineStr"/>
    </row>
    <row r="785" ht="13" customHeight="1">
      <c r="A785" s="49" t="inlineStr">
        <is>
          <t>6007</t>
        </is>
      </c>
      <c r="B785" s="49" t="inlineStr">
        <is>
          <t>33194</t>
        </is>
      </c>
      <c r="C785" s="49" t="inlineStr">
        <is>
          <t>2×7×2371</t>
        </is>
      </c>
      <c r="D785" s="49" t="inlineStr">
        <is>
          <t>2·7</t>
        </is>
      </c>
      <c r="E785" s="49" t="inlineStr"/>
      <c r="F785" s="49" t="inlineStr"/>
    </row>
    <row r="786" ht="13" customHeight="1">
      <c r="A786" s="45" t="inlineStr">
        <is>
          <t>6011</t>
        </is>
      </c>
      <c r="B786" s="45" t="inlineStr">
        <is>
          <t>18081</t>
        </is>
      </c>
      <c r="C786" s="45" t="inlineStr">
        <is>
          <t>3×3×7×7×41</t>
        </is>
      </c>
      <c r="D786" s="45" t="inlineStr">
        <is>
          <t>3·7</t>
        </is>
      </c>
      <c r="E786" s="45" t="inlineStr"/>
      <c r="F786" s="45" t="inlineStr"/>
    </row>
    <row r="787" ht="13" customHeight="1">
      <c r="A787" s="50" t="inlineStr">
        <is>
          <t>6029</t>
        </is>
      </c>
      <c r="B787" s="50" t="inlineStr">
        <is>
          <t>39217</t>
        </is>
      </c>
      <c r="C787" s="50" t="inlineStr">
        <is>
          <t>39217</t>
        </is>
      </c>
      <c r="D787" s="50" t="inlineStr">
        <is>
          <t>—</t>
        </is>
      </c>
      <c r="E787" s="50" t="inlineStr"/>
      <c r="F787" s="50" t="inlineStr"/>
    </row>
    <row r="788" ht="13" customHeight="1">
      <c r="A788" s="45" t="inlineStr">
        <is>
          <t>6037</t>
        </is>
      </c>
      <c r="B788" s="45" t="inlineStr">
        <is>
          <t>37839</t>
        </is>
      </c>
      <c r="C788" s="45" t="inlineStr">
        <is>
          <t>3×12613</t>
        </is>
      </c>
      <c r="D788" s="45" t="inlineStr">
        <is>
          <t>3</t>
        </is>
      </c>
      <c r="E788" s="45" t="inlineStr"/>
      <c r="F788" s="45" t="inlineStr"/>
    </row>
    <row r="789" ht="13" customHeight="1">
      <c r="A789" s="43" t="inlineStr">
        <is>
          <t>6043</t>
        </is>
      </c>
      <c r="B789" s="43" t="inlineStr">
        <is>
          <t>14124</t>
        </is>
      </c>
      <c r="C789" s="43" t="inlineStr">
        <is>
          <t>2×2×3×11×107</t>
        </is>
      </c>
      <c r="D789" s="43" t="inlineStr">
        <is>
          <t>2·3·11</t>
        </is>
      </c>
      <c r="E789" s="43" t="inlineStr"/>
      <c r="F789" s="43" t="inlineStr"/>
    </row>
    <row r="790" ht="13" customHeight="1">
      <c r="A790" s="45" t="inlineStr">
        <is>
          <t>6047</t>
        </is>
      </c>
      <c r="B790" s="45" t="inlineStr">
        <is>
          <t>25050</t>
        </is>
      </c>
      <c r="C790" s="45" t="inlineStr">
        <is>
          <t>2×3×5×5×167</t>
        </is>
      </c>
      <c r="D790" s="45" t="inlineStr">
        <is>
          <t>2·3·5</t>
        </is>
      </c>
      <c r="E790" s="45" t="inlineStr"/>
      <c r="F790" s="45" t="inlineStr"/>
    </row>
    <row r="791" ht="13" customHeight="1">
      <c r="A791" s="49" t="inlineStr">
        <is>
          <t>6053</t>
        </is>
      </c>
      <c r="B791" s="49" t="inlineStr">
        <is>
          <t>3141</t>
        </is>
      </c>
      <c r="C791" s="49" t="inlineStr">
        <is>
          <t>3×3×349</t>
        </is>
      </c>
      <c r="D791" s="49" t="inlineStr">
        <is>
          <t>3</t>
        </is>
      </c>
      <c r="E791" s="49" t="inlineStr"/>
      <c r="F791" s="49" t="inlineStr"/>
    </row>
    <row r="792" ht="13" customHeight="1">
      <c r="A792" s="45" t="inlineStr">
        <is>
          <t>6067</t>
        </is>
      </c>
      <c r="B792" s="45" t="inlineStr">
        <is>
          <t>10118</t>
        </is>
      </c>
      <c r="C792" s="45" t="inlineStr">
        <is>
          <t>2×5059</t>
        </is>
      </c>
      <c r="D792" s="45" t="inlineStr">
        <is>
          <t>2</t>
        </is>
      </c>
      <c r="E792" s="45" t="inlineStr"/>
      <c r="F792" s="45" t="inlineStr"/>
    </row>
    <row r="793" ht="13" customHeight="1">
      <c r="A793" s="41" t="inlineStr">
        <is>
          <t>6073</t>
        </is>
      </c>
      <c r="B793" s="41" t="inlineStr">
        <is>
          <t>11781</t>
        </is>
      </c>
      <c r="C793" s="41" t="inlineStr">
        <is>
          <t>3×3×7×11×17</t>
        </is>
      </c>
      <c r="D793" s="41" t="inlineStr">
        <is>
          <t>3·7·11·17</t>
        </is>
      </c>
      <c r="E793" s="41" t="inlineStr"/>
      <c r="F793" s="41" t="inlineStr"/>
    </row>
    <row r="794" ht="13" customHeight="1">
      <c r="A794" s="45" t="inlineStr">
        <is>
          <t>6079</t>
        </is>
      </c>
      <c r="B794" s="45" t="inlineStr">
        <is>
          <t>31101</t>
        </is>
      </c>
      <c r="C794" s="45" t="inlineStr">
        <is>
          <t>3×7×1481</t>
        </is>
      </c>
      <c r="D794" s="45" t="inlineStr">
        <is>
          <t>3·7</t>
        </is>
      </c>
      <c r="E794" s="45" t="inlineStr"/>
      <c r="F794" s="45" t="inlineStr"/>
    </row>
    <row r="795" ht="13" customHeight="1">
      <c r="A795" s="49" t="inlineStr">
        <is>
          <t>6089</t>
        </is>
      </c>
      <c r="B795" s="49" t="inlineStr">
        <is>
          <t>15060</t>
        </is>
      </c>
      <c r="C795" s="49" t="inlineStr">
        <is>
          <t>2×2×3×5×251</t>
        </is>
      </c>
      <c r="D795" s="49" t="inlineStr">
        <is>
          <t>2·3·5</t>
        </is>
      </c>
      <c r="E795" s="49" t="inlineStr"/>
      <c r="F795" s="49" t="inlineStr"/>
    </row>
    <row r="796" ht="13" customHeight="1">
      <c r="A796" s="41" t="inlineStr">
        <is>
          <t>6091</t>
        </is>
      </c>
      <c r="B796" s="41" t="inlineStr">
        <is>
          <t>31110</t>
        </is>
      </c>
      <c r="C796" s="41" t="inlineStr">
        <is>
          <t>2×3×5×17×61</t>
        </is>
      </c>
      <c r="D796" s="41" t="inlineStr">
        <is>
          <t>2·3·5·17</t>
        </is>
      </c>
      <c r="E796" s="41" t="inlineStr"/>
      <c r="F796" s="41" t="inlineStr"/>
    </row>
    <row r="797" ht="13" customHeight="1">
      <c r="A797" s="49" t="inlineStr">
        <is>
          <t>6101</t>
        </is>
      </c>
      <c r="B797" s="49" t="inlineStr">
        <is>
          <t>24931</t>
        </is>
      </c>
      <c r="C797" s="49" t="inlineStr">
        <is>
          <t>107×233</t>
        </is>
      </c>
      <c r="D797" s="49" t="inlineStr">
        <is>
          <t>—</t>
        </is>
      </c>
      <c r="E797" s="49" t="inlineStr"/>
      <c r="F797" s="49" t="inlineStr"/>
    </row>
    <row r="798" ht="13" customHeight="1">
      <c r="A798" s="50" t="inlineStr">
        <is>
          <t>6113</t>
        </is>
      </c>
      <c r="B798" s="50" t="inlineStr">
        <is>
          <t>30911</t>
        </is>
      </c>
      <c r="C798" s="50" t="inlineStr">
        <is>
          <t>30911</t>
        </is>
      </c>
      <c r="D798" s="50" t="inlineStr">
        <is>
          <t>—</t>
        </is>
      </c>
      <c r="E798" s="50" t="inlineStr"/>
      <c r="F798" s="50" t="inlineStr"/>
    </row>
    <row r="799" ht="13" customHeight="1">
      <c r="A799" s="49" t="inlineStr">
        <is>
          <t>6121</t>
        </is>
      </c>
      <c r="B799" s="49" t="inlineStr">
        <is>
          <t>22883</t>
        </is>
      </c>
      <c r="C799" s="49" t="inlineStr">
        <is>
          <t>7×7×467</t>
        </is>
      </c>
      <c r="D799" s="49" t="inlineStr">
        <is>
          <t>7</t>
        </is>
      </c>
      <c r="E799" s="49" t="inlineStr"/>
      <c r="F799" s="49" t="inlineStr"/>
    </row>
    <row r="800" ht="13" customHeight="1">
      <c r="A800" s="45" t="inlineStr">
        <is>
          <t>6131</t>
        </is>
      </c>
      <c r="B800" s="45" t="inlineStr">
        <is>
          <t>22046</t>
        </is>
      </c>
      <c r="C800" s="45" t="inlineStr">
        <is>
          <t>2×73×151</t>
        </is>
      </c>
      <c r="D800" s="45" t="inlineStr">
        <is>
          <t>2</t>
        </is>
      </c>
      <c r="E800" s="45" t="inlineStr"/>
      <c r="F800" s="45" t="inlineStr"/>
    </row>
    <row r="801" ht="13" customHeight="1">
      <c r="A801" s="43" t="inlineStr">
        <is>
          <t>6133</t>
        </is>
      </c>
      <c r="B801" s="43" t="inlineStr">
        <is>
          <t>25003</t>
        </is>
      </c>
      <c r="C801" s="43" t="inlineStr">
        <is>
          <t>11×2273</t>
        </is>
      </c>
      <c r="D801" s="43" t="inlineStr">
        <is>
          <t>11</t>
        </is>
      </c>
      <c r="E801" s="43" t="inlineStr"/>
      <c r="F801" s="43" t="inlineStr"/>
    </row>
    <row r="802" ht="13" customHeight="1">
      <c r="A802" s="41" t="inlineStr">
        <is>
          <t>6143</t>
        </is>
      </c>
      <c r="B802" s="41" t="inlineStr">
        <is>
          <t>43732</t>
        </is>
      </c>
      <c r="C802" s="41" t="inlineStr">
        <is>
          <t>2×2×13×29×29</t>
        </is>
      </c>
      <c r="D802" s="41" t="inlineStr">
        <is>
          <t>2·13</t>
        </is>
      </c>
      <c r="E802" s="41" t="inlineStr"/>
      <c r="F802" s="41" t="inlineStr"/>
    </row>
    <row r="803" ht="13" customHeight="1">
      <c r="A803" s="43" t="inlineStr">
        <is>
          <t>6151</t>
        </is>
      </c>
      <c r="B803" s="43" t="inlineStr">
        <is>
          <t>21175</t>
        </is>
      </c>
      <c r="C803" s="43" t="inlineStr">
        <is>
          <t>5×5×7×11×11</t>
        </is>
      </c>
      <c r="D803" s="43" t="inlineStr">
        <is>
          <t>5·7·11</t>
        </is>
      </c>
      <c r="E803" s="43" t="inlineStr"/>
      <c r="F803" s="43" t="inlineStr"/>
    </row>
    <row r="804" ht="13" customHeight="1">
      <c r="A804" s="45" t="inlineStr">
        <is>
          <t>6163</t>
        </is>
      </c>
      <c r="B804" s="45" t="inlineStr">
        <is>
          <t>8674</t>
        </is>
      </c>
      <c r="C804" s="45" t="inlineStr">
        <is>
          <t>2×4337</t>
        </is>
      </c>
      <c r="D804" s="45" t="inlineStr">
        <is>
          <t>2</t>
        </is>
      </c>
      <c r="E804" s="45" t="inlineStr"/>
      <c r="F804" s="45" t="inlineStr"/>
    </row>
    <row r="805" ht="13" customHeight="1">
      <c r="A805" s="49" t="inlineStr">
        <is>
          <t>6173</t>
        </is>
      </c>
      <c r="B805" s="49" t="inlineStr">
        <is>
          <t>1526</t>
        </is>
      </c>
      <c r="C805" s="49" t="inlineStr">
        <is>
          <t>2×7×109</t>
        </is>
      </c>
      <c r="D805" s="49" t="inlineStr">
        <is>
          <t>2·7</t>
        </is>
      </c>
      <c r="E805" s="49" t="inlineStr"/>
      <c r="F805" s="49" t="inlineStr"/>
    </row>
    <row r="806" ht="13" customHeight="1">
      <c r="A806" s="45" t="inlineStr">
        <is>
          <t>6197</t>
        </is>
      </c>
      <c r="B806" s="45" t="inlineStr">
        <is>
          <t>5019</t>
        </is>
      </c>
      <c r="C806" s="45" t="inlineStr">
        <is>
          <t>3×7×239</t>
        </is>
      </c>
      <c r="D806" s="45" t="inlineStr">
        <is>
          <t>3·7</t>
        </is>
      </c>
      <c r="E806" s="45" t="inlineStr"/>
      <c r="F806" s="45" t="inlineStr"/>
    </row>
    <row r="807" ht="13" customHeight="1">
      <c r="A807" s="49" t="inlineStr">
        <is>
          <t>6199</t>
        </is>
      </c>
      <c r="B807" s="49" t="inlineStr">
        <is>
          <t>4764</t>
        </is>
      </c>
      <c r="C807" s="49" t="inlineStr">
        <is>
          <t>2×2×3×397</t>
        </is>
      </c>
      <c r="D807" s="49" t="inlineStr">
        <is>
          <t>2·3</t>
        </is>
      </c>
      <c r="E807" s="49" t="inlineStr"/>
      <c r="F807" s="49" t="inlineStr"/>
    </row>
    <row r="808" ht="13" customHeight="1">
      <c r="A808" s="50" t="inlineStr">
        <is>
          <t>6203</t>
        </is>
      </c>
      <c r="B808" s="50" t="inlineStr">
        <is>
          <t>3467</t>
        </is>
      </c>
      <c r="C808" s="50" t="inlineStr">
        <is>
          <t>3467</t>
        </is>
      </c>
      <c r="D808" s="50" t="inlineStr">
        <is>
          <t>—</t>
        </is>
      </c>
      <c r="E808" s="50" t="inlineStr"/>
      <c r="F808" s="50" t="inlineStr"/>
    </row>
    <row r="809" ht="13" customHeight="1">
      <c r="A809" s="49" t="inlineStr">
        <is>
          <t>6211</t>
        </is>
      </c>
      <c r="B809" s="49" t="inlineStr">
        <is>
          <t>41419</t>
        </is>
      </c>
      <c r="C809" s="49" t="inlineStr">
        <is>
          <t>7×61×97</t>
        </is>
      </c>
      <c r="D809" s="49" t="inlineStr">
        <is>
          <t>7</t>
        </is>
      </c>
      <c r="E809" s="49" t="inlineStr"/>
      <c r="F809" s="49" t="inlineStr"/>
    </row>
    <row r="810" ht="13" customHeight="1">
      <c r="A810" s="50" t="inlineStr">
        <is>
          <t>6217</t>
        </is>
      </c>
      <c r="B810" s="50" t="inlineStr">
        <is>
          <t>7669</t>
        </is>
      </c>
      <c r="C810" s="50" t="inlineStr">
        <is>
          <t>7669</t>
        </is>
      </c>
      <c r="D810" s="50" t="inlineStr">
        <is>
          <t>—</t>
        </is>
      </c>
      <c r="E810" s="50" t="inlineStr"/>
      <c r="F810" s="50" t="inlineStr"/>
    </row>
    <row r="811" ht="13" customHeight="1">
      <c r="A811" s="49" t="inlineStr">
        <is>
          <t>6221</t>
        </is>
      </c>
      <c r="B811" s="49" t="inlineStr">
        <is>
          <t>32160</t>
        </is>
      </c>
      <c r="C811" s="49" t="inlineStr">
        <is>
          <t>2×2×2×2×2×3×5×67</t>
        </is>
      </c>
      <c r="D811" s="49" t="inlineStr">
        <is>
          <t>2·3·5</t>
        </is>
      </c>
      <c r="E811" s="49" t="inlineStr"/>
      <c r="F811" s="49" t="inlineStr"/>
    </row>
    <row r="812" ht="13" customHeight="1">
      <c r="A812" s="41" t="inlineStr">
        <is>
          <t>6229</t>
        </is>
      </c>
      <c r="B812" s="41" t="inlineStr">
        <is>
          <t>10751</t>
        </is>
      </c>
      <c r="C812" s="41" t="inlineStr">
        <is>
          <t>13×827</t>
        </is>
      </c>
      <c r="D812" s="41" t="inlineStr">
        <is>
          <t>13</t>
        </is>
      </c>
      <c r="E812" s="41" t="inlineStr"/>
      <c r="F812" s="41" t="inlineStr"/>
    </row>
    <row r="813" ht="13" customHeight="1">
      <c r="A813" s="49" t="inlineStr">
        <is>
          <t>6247</t>
        </is>
      </c>
      <c r="B813" s="49" t="inlineStr">
        <is>
          <t>16483</t>
        </is>
      </c>
      <c r="C813" s="49" t="inlineStr">
        <is>
          <t>53×311</t>
        </is>
      </c>
      <c r="D813" s="49" t="inlineStr">
        <is>
          <t>—</t>
        </is>
      </c>
      <c r="E813" s="49" t="inlineStr"/>
      <c r="F813" s="49" t="inlineStr"/>
    </row>
    <row r="814" ht="13" customHeight="1">
      <c r="A814" s="45" t="inlineStr">
        <is>
          <t>6257</t>
        </is>
      </c>
      <c r="B814" s="45" t="inlineStr">
        <is>
          <t>29012</t>
        </is>
      </c>
      <c r="C814" s="45" t="inlineStr">
        <is>
          <t>2×2×7253</t>
        </is>
      </c>
      <c r="D814" s="45" t="inlineStr">
        <is>
          <t>2</t>
        </is>
      </c>
      <c r="E814" s="45" t="inlineStr"/>
      <c r="F814" s="45" t="inlineStr"/>
    </row>
    <row r="815" ht="13" customHeight="1">
      <c r="A815" s="43" t="inlineStr">
        <is>
          <t>6263</t>
        </is>
      </c>
      <c r="B815" s="43" t="inlineStr">
        <is>
          <t>25905</t>
        </is>
      </c>
      <c r="C815" s="43" t="inlineStr">
        <is>
          <t>3×5×11×157</t>
        </is>
      </c>
      <c r="D815" s="43" t="inlineStr">
        <is>
          <t>3·5·11</t>
        </is>
      </c>
      <c r="E815" s="43" t="inlineStr"/>
      <c r="F815" s="43" t="inlineStr"/>
    </row>
    <row r="816" ht="13" customHeight="1">
      <c r="A816" s="45" t="inlineStr">
        <is>
          <t>6269</t>
        </is>
      </c>
      <c r="B816" s="45" t="inlineStr">
        <is>
          <t>35559</t>
        </is>
      </c>
      <c r="C816" s="45" t="inlineStr">
        <is>
          <t>3×3×3×3×439</t>
        </is>
      </c>
      <c r="D816" s="45" t="inlineStr">
        <is>
          <t>3</t>
        </is>
      </c>
      <c r="E816" s="45" t="inlineStr"/>
      <c r="F816" s="45" t="inlineStr"/>
    </row>
    <row r="817" ht="13" customHeight="1">
      <c r="A817" s="49" t="inlineStr">
        <is>
          <t>6271</t>
        </is>
      </c>
      <c r="B817" s="49" t="inlineStr">
        <is>
          <t>38425</t>
        </is>
      </c>
      <c r="C817" s="49" t="inlineStr">
        <is>
          <t>5×5×29×53</t>
        </is>
      </c>
      <c r="D817" s="49" t="inlineStr">
        <is>
          <t>5</t>
        </is>
      </c>
      <c r="E817" s="49" t="inlineStr"/>
      <c r="F817" s="49" t="inlineStr"/>
    </row>
    <row r="818" ht="13" customHeight="1">
      <c r="A818" s="43" t="inlineStr">
        <is>
          <t>6277</t>
        </is>
      </c>
      <c r="B818" s="43" t="inlineStr">
        <is>
          <t>1210</t>
        </is>
      </c>
      <c r="C818" s="43" t="inlineStr">
        <is>
          <t>2×5×11×11</t>
        </is>
      </c>
      <c r="D818" s="43" t="inlineStr">
        <is>
          <t>2·5·11</t>
        </is>
      </c>
      <c r="E818" s="43" t="inlineStr"/>
      <c r="F818" s="43" t="inlineStr"/>
    </row>
    <row r="819" ht="13" customHeight="1">
      <c r="A819" s="49" t="inlineStr">
        <is>
          <t>6287</t>
        </is>
      </c>
      <c r="B819" s="49" t="inlineStr">
        <is>
          <t>10922</t>
        </is>
      </c>
      <c r="C819" s="49" t="inlineStr">
        <is>
          <t>2×43×127</t>
        </is>
      </c>
      <c r="D819" s="49" t="inlineStr">
        <is>
          <t>2</t>
        </is>
      </c>
      <c r="E819" s="49" t="inlineStr"/>
      <c r="F819" s="49" t="inlineStr"/>
    </row>
    <row r="820" ht="13" customHeight="1">
      <c r="A820" s="45" t="inlineStr">
        <is>
          <t>6299</t>
        </is>
      </c>
      <c r="B820" s="45" t="inlineStr">
        <is>
          <t>29449</t>
        </is>
      </c>
      <c r="C820" s="45" t="inlineStr">
        <is>
          <t>7×7×601</t>
        </is>
      </c>
      <c r="D820" s="45" t="inlineStr">
        <is>
          <t>7</t>
        </is>
      </c>
      <c r="E820" s="45" t="inlineStr"/>
      <c r="F820" s="45" t="inlineStr"/>
    </row>
    <row r="821" ht="13" customHeight="1">
      <c r="A821" s="41" t="inlineStr">
        <is>
          <t>6301</t>
        </is>
      </c>
      <c r="B821" s="41" t="inlineStr">
        <is>
          <t>13617</t>
        </is>
      </c>
      <c r="C821" s="41" t="inlineStr">
        <is>
          <t>3×3×17×89</t>
        </is>
      </c>
      <c r="D821" s="41" t="inlineStr">
        <is>
          <t>3·17</t>
        </is>
      </c>
      <c r="E821" s="41" t="inlineStr"/>
      <c r="F821" s="41" t="inlineStr"/>
    </row>
    <row r="822" ht="13" customHeight="1">
      <c r="A822" s="50" t="inlineStr">
        <is>
          <t>6311</t>
        </is>
      </c>
      <c r="B822" s="50" t="inlineStr">
        <is>
          <t>35963</t>
        </is>
      </c>
      <c r="C822" s="50" t="inlineStr">
        <is>
          <t>35963</t>
        </is>
      </c>
      <c r="D822" s="50" t="inlineStr">
        <is>
          <t>—</t>
        </is>
      </c>
      <c r="E822" s="50" t="inlineStr"/>
      <c r="F822" s="50" t="inlineStr"/>
    </row>
    <row r="823" ht="13" customHeight="1">
      <c r="A823" s="39" t="inlineStr">
        <is>
          <t>6317</t>
        </is>
      </c>
      <c r="B823" s="39" t="inlineStr">
        <is>
          <t>39200</t>
        </is>
      </c>
      <c r="C823" s="39" t="inlineStr">
        <is>
          <t>2×2×2×2×2×5×5×7×7</t>
        </is>
      </c>
      <c r="D823" s="39" t="inlineStr">
        <is>
          <t>2·5·7</t>
        </is>
      </c>
      <c r="E823" s="39" t="inlineStr"/>
      <c r="F823" s="39" t="inlineStr"/>
    </row>
    <row r="824" ht="13" customHeight="1">
      <c r="A824" s="45" t="inlineStr">
        <is>
          <t>6323</t>
        </is>
      </c>
      <c r="B824" s="45" t="inlineStr">
        <is>
          <t>35374</t>
        </is>
      </c>
      <c r="C824" s="45" t="inlineStr">
        <is>
          <t>2×23×769</t>
        </is>
      </c>
      <c r="D824" s="45" t="inlineStr">
        <is>
          <t>2</t>
        </is>
      </c>
      <c r="E824" s="45" t="inlineStr"/>
      <c r="F824" s="45" t="inlineStr"/>
    </row>
    <row r="825" ht="13" customHeight="1">
      <c r="A825" s="49" t="inlineStr">
        <is>
          <t>6329</t>
        </is>
      </c>
      <c r="B825" s="49" t="inlineStr">
        <is>
          <t>5446</t>
        </is>
      </c>
      <c r="C825" s="49" t="inlineStr">
        <is>
          <t>2×7×389</t>
        </is>
      </c>
      <c r="D825" s="49" t="inlineStr">
        <is>
          <t>2·7</t>
        </is>
      </c>
      <c r="E825" s="49" t="inlineStr"/>
      <c r="F825" s="49" t="inlineStr"/>
    </row>
    <row r="826" ht="13" customHeight="1">
      <c r="A826" s="41" t="inlineStr">
        <is>
          <t>6337</t>
        </is>
      </c>
      <c r="B826" s="41" t="inlineStr">
        <is>
          <t>6149</t>
        </is>
      </c>
      <c r="C826" s="41" t="inlineStr">
        <is>
          <t>11×13×43</t>
        </is>
      </c>
      <c r="D826" s="41" t="inlineStr">
        <is>
          <t>11·13</t>
        </is>
      </c>
      <c r="E826" s="41" t="inlineStr"/>
      <c r="F826" s="41" t="inlineStr"/>
    </row>
    <row r="827" ht="13" customHeight="1">
      <c r="A827" s="49" t="inlineStr">
        <is>
          <t>6343</t>
        </is>
      </c>
      <c r="B827" s="49" t="inlineStr">
        <is>
          <t>4392</t>
        </is>
      </c>
      <c r="C827" s="49" t="inlineStr">
        <is>
          <t>2×2×2×3×3×61</t>
        </is>
      </c>
      <c r="D827" s="49" t="inlineStr">
        <is>
          <t>2·3</t>
        </is>
      </c>
      <c r="E827" s="49" t="inlineStr"/>
      <c r="F827" s="49" t="inlineStr"/>
    </row>
    <row r="828" ht="13" customHeight="1">
      <c r="A828" s="45" t="inlineStr">
        <is>
          <t>6353</t>
        </is>
      </c>
      <c r="B828" s="45" t="inlineStr">
        <is>
          <t>27594</t>
        </is>
      </c>
      <c r="C828" s="45" t="inlineStr">
        <is>
          <t>2×3×3×3×7×73</t>
        </is>
      </c>
      <c r="D828" s="45" t="inlineStr">
        <is>
          <t>2·3·7</t>
        </is>
      </c>
      <c r="E828" s="45" t="inlineStr"/>
      <c r="F828" s="45" t="inlineStr"/>
    </row>
    <row r="829" ht="13" customHeight="1">
      <c r="A829" s="39" t="inlineStr">
        <is>
          <t>6359</t>
        </is>
      </c>
      <c r="B829" s="39" t="inlineStr">
        <is>
          <t>1701</t>
        </is>
      </c>
      <c r="C829" s="39" t="inlineStr">
        <is>
          <t>3×3×3×3×3×7</t>
        </is>
      </c>
      <c r="D829" s="39" t="inlineStr">
        <is>
          <t>3·7</t>
        </is>
      </c>
      <c r="E829" s="39" t="inlineStr"/>
      <c r="F829" s="39" t="inlineStr"/>
    </row>
    <row r="830" ht="13" customHeight="1">
      <c r="A830" s="45" t="inlineStr">
        <is>
          <t>6361</t>
        </is>
      </c>
      <c r="B830" s="45" t="inlineStr">
        <is>
          <t>40896</t>
        </is>
      </c>
      <c r="C830" s="45" t="inlineStr">
        <is>
          <t>2×2×2×2×2×2×3×3×71</t>
        </is>
      </c>
      <c r="D830" s="45" t="inlineStr">
        <is>
          <t>2·3</t>
        </is>
      </c>
      <c r="E830" s="45" t="inlineStr"/>
      <c r="F830" s="45" t="inlineStr"/>
    </row>
    <row r="831" ht="13" customHeight="1">
      <c r="A831" s="49" t="inlineStr">
        <is>
          <t>6367</t>
        </is>
      </c>
      <c r="B831" s="49" t="inlineStr">
        <is>
          <t>28400</t>
        </is>
      </c>
      <c r="C831" s="49" t="inlineStr">
        <is>
          <t>2×2×2×2×5×5×71</t>
        </is>
      </c>
      <c r="D831" s="49" t="inlineStr">
        <is>
          <t>2·5</t>
        </is>
      </c>
      <c r="E831" s="49" t="inlineStr"/>
      <c r="F831" s="49" t="inlineStr"/>
    </row>
    <row r="832" ht="13" customHeight="1">
      <c r="A832" s="45" t="inlineStr">
        <is>
          <t>6373</t>
        </is>
      </c>
      <c r="B832" s="45" t="inlineStr">
        <is>
          <t>27869</t>
        </is>
      </c>
      <c r="C832" s="45" t="inlineStr">
        <is>
          <t>29×31×31</t>
        </is>
      </c>
      <c r="D832" s="45" t="inlineStr">
        <is>
          <t>—</t>
        </is>
      </c>
      <c r="E832" s="45" t="inlineStr"/>
      <c r="F832" s="45" t="inlineStr"/>
    </row>
    <row r="833" ht="13" customHeight="1">
      <c r="A833" s="49" t="inlineStr">
        <is>
          <t>6379</t>
        </is>
      </c>
      <c r="B833" s="49" t="inlineStr">
        <is>
          <t>25072</t>
        </is>
      </c>
      <c r="C833" s="49" t="inlineStr">
        <is>
          <t>2×2×2×2×1567</t>
        </is>
      </c>
      <c r="D833" s="49" t="inlineStr">
        <is>
          <t>2</t>
        </is>
      </c>
      <c r="E833" s="49" t="inlineStr"/>
      <c r="F833" s="49" t="inlineStr"/>
    </row>
    <row r="834" ht="13" customHeight="1">
      <c r="A834" s="45" t="inlineStr">
        <is>
          <t>6389</t>
        </is>
      </c>
      <c r="B834" s="45" t="inlineStr">
        <is>
          <t>417</t>
        </is>
      </c>
      <c r="C834" s="45" t="inlineStr">
        <is>
          <t>3×139</t>
        </is>
      </c>
      <c r="D834" s="45" t="inlineStr">
        <is>
          <t>3</t>
        </is>
      </c>
      <c r="E834" s="45" t="inlineStr"/>
      <c r="F834" s="45" t="inlineStr"/>
    </row>
    <row r="835" ht="13" customHeight="1">
      <c r="A835" s="43" t="inlineStr">
        <is>
          <t>6397</t>
        </is>
      </c>
      <c r="B835" s="43" t="inlineStr">
        <is>
          <t>27797</t>
        </is>
      </c>
      <c r="C835" s="43" t="inlineStr">
        <is>
          <t>7×11×19×19</t>
        </is>
      </c>
      <c r="D835" s="43" t="inlineStr">
        <is>
          <t>7·11·19</t>
        </is>
      </c>
      <c r="E835" s="43" t="inlineStr"/>
      <c r="F835" s="43" t="inlineStr"/>
    </row>
    <row r="836" ht="13" customHeight="1">
      <c r="A836" s="45" t="inlineStr">
        <is>
          <t>6421</t>
        </is>
      </c>
      <c r="B836" s="45" t="inlineStr">
        <is>
          <t>6216</t>
        </is>
      </c>
      <c r="C836" s="45" t="inlineStr">
        <is>
          <t>2×2×2×3×7×37</t>
        </is>
      </c>
      <c r="D836" s="45" t="inlineStr">
        <is>
          <t>2·3·7</t>
        </is>
      </c>
      <c r="E836" s="45" t="inlineStr"/>
      <c r="F836" s="45" t="inlineStr"/>
    </row>
    <row r="837" ht="13" customHeight="1">
      <c r="A837" s="49" t="inlineStr">
        <is>
          <t>6427</t>
        </is>
      </c>
      <c r="B837" s="49" t="inlineStr">
        <is>
          <t>36303</t>
        </is>
      </c>
      <c r="C837" s="49" t="inlineStr">
        <is>
          <t>3×12101</t>
        </is>
      </c>
      <c r="D837" s="49" t="inlineStr">
        <is>
          <t>3</t>
        </is>
      </c>
      <c r="E837" s="49" t="inlineStr"/>
      <c r="F837" s="49" t="inlineStr"/>
    </row>
    <row r="838" ht="13" customHeight="1">
      <c r="A838" s="41" t="inlineStr">
        <is>
          <t>6449</t>
        </is>
      </c>
      <c r="B838" s="41" t="inlineStr">
        <is>
          <t>325</t>
        </is>
      </c>
      <c r="C838" s="41" t="inlineStr">
        <is>
          <t>5×5×13</t>
        </is>
      </c>
      <c r="D838" s="41" t="inlineStr">
        <is>
          <t>5·13</t>
        </is>
      </c>
      <c r="E838" s="41" t="inlineStr"/>
      <c r="F838" s="41" t="inlineStr"/>
    </row>
    <row r="839" ht="13" customHeight="1">
      <c r="A839" s="50" t="inlineStr">
        <is>
          <t>6451</t>
        </is>
      </c>
      <c r="B839" s="50" t="inlineStr">
        <is>
          <t>42083</t>
        </is>
      </c>
      <c r="C839" s="50" t="inlineStr">
        <is>
          <t>42083</t>
        </is>
      </c>
      <c r="D839" s="50" t="inlineStr">
        <is>
          <t>—</t>
        </is>
      </c>
      <c r="E839" s="50" t="inlineStr"/>
      <c r="F839" s="50" t="inlineStr"/>
    </row>
    <row r="840" ht="13" customHeight="1">
      <c r="A840" s="45" t="inlineStr">
        <is>
          <t>6469</t>
        </is>
      </c>
      <c r="B840" s="45" t="inlineStr">
        <is>
          <t>20017</t>
        </is>
      </c>
      <c r="C840" s="45" t="inlineStr">
        <is>
          <t>37×541</t>
        </is>
      </c>
      <c r="D840" s="45" t="inlineStr">
        <is>
          <t>—</t>
        </is>
      </c>
      <c r="E840" s="45" t="inlineStr"/>
      <c r="F840" s="45" t="inlineStr"/>
    </row>
    <row r="841" ht="13" customHeight="1">
      <c r="A841" s="49" t="inlineStr">
        <is>
          <t>6473</t>
        </is>
      </c>
      <c r="B841" s="49" t="inlineStr">
        <is>
          <t>43837</t>
        </is>
      </c>
      <c r="C841" s="49" t="inlineStr">
        <is>
          <t>59×743</t>
        </is>
      </c>
      <c r="D841" s="49" t="inlineStr">
        <is>
          <t>—</t>
        </is>
      </c>
      <c r="E841" s="49" t="inlineStr"/>
      <c r="F841" s="49" t="inlineStr"/>
    </row>
    <row r="842" ht="13" customHeight="1">
      <c r="A842" s="50" t="inlineStr">
        <is>
          <t>6481</t>
        </is>
      </c>
      <c r="B842" s="50" t="inlineStr">
        <is>
          <t>7717</t>
        </is>
      </c>
      <c r="C842" s="50" t="inlineStr">
        <is>
          <t>7717</t>
        </is>
      </c>
      <c r="D842" s="50" t="inlineStr">
        <is>
          <t>—</t>
        </is>
      </c>
      <c r="E842" s="50" t="inlineStr"/>
      <c r="F842" s="50" t="inlineStr"/>
    </row>
    <row r="843" ht="13" customHeight="1">
      <c r="A843" s="49" t="inlineStr">
        <is>
          <t>6491</t>
        </is>
      </c>
      <c r="B843" s="49" t="inlineStr">
        <is>
          <t>38656</t>
        </is>
      </c>
      <c r="C843" s="49" t="inlineStr">
        <is>
          <t>2×2×2×2×2×2×2×2×151</t>
        </is>
      </c>
      <c r="D843" s="49" t="inlineStr">
        <is>
          <t>2</t>
        </is>
      </c>
      <c r="E843" s="49" t="inlineStr"/>
      <c r="F843" s="49" t="inlineStr"/>
    </row>
    <row r="844" ht="13" customHeight="1">
      <c r="A844" s="41" t="inlineStr">
        <is>
          <t>6521</t>
        </is>
      </c>
      <c r="B844" s="41" t="inlineStr">
        <is>
          <t>41405</t>
        </is>
      </c>
      <c r="C844" s="41" t="inlineStr">
        <is>
          <t>5×7×7×13×13</t>
        </is>
      </c>
      <c r="D844" s="41" t="inlineStr">
        <is>
          <t>5·7·13</t>
        </is>
      </c>
      <c r="E844" s="41" t="inlineStr"/>
      <c r="F844" s="41" t="inlineStr"/>
    </row>
    <row r="845" ht="13" customHeight="1">
      <c r="A845" s="49" t="inlineStr">
        <is>
          <t>6529</t>
        </is>
      </c>
      <c r="B845" s="49" t="inlineStr">
        <is>
          <t>5930</t>
        </is>
      </c>
      <c r="C845" s="49" t="inlineStr">
        <is>
          <t>2×5×593</t>
        </is>
      </c>
      <c r="D845" s="49" t="inlineStr">
        <is>
          <t>2·5</t>
        </is>
      </c>
      <c r="E845" s="49" t="inlineStr"/>
      <c r="F845" s="49" t="inlineStr"/>
    </row>
    <row r="846" ht="13" customHeight="1">
      <c r="A846" s="43" t="inlineStr">
        <is>
          <t>6547</t>
        </is>
      </c>
      <c r="B846" s="43" t="inlineStr">
        <is>
          <t>18843</t>
        </is>
      </c>
      <c r="C846" s="43" t="inlineStr">
        <is>
          <t>3×11×571</t>
        </is>
      </c>
      <c r="D846" s="43" t="inlineStr">
        <is>
          <t>3·11</t>
        </is>
      </c>
      <c r="E846" s="43" t="inlineStr"/>
      <c r="F846" s="43" t="inlineStr"/>
    </row>
    <row r="847" ht="13" customHeight="1">
      <c r="A847" s="49" t="inlineStr">
        <is>
          <t>6551</t>
        </is>
      </c>
      <c r="B847" s="49" t="inlineStr">
        <is>
          <t>15040</t>
        </is>
      </c>
      <c r="C847" s="49" t="inlineStr">
        <is>
          <t>2×2×2×2×2×2×5×47</t>
        </is>
      </c>
      <c r="D847" s="49" t="inlineStr">
        <is>
          <t>2·5</t>
        </is>
      </c>
      <c r="E847" s="49" t="inlineStr"/>
      <c r="F847" s="49" t="inlineStr"/>
    </row>
    <row r="848" ht="13" customHeight="1">
      <c r="A848" s="45" t="inlineStr">
        <is>
          <t>6553</t>
        </is>
      </c>
      <c r="B848" s="45" t="inlineStr">
        <is>
          <t>26200</t>
        </is>
      </c>
      <c r="C848" s="45" t="inlineStr">
        <is>
          <t>2×2×2×5×5×131</t>
        </is>
      </c>
      <c r="D848" s="45" t="inlineStr">
        <is>
          <t>2·5</t>
        </is>
      </c>
      <c r="E848" s="45" t="inlineStr"/>
      <c r="F848" s="45" t="inlineStr"/>
    </row>
    <row r="849" ht="13" customHeight="1">
      <c r="A849" s="41" t="inlineStr">
        <is>
          <t>6563</t>
        </is>
      </c>
      <c r="B849" s="41" t="inlineStr">
        <is>
          <t>29546</t>
        </is>
      </c>
      <c r="C849" s="41" t="inlineStr">
        <is>
          <t>2×11×17×79</t>
        </is>
      </c>
      <c r="D849" s="41" t="inlineStr">
        <is>
          <t>2·11·17</t>
        </is>
      </c>
      <c r="E849" s="41" t="inlineStr"/>
      <c r="F849" s="41" t="inlineStr"/>
    </row>
    <row r="850" ht="13" customHeight="1">
      <c r="A850" s="51" t="inlineStr">
        <is>
          <t>6569</t>
        </is>
      </c>
      <c r="B850" s="51" t="inlineStr">
        <is>
          <t>39463</t>
        </is>
      </c>
      <c r="C850" s="51" t="inlineStr">
        <is>
          <t>19×31×67</t>
        </is>
      </c>
      <c r="D850" s="51" t="inlineStr">
        <is>
          <t>19</t>
        </is>
      </c>
      <c r="E850" s="51" t="inlineStr"/>
      <c r="F850" s="51" t="inlineStr"/>
    </row>
    <row r="851" ht="13" customHeight="1">
      <c r="A851" s="49" t="inlineStr">
        <is>
          <t>6571</t>
        </is>
      </c>
      <c r="B851" s="49" t="inlineStr">
        <is>
          <t>18556</t>
        </is>
      </c>
      <c r="C851" s="49" t="inlineStr">
        <is>
          <t>2×2×4639</t>
        </is>
      </c>
      <c r="D851" s="49" t="inlineStr">
        <is>
          <t>2</t>
        </is>
      </c>
      <c r="E851" s="49" t="inlineStr"/>
      <c r="F851" s="49" t="inlineStr"/>
    </row>
    <row r="852" ht="13" customHeight="1">
      <c r="A852" s="45" t="inlineStr">
        <is>
          <t>6577</t>
        </is>
      </c>
      <c r="B852" s="45" t="inlineStr">
        <is>
          <t>10377</t>
        </is>
      </c>
      <c r="C852" s="45" t="inlineStr">
        <is>
          <t>3×3×1153</t>
        </is>
      </c>
      <c r="D852" s="45" t="inlineStr">
        <is>
          <t>3</t>
        </is>
      </c>
      <c r="E852" s="45" t="inlineStr"/>
      <c r="F852" s="45" t="inlineStr"/>
    </row>
    <row r="853" ht="13" customHeight="1">
      <c r="A853" s="49" t="inlineStr">
        <is>
          <t>6581</t>
        </is>
      </c>
      <c r="B853" s="49" t="inlineStr">
        <is>
          <t>34973</t>
        </is>
      </c>
      <c r="C853" s="49" t="inlineStr">
        <is>
          <t>41×853</t>
        </is>
      </c>
      <c r="D853" s="49" t="inlineStr">
        <is>
          <t>—</t>
        </is>
      </c>
      <c r="E853" s="49" t="inlineStr"/>
      <c r="F853" s="49" t="inlineStr"/>
    </row>
    <row r="854" ht="13" customHeight="1">
      <c r="A854" s="45" t="inlineStr">
        <is>
          <t>6599</t>
        </is>
      </c>
      <c r="B854" s="45" t="inlineStr">
        <is>
          <t>14866</t>
        </is>
      </c>
      <c r="C854" s="45" t="inlineStr">
        <is>
          <t>2×7433</t>
        </is>
      </c>
      <c r="D854" s="45" t="inlineStr">
        <is>
          <t>2</t>
        </is>
      </c>
      <c r="E854" s="45" t="inlineStr"/>
      <c r="F854" s="45" t="inlineStr"/>
    </row>
    <row r="855" ht="13" customHeight="1">
      <c r="A855" s="49" t="inlineStr">
        <is>
          <t>6607</t>
        </is>
      </c>
      <c r="B855" s="49" t="inlineStr">
        <is>
          <t>43288</t>
        </is>
      </c>
      <c r="C855" s="49" t="inlineStr">
        <is>
          <t>2×2×2×7×773</t>
        </is>
      </c>
      <c r="D855" s="49" t="inlineStr">
        <is>
          <t>2·7</t>
        </is>
      </c>
      <c r="E855" s="49" t="inlineStr"/>
      <c r="F855" s="49" t="inlineStr"/>
    </row>
    <row r="856" ht="13" customHeight="1">
      <c r="A856" s="45" t="inlineStr">
        <is>
          <t>6619</t>
        </is>
      </c>
      <c r="B856" s="45" t="inlineStr">
        <is>
          <t>26128</t>
        </is>
      </c>
      <c r="C856" s="45" t="inlineStr">
        <is>
          <t>2×2×2×2×23×71</t>
        </is>
      </c>
      <c r="D856" s="45" t="inlineStr">
        <is>
          <t>2</t>
        </is>
      </c>
      <c r="E856" s="45" t="inlineStr"/>
      <c r="F856" s="45" t="inlineStr"/>
    </row>
    <row r="857" ht="13" customHeight="1">
      <c r="A857" s="49" t="inlineStr">
        <is>
          <t>6637</t>
        </is>
      </c>
      <c r="B857" s="49" t="inlineStr">
        <is>
          <t>32673</t>
        </is>
      </c>
      <c r="C857" s="49" t="inlineStr">
        <is>
          <t>3×10891</t>
        </is>
      </c>
      <c r="D857" s="49" t="inlineStr">
        <is>
          <t>3</t>
        </is>
      </c>
      <c r="E857" s="49" t="inlineStr"/>
      <c r="F857" s="49" t="inlineStr"/>
    </row>
    <row r="858" ht="13" customHeight="1">
      <c r="A858" s="43" t="inlineStr">
        <is>
          <t>6653</t>
        </is>
      </c>
      <c r="B858" s="43" t="inlineStr">
        <is>
          <t>18293</t>
        </is>
      </c>
      <c r="C858" s="43" t="inlineStr">
        <is>
          <t>11×1663</t>
        </is>
      </c>
      <c r="D858" s="43" t="inlineStr">
        <is>
          <t>11</t>
        </is>
      </c>
      <c r="E858" s="43" t="inlineStr"/>
      <c r="F858" s="43" t="inlineStr"/>
    </row>
    <row r="859" ht="13" customHeight="1">
      <c r="A859" s="49" t="inlineStr">
        <is>
          <t>6659</t>
        </is>
      </c>
      <c r="B859" s="49" t="inlineStr">
        <is>
          <t>24590</t>
        </is>
      </c>
      <c r="C859" s="49" t="inlineStr">
        <is>
          <t>2×5×2459</t>
        </is>
      </c>
      <c r="D859" s="49" t="inlineStr">
        <is>
          <t>2·5</t>
        </is>
      </c>
      <c r="E859" s="49" t="inlineStr"/>
      <c r="F859" s="49" t="inlineStr"/>
    </row>
    <row r="860" ht="13" customHeight="1">
      <c r="A860" s="45" t="inlineStr">
        <is>
          <t>6661</t>
        </is>
      </c>
      <c r="B860" s="45" t="inlineStr">
        <is>
          <t>42320</t>
        </is>
      </c>
      <c r="C860" s="45" t="inlineStr">
        <is>
          <t>2×2×2×2×5×23×23</t>
        </is>
      </c>
      <c r="D860" s="45" t="inlineStr">
        <is>
          <t>2·5</t>
        </is>
      </c>
      <c r="E860" s="45" t="inlineStr"/>
      <c r="F860" s="45" t="inlineStr"/>
    </row>
    <row r="861" ht="13" customHeight="1">
      <c r="A861" s="49" t="inlineStr">
        <is>
          <t>6673</t>
        </is>
      </c>
      <c r="B861" s="49" t="inlineStr">
        <is>
          <t>13008</t>
        </is>
      </c>
      <c r="C861" s="49" t="inlineStr">
        <is>
          <t>2×2×2×2×3×271</t>
        </is>
      </c>
      <c r="D861" s="49" t="inlineStr">
        <is>
          <t>2·3</t>
        </is>
      </c>
      <c r="E861" s="49" t="inlineStr"/>
      <c r="F861" s="49" t="inlineStr"/>
    </row>
    <row r="862" ht="13" customHeight="1">
      <c r="A862" s="50" t="inlineStr">
        <is>
          <t>6679</t>
        </is>
      </c>
      <c r="B862" s="50" t="inlineStr">
        <is>
          <t>9413</t>
        </is>
      </c>
      <c r="C862" s="50" t="inlineStr">
        <is>
          <t>9413</t>
        </is>
      </c>
      <c r="D862" s="50" t="inlineStr">
        <is>
          <t>—</t>
        </is>
      </c>
      <c r="E862" s="50" t="inlineStr"/>
      <c r="F862" s="50" t="inlineStr"/>
    </row>
    <row r="863" ht="13" customHeight="1">
      <c r="A863" s="41" t="inlineStr">
        <is>
          <t>6689</t>
        </is>
      </c>
      <c r="B863" s="41" t="inlineStr">
        <is>
          <t>24765</t>
        </is>
      </c>
      <c r="C863" s="41" t="inlineStr">
        <is>
          <t>3×5×13×127</t>
        </is>
      </c>
      <c r="D863" s="41" t="inlineStr">
        <is>
          <t>3·5·13</t>
        </is>
      </c>
      <c r="E863" s="41" t="inlineStr"/>
      <c r="F863" s="41" t="inlineStr"/>
    </row>
    <row r="864" ht="13" customHeight="1">
      <c r="A864" s="45" t="inlineStr">
        <is>
          <t>6691</t>
        </is>
      </c>
      <c r="B864" s="45" t="inlineStr">
        <is>
          <t>29236</t>
        </is>
      </c>
      <c r="C864" s="45" t="inlineStr">
        <is>
          <t>2×2×7309</t>
        </is>
      </c>
      <c r="D864" s="45" t="inlineStr">
        <is>
          <t>2</t>
        </is>
      </c>
      <c r="E864" s="45" t="inlineStr"/>
      <c r="F864" s="45" t="inlineStr"/>
    </row>
    <row r="865" ht="13" customHeight="1">
      <c r="A865" s="49" t="inlineStr">
        <is>
          <t>6701</t>
        </is>
      </c>
      <c r="B865" s="49" t="inlineStr">
        <is>
          <t>12549</t>
        </is>
      </c>
      <c r="C865" s="49" t="inlineStr">
        <is>
          <t>3×47×89</t>
        </is>
      </c>
      <c r="D865" s="49" t="inlineStr">
        <is>
          <t>3</t>
        </is>
      </c>
      <c r="E865" s="49" t="inlineStr"/>
      <c r="F865" s="49" t="inlineStr"/>
    </row>
    <row r="866" ht="13" customHeight="1">
      <c r="A866" s="45" t="inlineStr">
        <is>
          <t>6703</t>
        </is>
      </c>
      <c r="B866" s="45" t="inlineStr">
        <is>
          <t>12218</t>
        </is>
      </c>
      <c r="C866" s="45" t="inlineStr">
        <is>
          <t>2×41×149</t>
        </is>
      </c>
      <c r="D866" s="45" t="inlineStr">
        <is>
          <t>2</t>
        </is>
      </c>
      <c r="E866" s="45" t="inlineStr"/>
      <c r="F866" s="45" t="inlineStr"/>
    </row>
    <row r="867" ht="13" customHeight="1">
      <c r="A867" s="41" t="inlineStr">
        <is>
          <t>6709</t>
        </is>
      </c>
      <c r="B867" s="41" t="inlineStr">
        <is>
          <t>14560</t>
        </is>
      </c>
      <c r="C867" s="41" t="inlineStr">
        <is>
          <t>2×2×2×2×2×5×7×13</t>
        </is>
      </c>
      <c r="D867" s="41" t="inlineStr">
        <is>
          <t>2·5·7·13</t>
        </is>
      </c>
      <c r="E867" s="41" t="inlineStr"/>
      <c r="F867" s="41" t="inlineStr"/>
    </row>
    <row r="868" ht="13" customHeight="1">
      <c r="A868" s="45" t="inlineStr">
        <is>
          <t>6719</t>
        </is>
      </c>
      <c r="B868" s="45" t="inlineStr">
        <is>
          <t>43393</t>
        </is>
      </c>
      <c r="C868" s="45" t="inlineStr">
        <is>
          <t>7×6199</t>
        </is>
      </c>
      <c r="D868" s="45" t="inlineStr">
        <is>
          <t>7</t>
        </is>
      </c>
      <c r="E868" s="45" t="inlineStr"/>
      <c r="F868" s="45" t="inlineStr"/>
    </row>
    <row r="869" ht="13" customHeight="1">
      <c r="A869" s="49" t="inlineStr">
        <is>
          <t>6733</t>
        </is>
      </c>
      <c r="B869" s="49" t="inlineStr">
        <is>
          <t>40276</t>
        </is>
      </c>
      <c r="C869" s="49" t="inlineStr">
        <is>
          <t>2×2×10069</t>
        </is>
      </c>
      <c r="D869" s="49" t="inlineStr">
        <is>
          <t>2</t>
        </is>
      </c>
      <c r="E869" s="49" t="inlineStr"/>
      <c r="F869" s="49" t="inlineStr"/>
    </row>
    <row r="870" ht="13" customHeight="1">
      <c r="A870" s="41" t="inlineStr">
        <is>
          <t>6737</t>
        </is>
      </c>
      <c r="B870" s="41" t="inlineStr">
        <is>
          <t>19839</t>
        </is>
      </c>
      <c r="C870" s="41" t="inlineStr">
        <is>
          <t>3×17×389</t>
        </is>
      </c>
      <c r="D870" s="41" t="inlineStr">
        <is>
          <t>3·17</t>
        </is>
      </c>
      <c r="E870" s="41" t="inlineStr"/>
      <c r="F870" s="41" t="inlineStr"/>
    </row>
    <row r="871" ht="13" customHeight="1">
      <c r="A871" s="49" t="inlineStr">
        <is>
          <t>6761</t>
        </is>
      </c>
      <c r="B871" s="49" t="inlineStr">
        <is>
          <t>34055</t>
        </is>
      </c>
      <c r="C871" s="49" t="inlineStr">
        <is>
          <t>5×7×7×139</t>
        </is>
      </c>
      <c r="D871" s="49" t="inlineStr">
        <is>
          <t>5·7</t>
        </is>
      </c>
      <c r="E871" s="49" t="inlineStr"/>
      <c r="F871" s="49" t="inlineStr"/>
    </row>
    <row r="872" ht="13" customHeight="1">
      <c r="A872" s="41" t="inlineStr">
        <is>
          <t>6763</t>
        </is>
      </c>
      <c r="B872" s="41" t="inlineStr">
        <is>
          <t>28899</t>
        </is>
      </c>
      <c r="C872" s="41" t="inlineStr">
        <is>
          <t>3×3×13×13×19</t>
        </is>
      </c>
      <c r="D872" s="41" t="inlineStr">
        <is>
          <t>3·13·19</t>
        </is>
      </c>
      <c r="E872" s="41" t="inlineStr"/>
      <c r="F872" s="41" t="inlineStr"/>
    </row>
    <row r="873" ht="13" customHeight="1">
      <c r="A873" s="49" t="inlineStr">
        <is>
          <t>6779</t>
        </is>
      </c>
      <c r="B873" s="49" t="inlineStr">
        <is>
          <t>27579</t>
        </is>
      </c>
      <c r="C873" s="49" t="inlineStr">
        <is>
          <t>3×29×317</t>
        </is>
      </c>
      <c r="D873" s="49" t="inlineStr">
        <is>
          <t>3</t>
        </is>
      </c>
      <c r="E873" s="49" t="inlineStr"/>
      <c r="F873" s="49" t="inlineStr"/>
    </row>
    <row r="874" ht="13" customHeight="1">
      <c r="A874" s="50" t="inlineStr">
        <is>
          <t>6781</t>
        </is>
      </c>
      <c r="B874" s="50" t="inlineStr">
        <is>
          <t>27809</t>
        </is>
      </c>
      <c r="C874" s="50" t="inlineStr">
        <is>
          <t>27809</t>
        </is>
      </c>
      <c r="D874" s="50" t="inlineStr">
        <is>
          <t>—</t>
        </is>
      </c>
      <c r="E874" s="50" t="inlineStr"/>
      <c r="F874" s="50" t="inlineStr"/>
    </row>
    <row r="875" ht="13" customHeight="1">
      <c r="A875" s="43" t="inlineStr">
        <is>
          <t>6791</t>
        </is>
      </c>
      <c r="B875" s="43" t="inlineStr">
        <is>
          <t>14498</t>
        </is>
      </c>
      <c r="C875" s="43" t="inlineStr">
        <is>
          <t>2×11×659</t>
        </is>
      </c>
      <c r="D875" s="43" t="inlineStr">
        <is>
          <t>2·11</t>
        </is>
      </c>
      <c r="E875" s="43" t="inlineStr"/>
      <c r="F875" s="43" t="inlineStr"/>
    </row>
    <row r="876" ht="13" customHeight="1">
      <c r="A876" s="45" t="inlineStr">
        <is>
          <t>6793</t>
        </is>
      </c>
      <c r="B876" s="45" t="inlineStr">
        <is>
          <t>6665</t>
        </is>
      </c>
      <c r="C876" s="45" t="inlineStr">
        <is>
          <t>5×31×43</t>
        </is>
      </c>
      <c r="D876" s="45" t="inlineStr">
        <is>
          <t>5</t>
        </is>
      </c>
      <c r="E876" s="45" t="inlineStr"/>
      <c r="F876" s="45" t="inlineStr"/>
    </row>
    <row r="877" ht="13" customHeight="1">
      <c r="A877" s="41" t="inlineStr">
        <is>
          <t>6803</t>
        </is>
      </c>
      <c r="B877" s="41" t="inlineStr">
        <is>
          <t>42796</t>
        </is>
      </c>
      <c r="C877" s="41" t="inlineStr">
        <is>
          <t>2×2×13×823</t>
        </is>
      </c>
      <c r="D877" s="41" t="inlineStr">
        <is>
          <t>2·13</t>
        </is>
      </c>
      <c r="E877" s="41" t="inlineStr"/>
      <c r="F877" s="41" t="inlineStr"/>
    </row>
    <row r="878" ht="13" customHeight="1">
      <c r="A878" s="45" t="inlineStr">
        <is>
          <t>6823</t>
        </is>
      </c>
      <c r="B878" s="45" t="inlineStr">
        <is>
          <t>17795</t>
        </is>
      </c>
      <c r="C878" s="45" t="inlineStr">
        <is>
          <t>5×3559</t>
        </is>
      </c>
      <c r="D878" s="45" t="inlineStr">
        <is>
          <t>5</t>
        </is>
      </c>
      <c r="E878" s="45" t="inlineStr"/>
      <c r="F878" s="45" t="inlineStr"/>
    </row>
    <row r="879" ht="13" customHeight="1">
      <c r="A879" s="49" t="inlineStr">
        <is>
          <t>6827</t>
        </is>
      </c>
      <c r="B879" s="49" t="inlineStr">
        <is>
          <t>291</t>
        </is>
      </c>
      <c r="C879" s="49" t="inlineStr">
        <is>
          <t>3×97</t>
        </is>
      </c>
      <c r="D879" s="49" t="inlineStr">
        <is>
          <t>3</t>
        </is>
      </c>
      <c r="E879" s="49" t="inlineStr"/>
      <c r="F879" s="49" t="inlineStr"/>
    </row>
    <row r="880" ht="13" customHeight="1">
      <c r="A880" s="45" t="inlineStr">
        <is>
          <t>6829</t>
        </is>
      </c>
      <c r="B880" s="45" t="inlineStr">
        <is>
          <t>19509</t>
        </is>
      </c>
      <c r="C880" s="45" t="inlineStr">
        <is>
          <t>3×7×929</t>
        </is>
      </c>
      <c r="D880" s="45" t="inlineStr">
        <is>
          <t>3·7</t>
        </is>
      </c>
      <c r="E880" s="45" t="inlineStr"/>
      <c r="F880" s="45" t="inlineStr"/>
    </row>
    <row r="881" ht="13" customHeight="1">
      <c r="A881" s="49" t="inlineStr">
        <is>
          <t>6833</t>
        </is>
      </c>
      <c r="B881" s="49" t="inlineStr">
        <is>
          <t>27499</t>
        </is>
      </c>
      <c r="C881" s="49" t="inlineStr">
        <is>
          <t>107×257</t>
        </is>
      </c>
      <c r="D881" s="49" t="inlineStr">
        <is>
          <t>—</t>
        </is>
      </c>
      <c r="E881" s="49" t="inlineStr"/>
      <c r="F881" s="49" t="inlineStr"/>
    </row>
    <row r="882" ht="13" customHeight="1">
      <c r="A882" s="51" t="inlineStr">
        <is>
          <t>6841</t>
        </is>
      </c>
      <c r="B882" s="51" t="inlineStr">
        <is>
          <t>40204</t>
        </is>
      </c>
      <c r="C882" s="51" t="inlineStr">
        <is>
          <t>2×2×19×23×23</t>
        </is>
      </c>
      <c r="D882" s="51" t="inlineStr">
        <is>
          <t>2·19</t>
        </is>
      </c>
      <c r="E882" s="51" t="inlineStr"/>
      <c r="F882" s="51" t="inlineStr"/>
    </row>
    <row r="883" ht="13" customHeight="1">
      <c r="A883" s="49" t="inlineStr">
        <is>
          <t>6857</t>
        </is>
      </c>
      <c r="B883" s="49" t="inlineStr">
        <is>
          <t>43674</t>
        </is>
      </c>
      <c r="C883" s="49" t="inlineStr">
        <is>
          <t>2×3×29×251</t>
        </is>
      </c>
      <c r="D883" s="49" t="inlineStr">
        <is>
          <t>2·3</t>
        </is>
      </c>
      <c r="E883" s="49" t="inlineStr"/>
      <c r="F883" s="49" t="inlineStr"/>
    </row>
    <row r="884" ht="13" customHeight="1">
      <c r="A884" s="45" t="inlineStr">
        <is>
          <t>6863</t>
        </is>
      </c>
      <c r="B884" s="45" t="inlineStr">
        <is>
          <t>36134</t>
        </is>
      </c>
      <c r="C884" s="45" t="inlineStr">
        <is>
          <t>2×7×29×89</t>
        </is>
      </c>
      <c r="D884" s="45" t="inlineStr">
        <is>
          <t>2·7</t>
        </is>
      </c>
      <c r="E884" s="45" t="inlineStr"/>
      <c r="F884" s="45" t="inlineStr"/>
    </row>
    <row r="885" ht="13" customHeight="1">
      <c r="A885" s="49" t="inlineStr">
        <is>
          <t>6869</t>
        </is>
      </c>
      <c r="B885" s="49" t="inlineStr">
        <is>
          <t>37556</t>
        </is>
      </c>
      <c r="C885" s="49" t="inlineStr">
        <is>
          <t>2×2×41×229</t>
        </is>
      </c>
      <c r="D885" s="49" t="inlineStr">
        <is>
          <t>2</t>
        </is>
      </c>
      <c r="E885" s="49" t="inlineStr"/>
      <c r="F885" s="49" t="inlineStr"/>
    </row>
    <row r="886" ht="13" customHeight="1">
      <c r="A886" s="41" t="inlineStr">
        <is>
          <t>6871</t>
        </is>
      </c>
      <c r="B886" s="41" t="inlineStr">
        <is>
          <t>22831</t>
        </is>
      </c>
      <c r="C886" s="41" t="inlineStr">
        <is>
          <t>17×17×79</t>
        </is>
      </c>
      <c r="D886" s="41" t="inlineStr">
        <is>
          <t>17</t>
        </is>
      </c>
      <c r="E886" s="41" t="inlineStr"/>
      <c r="F886" s="41" t="inlineStr"/>
    </row>
    <row r="887" ht="13" customHeight="1">
      <c r="A887" s="49" t="inlineStr">
        <is>
          <t>6883</t>
        </is>
      </c>
      <c r="B887" s="49" t="inlineStr">
        <is>
          <t>18732</t>
        </is>
      </c>
      <c r="C887" s="49" t="inlineStr">
        <is>
          <t>2×2×3×7×223</t>
        </is>
      </c>
      <c r="D887" s="49" t="inlineStr">
        <is>
          <t>2·3·7</t>
        </is>
      </c>
      <c r="E887" s="49" t="inlineStr"/>
      <c r="F887" s="49" t="inlineStr"/>
    </row>
    <row r="888" ht="13" customHeight="1">
      <c r="A888" s="45" t="inlineStr">
        <is>
          <t>6899</t>
        </is>
      </c>
      <c r="B888" s="45" t="inlineStr">
        <is>
          <t>33178</t>
        </is>
      </c>
      <c r="C888" s="45" t="inlineStr">
        <is>
          <t>2×53×313</t>
        </is>
      </c>
      <c r="D888" s="45" t="inlineStr">
        <is>
          <t>2</t>
        </is>
      </c>
      <c r="E888" s="45" t="inlineStr"/>
      <c r="F888" s="45" t="inlineStr"/>
    </row>
    <row r="889" ht="13" customHeight="1">
      <c r="A889" s="49" t="inlineStr">
        <is>
          <t>6907</t>
        </is>
      </c>
      <c r="B889" s="49" t="inlineStr">
        <is>
          <t>31580</t>
        </is>
      </c>
      <c r="C889" s="49" t="inlineStr">
        <is>
          <t>2×2×5×1579</t>
        </is>
      </c>
      <c r="D889" s="49" t="inlineStr">
        <is>
          <t>2·5</t>
        </is>
      </c>
      <c r="E889" s="49" t="inlineStr"/>
      <c r="F889" s="49" t="inlineStr"/>
    </row>
    <row r="890" ht="13" customHeight="1">
      <c r="A890" s="43" t="inlineStr">
        <is>
          <t>6911</t>
        </is>
      </c>
      <c r="B890" s="43" t="inlineStr">
        <is>
          <t>16995</t>
        </is>
      </c>
      <c r="C890" s="43" t="inlineStr">
        <is>
          <t>3×5×11×103</t>
        </is>
      </c>
      <c r="D890" s="43" t="inlineStr">
        <is>
          <t>3·5·11</t>
        </is>
      </c>
      <c r="E890" s="43" t="inlineStr"/>
      <c r="F890" s="43" t="inlineStr"/>
    </row>
    <row r="891" ht="13" customHeight="1">
      <c r="A891" s="49" t="inlineStr">
        <is>
          <t>6917</t>
        </is>
      </c>
      <c r="B891" s="49" t="inlineStr">
        <is>
          <t>4515</t>
        </is>
      </c>
      <c r="C891" s="49" t="inlineStr">
        <is>
          <t>3×5×7×43</t>
        </is>
      </c>
      <c r="D891" s="49" t="inlineStr">
        <is>
          <t>3·5·7</t>
        </is>
      </c>
      <c r="E891" s="49" t="inlineStr"/>
      <c r="F891" s="49" t="inlineStr"/>
    </row>
    <row r="892" ht="13" customHeight="1">
      <c r="A892" s="41" t="inlineStr">
        <is>
          <t>6947</t>
        </is>
      </c>
      <c r="B892" s="41" t="inlineStr">
        <is>
          <t>42789</t>
        </is>
      </c>
      <c r="C892" s="41" t="inlineStr">
        <is>
          <t>3×17×839</t>
        </is>
      </c>
      <c r="D892" s="41" t="inlineStr">
        <is>
          <t>3·17</t>
        </is>
      </c>
      <c r="E892" s="41" t="inlineStr"/>
      <c r="F892" s="41" t="inlineStr"/>
    </row>
    <row r="893" ht="13" customHeight="1">
      <c r="A893" s="43" t="inlineStr">
        <is>
          <t>6949</t>
        </is>
      </c>
      <c r="B893" s="43" t="inlineStr">
        <is>
          <t>18623</t>
        </is>
      </c>
      <c r="C893" s="43" t="inlineStr">
        <is>
          <t>11×1693</t>
        </is>
      </c>
      <c r="D893" s="43" t="inlineStr">
        <is>
          <t>11</t>
        </is>
      </c>
      <c r="E893" s="43" t="inlineStr"/>
      <c r="F893" s="43" t="inlineStr"/>
    </row>
    <row r="894" ht="13" customHeight="1">
      <c r="A894" s="41" t="inlineStr">
        <is>
          <t>6959</t>
        </is>
      </c>
      <c r="B894" s="41" t="inlineStr">
        <is>
          <t>30888</t>
        </is>
      </c>
      <c r="C894" s="41" t="inlineStr">
        <is>
          <t>2×2×2×3×3×3×11×13</t>
        </is>
      </c>
      <c r="D894" s="41" t="inlineStr">
        <is>
          <t>2·3·11·13</t>
        </is>
      </c>
      <c r="E894" s="41" t="inlineStr"/>
      <c r="F894" s="41" t="inlineStr"/>
    </row>
    <row r="895" ht="13" customHeight="1">
      <c r="A895" s="49" t="inlineStr">
        <is>
          <t>6961</t>
        </is>
      </c>
      <c r="B895" s="49" t="inlineStr">
        <is>
          <t>9742</t>
        </is>
      </c>
      <c r="C895" s="49" t="inlineStr">
        <is>
          <t>2×4871</t>
        </is>
      </c>
      <c r="D895" s="49" t="inlineStr">
        <is>
          <t>2</t>
        </is>
      </c>
      <c r="E895" s="49" t="inlineStr"/>
      <c r="F895" s="49" t="inlineStr"/>
    </row>
    <row r="896" ht="13" customHeight="1">
      <c r="A896" s="45" t="inlineStr">
        <is>
          <t>6967</t>
        </is>
      </c>
      <c r="B896" s="45" t="inlineStr">
        <is>
          <t>24348</t>
        </is>
      </c>
      <c r="C896" s="45" t="inlineStr">
        <is>
          <t>2×2×3×2029</t>
        </is>
      </c>
      <c r="D896" s="45" t="inlineStr">
        <is>
          <t>2·3</t>
        </is>
      </c>
      <c r="E896" s="45" t="inlineStr"/>
      <c r="F896" s="45" t="inlineStr"/>
    </row>
    <row r="897" ht="13" customHeight="1">
      <c r="A897" s="49" t="inlineStr">
        <is>
          <t>6971</t>
        </is>
      </c>
      <c r="B897" s="49" t="inlineStr">
        <is>
          <t>26566</t>
        </is>
      </c>
      <c r="C897" s="49" t="inlineStr">
        <is>
          <t>2×37×359</t>
        </is>
      </c>
      <c r="D897" s="49" t="inlineStr">
        <is>
          <t>2</t>
        </is>
      </c>
      <c r="E897" s="49" t="inlineStr"/>
      <c r="F897" s="49" t="inlineStr"/>
    </row>
    <row r="898" ht="13" customHeight="1">
      <c r="A898" s="41" t="inlineStr">
        <is>
          <t>6977</t>
        </is>
      </c>
      <c r="B898" s="41" t="inlineStr">
        <is>
          <t>17629</t>
        </is>
      </c>
      <c r="C898" s="41" t="inlineStr">
        <is>
          <t>17×17×61</t>
        </is>
      </c>
      <c r="D898" s="41" t="inlineStr">
        <is>
          <t>17</t>
        </is>
      </c>
      <c r="E898" s="41" t="inlineStr"/>
      <c r="F898" s="41" t="inlineStr"/>
    </row>
    <row r="899" ht="13" customHeight="1">
      <c r="A899" s="49" t="inlineStr">
        <is>
          <t>6983</t>
        </is>
      </c>
      <c r="B899" s="49" t="inlineStr">
        <is>
          <t>34058</t>
        </is>
      </c>
      <c r="C899" s="49" t="inlineStr">
        <is>
          <t>2×17029</t>
        </is>
      </c>
      <c r="D899" s="49" t="inlineStr">
        <is>
          <t>2</t>
        </is>
      </c>
      <c r="E899" s="49" t="inlineStr"/>
      <c r="F899" s="49" t="inlineStr"/>
    </row>
    <row r="900" ht="13" customHeight="1">
      <c r="A900" s="41" t="inlineStr">
        <is>
          <t>6991</t>
        </is>
      </c>
      <c r="B900" s="41" t="inlineStr">
        <is>
          <t>32149</t>
        </is>
      </c>
      <c r="C900" s="41" t="inlineStr">
        <is>
          <t>13×2473</t>
        </is>
      </c>
      <c r="D900" s="41" t="inlineStr">
        <is>
          <t>13</t>
        </is>
      </c>
      <c r="E900" s="41" t="inlineStr"/>
      <c r="F900" s="41" t="inlineStr"/>
    </row>
    <row r="901" ht="13" customHeight="1">
      <c r="A901" s="49" t="inlineStr">
        <is>
          <t>6997</t>
        </is>
      </c>
      <c r="B901" s="49" t="inlineStr">
        <is>
          <t>3681</t>
        </is>
      </c>
      <c r="C901" s="49" t="inlineStr">
        <is>
          <t>3×3×409</t>
        </is>
      </c>
      <c r="D901" s="49" t="inlineStr">
        <is>
          <t>3</t>
        </is>
      </c>
      <c r="E901" s="49" t="inlineStr"/>
      <c r="F901" s="49" t="inlineStr"/>
    </row>
    <row r="902" ht="13" customHeight="1">
      <c r="A902" s="45" t="inlineStr">
        <is>
          <t>7001</t>
        </is>
      </c>
      <c r="B902" s="45" t="inlineStr">
        <is>
          <t>16052</t>
        </is>
      </c>
      <c r="C902" s="45" t="inlineStr">
        <is>
          <t>2×2×4013</t>
        </is>
      </c>
      <c r="D902" s="45" t="inlineStr">
        <is>
          <t>2</t>
        </is>
      </c>
      <c r="E902" s="45" t="inlineStr"/>
      <c r="F902" s="45" t="inlineStr"/>
    </row>
    <row r="903" ht="13" customHeight="1">
      <c r="A903" s="49" t="inlineStr">
        <is>
          <t>7013</t>
        </is>
      </c>
      <c r="B903" s="49" t="inlineStr">
        <is>
          <t>34653</t>
        </is>
      </c>
      <c r="C903" s="49" t="inlineStr">
        <is>
          <t>3×11551</t>
        </is>
      </c>
      <c r="D903" s="49" t="inlineStr">
        <is>
          <t>3</t>
        </is>
      </c>
      <c r="E903" s="49" t="inlineStr"/>
      <c r="F903" s="49" t="inlineStr"/>
    </row>
    <row r="904" ht="13" customHeight="1">
      <c r="A904" s="45" t="inlineStr">
        <is>
          <t>7019</t>
        </is>
      </c>
      <c r="B904" s="45" t="inlineStr">
        <is>
          <t>13114</t>
        </is>
      </c>
      <c r="C904" s="45" t="inlineStr">
        <is>
          <t>2×79×83</t>
        </is>
      </c>
      <c r="D904" s="45" t="inlineStr">
        <is>
          <t>2</t>
        </is>
      </c>
      <c r="E904" s="45" t="inlineStr"/>
      <c r="F904" s="45" t="inlineStr"/>
    </row>
    <row r="905" ht="13" customHeight="1">
      <c r="A905" s="49" t="inlineStr">
        <is>
          <t>7027</t>
        </is>
      </c>
      <c r="B905" s="49" t="inlineStr">
        <is>
          <t>4757</t>
        </is>
      </c>
      <c r="C905" s="49" t="inlineStr">
        <is>
          <t>67×71</t>
        </is>
      </c>
      <c r="D905" s="49" t="inlineStr">
        <is>
          <t>—</t>
        </is>
      </c>
      <c r="E905" s="49" t="inlineStr"/>
      <c r="F905" s="49" t="inlineStr"/>
    </row>
    <row r="906" ht="13" customHeight="1">
      <c r="A906" s="45" t="inlineStr">
        <is>
          <t>7039</t>
        </is>
      </c>
      <c r="B906" s="45" t="inlineStr">
        <is>
          <t>43492</t>
        </is>
      </c>
      <c r="C906" s="45" t="inlineStr">
        <is>
          <t>2×2×83×131</t>
        </is>
      </c>
      <c r="D906" s="45" t="inlineStr">
        <is>
          <t>2</t>
        </is>
      </c>
      <c r="E906" s="45" t="inlineStr"/>
      <c r="F906" s="45" t="inlineStr"/>
    </row>
    <row r="907" ht="13" customHeight="1">
      <c r="A907" s="49" t="inlineStr">
        <is>
          <t>7043</t>
        </is>
      </c>
      <c r="B907" s="49" t="inlineStr">
        <is>
          <t>6557</t>
        </is>
      </c>
      <c r="C907" s="49" t="inlineStr">
        <is>
          <t>79×83</t>
        </is>
      </c>
      <c r="D907" s="49" t="inlineStr">
        <is>
          <t>—</t>
        </is>
      </c>
      <c r="E907" s="49" t="inlineStr"/>
      <c r="F907" s="49" t="inlineStr"/>
    </row>
    <row r="908" ht="13" customHeight="1">
      <c r="A908" s="45" t="inlineStr">
        <is>
          <t>7057</t>
        </is>
      </c>
      <c r="B908" s="45" t="inlineStr">
        <is>
          <t>9222</t>
        </is>
      </c>
      <c r="C908" s="45" t="inlineStr">
        <is>
          <t>2×3×29×53</t>
        </is>
      </c>
      <c r="D908" s="45" t="inlineStr">
        <is>
          <t>2·3</t>
        </is>
      </c>
      <c r="E908" s="45" t="inlineStr"/>
      <c r="F908" s="45" t="inlineStr"/>
    </row>
    <row r="909" ht="13" customHeight="1">
      <c r="A909" s="49" t="inlineStr">
        <is>
          <t>7069</t>
        </is>
      </c>
      <c r="B909" s="49" t="inlineStr">
        <is>
          <t>31068</t>
        </is>
      </c>
      <c r="C909" s="49" t="inlineStr">
        <is>
          <t>2×2×3×3×863</t>
        </is>
      </c>
      <c r="D909" s="49" t="inlineStr">
        <is>
          <t>2·3</t>
        </is>
      </c>
      <c r="E909" s="49" t="inlineStr"/>
      <c r="F909" s="49" t="inlineStr"/>
    </row>
    <row r="910" ht="13" customHeight="1">
      <c r="A910" s="51" t="inlineStr">
        <is>
          <t>7079</t>
        </is>
      </c>
      <c r="B910" s="51" t="inlineStr">
        <is>
          <t>5947</t>
        </is>
      </c>
      <c r="C910" s="51" t="inlineStr">
        <is>
          <t>19×313</t>
        </is>
      </c>
      <c r="D910" s="51" t="inlineStr">
        <is>
          <t>19</t>
        </is>
      </c>
      <c r="E910" s="51" t="inlineStr"/>
      <c r="F910" s="51" t="inlineStr"/>
    </row>
    <row r="911" ht="13" customHeight="1">
      <c r="A911" s="49" t="inlineStr">
        <is>
          <t>7103</t>
        </is>
      </c>
      <c r="B911" s="49" t="inlineStr">
        <is>
          <t>9589</t>
        </is>
      </c>
      <c r="C911" s="49" t="inlineStr">
        <is>
          <t>43×223</t>
        </is>
      </c>
      <c r="D911" s="49" t="inlineStr">
        <is>
          <t>—</t>
        </is>
      </c>
      <c r="E911" s="49" t="inlineStr"/>
      <c r="F911" s="49" t="inlineStr"/>
    </row>
    <row r="912" ht="13" customHeight="1">
      <c r="A912" s="41" t="inlineStr">
        <is>
          <t>7109</t>
        </is>
      </c>
      <c r="B912" s="41" t="inlineStr">
        <is>
          <t>25959</t>
        </is>
      </c>
      <c r="C912" s="41" t="inlineStr">
        <is>
          <t>3×17×509</t>
        </is>
      </c>
      <c r="D912" s="41" t="inlineStr">
        <is>
          <t>3·17</t>
        </is>
      </c>
      <c r="E912" s="41" t="inlineStr"/>
      <c r="F912" s="41" t="inlineStr"/>
    </row>
    <row r="913" ht="13" customHeight="1">
      <c r="A913" s="49" t="inlineStr">
        <is>
          <t>7121</t>
        </is>
      </c>
      <c r="B913" s="49" t="inlineStr">
        <is>
          <t>34570</t>
        </is>
      </c>
      <c r="C913" s="49" t="inlineStr">
        <is>
          <t>2×5×3457</t>
        </is>
      </c>
      <c r="D913" s="49" t="inlineStr">
        <is>
          <t>2·5</t>
        </is>
      </c>
      <c r="E913" s="49" t="inlineStr"/>
      <c r="F913" s="49" t="inlineStr"/>
    </row>
    <row r="914" ht="13" customHeight="1">
      <c r="A914" s="41" t="inlineStr">
        <is>
          <t>7127</t>
        </is>
      </c>
      <c r="B914" s="41" t="inlineStr">
        <is>
          <t>5239</t>
        </is>
      </c>
      <c r="C914" s="41" t="inlineStr">
        <is>
          <t>13×13×31</t>
        </is>
      </c>
      <c r="D914" s="41" t="inlineStr">
        <is>
          <t>13</t>
        </is>
      </c>
      <c r="E914" s="41" t="inlineStr"/>
      <c r="F914" s="41" t="inlineStr"/>
    </row>
    <row r="915" ht="13" customHeight="1">
      <c r="A915" s="49" t="inlineStr">
        <is>
          <t>7129</t>
        </is>
      </c>
      <c r="B915" s="49" t="inlineStr">
        <is>
          <t>20646</t>
        </is>
      </c>
      <c r="C915" s="49" t="inlineStr">
        <is>
          <t>2×3×3×31×37</t>
        </is>
      </c>
      <c r="D915" s="49" t="inlineStr">
        <is>
          <t>2·3</t>
        </is>
      </c>
      <c r="E915" s="49" t="inlineStr"/>
      <c r="F915" s="49" t="inlineStr"/>
    </row>
    <row r="916" ht="13" customHeight="1">
      <c r="A916" s="45" t="inlineStr">
        <is>
          <t>7151</t>
        </is>
      </c>
      <c r="B916" s="45" t="inlineStr">
        <is>
          <t>35829</t>
        </is>
      </c>
      <c r="C916" s="45" t="inlineStr">
        <is>
          <t>3×3×3×1327</t>
        </is>
      </c>
      <c r="D916" s="45" t="inlineStr">
        <is>
          <t>3</t>
        </is>
      </c>
      <c r="E916" s="45" t="inlineStr"/>
      <c r="F916" s="45" t="inlineStr"/>
    </row>
    <row r="917" ht="13" customHeight="1">
      <c r="A917" s="50" t="inlineStr">
        <is>
          <t>7159</t>
        </is>
      </c>
      <c r="B917" s="50" t="inlineStr">
        <is>
          <t>19501</t>
        </is>
      </c>
      <c r="C917" s="50" t="inlineStr">
        <is>
          <t>19501</t>
        </is>
      </c>
      <c r="D917" s="50" t="inlineStr">
        <is>
          <t>—</t>
        </is>
      </c>
      <c r="E917" s="50" t="inlineStr"/>
      <c r="F917" s="50" t="inlineStr"/>
    </row>
    <row r="918" ht="13" customHeight="1">
      <c r="A918" s="41" t="inlineStr">
        <is>
          <t>7177</t>
        </is>
      </c>
      <c r="B918" s="41" t="inlineStr">
        <is>
          <t>32006</t>
        </is>
      </c>
      <c r="C918" s="41" t="inlineStr">
        <is>
          <t>2×13×1231</t>
        </is>
      </c>
      <c r="D918" s="41" t="inlineStr">
        <is>
          <t>2·13</t>
        </is>
      </c>
      <c r="E918" s="41" t="inlineStr"/>
      <c r="F918" s="41" t="inlineStr"/>
    </row>
    <row r="919" ht="13" customHeight="1">
      <c r="A919" s="49" t="inlineStr">
        <is>
          <t>7187</t>
        </is>
      </c>
      <c r="B919" s="49" t="inlineStr">
        <is>
          <t>21586</t>
        </is>
      </c>
      <c r="C919" s="49" t="inlineStr">
        <is>
          <t>2×43×251</t>
        </is>
      </c>
      <c r="D919" s="49" t="inlineStr">
        <is>
          <t>2</t>
        </is>
      </c>
      <c r="E919" s="49" t="inlineStr"/>
      <c r="F919" s="49" t="inlineStr"/>
    </row>
    <row r="920" ht="13" customHeight="1">
      <c r="A920" s="45" t="inlineStr">
        <is>
          <t>7193</t>
        </is>
      </c>
      <c r="B920" s="45" t="inlineStr">
        <is>
          <t>33095</t>
        </is>
      </c>
      <c r="C920" s="45" t="inlineStr">
        <is>
          <t>5×6619</t>
        </is>
      </c>
      <c r="D920" s="45" t="inlineStr">
        <is>
          <t>5</t>
        </is>
      </c>
      <c r="E920" s="45" t="inlineStr"/>
      <c r="F920" s="45" t="inlineStr"/>
    </row>
    <row r="921" ht="13" customHeight="1">
      <c r="A921" s="41" t="inlineStr">
        <is>
          <t>7207</t>
        </is>
      </c>
      <c r="B921" s="41" t="inlineStr">
        <is>
          <t>24258</t>
        </is>
      </c>
      <c r="C921" s="41" t="inlineStr">
        <is>
          <t>2×3×13×311</t>
        </is>
      </c>
      <c r="D921" s="41" t="inlineStr">
        <is>
          <t>2·3·13</t>
        </is>
      </c>
      <c r="E921" s="41" t="inlineStr"/>
      <c r="F921" s="41" t="inlineStr"/>
    </row>
    <row r="922" ht="13" customHeight="1">
      <c r="A922" s="50" t="inlineStr">
        <is>
          <t>7211</t>
        </is>
      </c>
      <c r="B922" s="50" t="inlineStr">
        <is>
          <t>9311</t>
        </is>
      </c>
      <c r="C922" s="50" t="inlineStr">
        <is>
          <t>9311</t>
        </is>
      </c>
      <c r="D922" s="50" t="inlineStr">
        <is>
          <t>—</t>
        </is>
      </c>
      <c r="E922" s="50" t="inlineStr"/>
      <c r="F922" s="50" t="inlineStr"/>
    </row>
    <row r="923" ht="13" customHeight="1">
      <c r="A923" s="49" t="inlineStr">
        <is>
          <t>7213</t>
        </is>
      </c>
      <c r="B923" s="49" t="inlineStr">
        <is>
          <t>40452</t>
        </is>
      </c>
      <c r="C923" s="49" t="inlineStr">
        <is>
          <t>2×2×3×3371</t>
        </is>
      </c>
      <c r="D923" s="49" t="inlineStr">
        <is>
          <t>2·3</t>
        </is>
      </c>
      <c r="E923" s="49" t="inlineStr"/>
      <c r="F923" s="49" t="inlineStr"/>
    </row>
    <row r="924" ht="13" customHeight="1">
      <c r="A924" s="41" t="inlineStr">
        <is>
          <t>7219</t>
        </is>
      </c>
      <c r="B924" s="41" t="inlineStr">
        <is>
          <t>20124</t>
        </is>
      </c>
      <c r="C924" s="41" t="inlineStr">
        <is>
          <t>2×2×3×3×13×43</t>
        </is>
      </c>
      <c r="D924" s="41" t="inlineStr">
        <is>
          <t>2·3·13</t>
        </is>
      </c>
      <c r="E924" s="41" t="inlineStr"/>
      <c r="F924" s="41" t="inlineStr"/>
    </row>
    <row r="925" ht="13" customHeight="1">
      <c r="A925" s="41" t="inlineStr">
        <is>
          <t>7229</t>
        </is>
      </c>
      <c r="B925" s="41" t="inlineStr">
        <is>
          <t>12090</t>
        </is>
      </c>
      <c r="C925" s="41" t="inlineStr">
        <is>
          <t>2×3×5×13×31</t>
        </is>
      </c>
      <c r="D925" s="41" t="inlineStr">
        <is>
          <t>2·3·5·13</t>
        </is>
      </c>
      <c r="E925" s="41" t="inlineStr"/>
      <c r="F925" s="41" t="inlineStr"/>
    </row>
    <row r="926" ht="13" customHeight="1">
      <c r="A926" s="50" t="inlineStr">
        <is>
          <t>7237</t>
        </is>
      </c>
      <c r="B926" s="50" t="inlineStr">
        <is>
          <t>5431</t>
        </is>
      </c>
      <c r="C926" s="50" t="inlineStr">
        <is>
          <t>5431</t>
        </is>
      </c>
      <c r="D926" s="50" t="inlineStr">
        <is>
          <t>—</t>
        </is>
      </c>
      <c r="E926" s="50" t="inlineStr"/>
      <c r="F926" s="50" t="inlineStr"/>
    </row>
    <row r="927" ht="13" customHeight="1">
      <c r="A927" s="49" t="inlineStr">
        <is>
          <t>7243</t>
        </is>
      </c>
      <c r="B927" s="49" t="inlineStr">
        <is>
          <t>2611</t>
        </is>
      </c>
      <c r="C927" s="49" t="inlineStr">
        <is>
          <t>7×373</t>
        </is>
      </c>
      <c r="D927" s="49" t="inlineStr">
        <is>
          <t>7</t>
        </is>
      </c>
      <c r="E927" s="49" t="inlineStr"/>
      <c r="F927" s="49" t="inlineStr"/>
    </row>
    <row r="928" ht="13" customHeight="1">
      <c r="A928" s="41" t="inlineStr">
        <is>
          <t>7247</t>
        </is>
      </c>
      <c r="B928" s="41" t="inlineStr">
        <is>
          <t>38181</t>
        </is>
      </c>
      <c r="C928" s="41" t="inlineStr">
        <is>
          <t>3×11×13×89</t>
        </is>
      </c>
      <c r="D928" s="41" t="inlineStr">
        <is>
          <t>3·11·13</t>
        </is>
      </c>
      <c r="E928" s="41" t="inlineStr"/>
      <c r="F928" s="41" t="inlineStr"/>
    </row>
    <row r="929" ht="13" customHeight="1">
      <c r="A929" s="49" t="inlineStr">
        <is>
          <t>7253</t>
        </is>
      </c>
      <c r="B929" s="49" t="inlineStr">
        <is>
          <t>12063</t>
        </is>
      </c>
      <c r="C929" s="49" t="inlineStr">
        <is>
          <t>3×4021</t>
        </is>
      </c>
      <c r="D929" s="49" t="inlineStr">
        <is>
          <t>3</t>
        </is>
      </c>
      <c r="E929" s="49" t="inlineStr"/>
      <c r="F929" s="49" t="inlineStr"/>
    </row>
    <row r="930" ht="13" customHeight="1">
      <c r="A930" s="41" t="inlineStr">
        <is>
          <t>7283</t>
        </is>
      </c>
      <c r="B930" s="41" t="inlineStr">
        <is>
          <t>8024</t>
        </is>
      </c>
      <c r="C930" s="41" t="inlineStr">
        <is>
          <t>2×2×2×17×59</t>
        </is>
      </c>
      <c r="D930" s="41" t="inlineStr">
        <is>
          <t>2·17</t>
        </is>
      </c>
      <c r="E930" s="41" t="inlineStr"/>
      <c r="F930" s="41" t="inlineStr"/>
    </row>
    <row r="931" ht="13" customHeight="1">
      <c r="A931" s="50" t="inlineStr">
        <is>
          <t>7297</t>
        </is>
      </c>
      <c r="B931" s="50" t="inlineStr">
        <is>
          <t>25819</t>
        </is>
      </c>
      <c r="C931" s="50" t="inlineStr">
        <is>
          <t>25819</t>
        </is>
      </c>
      <c r="D931" s="50" t="inlineStr">
        <is>
          <t>—</t>
        </is>
      </c>
      <c r="E931" s="50" t="inlineStr"/>
      <c r="F931" s="50" t="inlineStr"/>
    </row>
    <row r="932" ht="13" customHeight="1">
      <c r="A932" s="43" t="inlineStr">
        <is>
          <t>7307</t>
        </is>
      </c>
      <c r="B932" s="43" t="inlineStr">
        <is>
          <t>20471</t>
        </is>
      </c>
      <c r="C932" s="43" t="inlineStr">
        <is>
          <t>11×1861</t>
        </is>
      </c>
      <c r="D932" s="43" t="inlineStr">
        <is>
          <t>11</t>
        </is>
      </c>
      <c r="E932" s="43" t="inlineStr"/>
      <c r="F932" s="43" t="inlineStr"/>
    </row>
    <row r="933" ht="13" customHeight="1">
      <c r="A933" s="41" t="inlineStr">
        <is>
          <t>7309</t>
        </is>
      </c>
      <c r="B933" s="41" t="inlineStr">
        <is>
          <t>4641</t>
        </is>
      </c>
      <c r="C933" s="41" t="inlineStr">
        <is>
          <t>3×7×13×17</t>
        </is>
      </c>
      <c r="D933" s="41" t="inlineStr">
        <is>
          <t>3·7·13·17</t>
        </is>
      </c>
      <c r="E933" s="41" t="inlineStr"/>
      <c r="F933" s="41" t="inlineStr"/>
    </row>
    <row r="934" ht="13" customHeight="1">
      <c r="A934" s="41" t="inlineStr">
        <is>
          <t>7321</t>
        </is>
      </c>
      <c r="B934" s="41" t="inlineStr">
        <is>
          <t>32123</t>
        </is>
      </c>
      <c r="C934" s="41" t="inlineStr">
        <is>
          <t>7×13×353</t>
        </is>
      </c>
      <c r="D934" s="41" t="inlineStr">
        <is>
          <t>7·13</t>
        </is>
      </c>
      <c r="E934" s="41" t="inlineStr"/>
      <c r="F934" s="41" t="inlineStr"/>
    </row>
    <row r="935" ht="13" customHeight="1">
      <c r="A935" s="49" t="inlineStr">
        <is>
          <t>7331</t>
        </is>
      </c>
      <c r="B935" s="49" t="inlineStr">
        <is>
          <t>36281</t>
        </is>
      </c>
      <c r="C935" s="49" t="inlineStr">
        <is>
          <t>7×71×73</t>
        </is>
      </c>
      <c r="D935" s="49" t="inlineStr">
        <is>
          <t>7</t>
        </is>
      </c>
      <c r="E935" s="49" t="inlineStr"/>
      <c r="F935" s="49" t="inlineStr"/>
    </row>
    <row r="936" ht="13" customHeight="1">
      <c r="A936" s="45" t="inlineStr">
        <is>
          <t>7333</t>
        </is>
      </c>
      <c r="B936" s="45" t="inlineStr">
        <is>
          <t>31462</t>
        </is>
      </c>
      <c r="C936" s="45" t="inlineStr">
        <is>
          <t>2×15731</t>
        </is>
      </c>
      <c r="D936" s="45" t="inlineStr">
        <is>
          <t>2</t>
        </is>
      </c>
      <c r="E936" s="45" t="inlineStr"/>
      <c r="F936" s="45" t="inlineStr"/>
    </row>
    <row r="937" ht="13" customHeight="1">
      <c r="A937" s="49" t="inlineStr">
        <is>
          <t>7349</t>
        </is>
      </c>
      <c r="B937" s="49" t="inlineStr">
        <is>
          <t>24272</t>
        </is>
      </c>
      <c r="C937" s="49" t="inlineStr">
        <is>
          <t>2×2×2×2×37×41</t>
        </is>
      </c>
      <c r="D937" s="49" t="inlineStr">
        <is>
          <t>2</t>
        </is>
      </c>
      <c r="E937" s="49" t="inlineStr"/>
      <c r="F937" s="49" t="inlineStr"/>
    </row>
    <row r="938" ht="13" customHeight="1">
      <c r="A938" s="51" t="inlineStr">
        <is>
          <t>7351</t>
        </is>
      </c>
      <c r="B938" s="51" t="inlineStr">
        <is>
          <t>35663</t>
        </is>
      </c>
      <c r="C938" s="51" t="inlineStr">
        <is>
          <t>19×1877</t>
        </is>
      </c>
      <c r="D938" s="51" t="inlineStr">
        <is>
          <t>19</t>
        </is>
      </c>
      <c r="E938" s="51" t="inlineStr"/>
      <c r="F938" s="51" t="inlineStr"/>
    </row>
    <row r="939" ht="13" customHeight="1">
      <c r="A939" s="41" t="inlineStr">
        <is>
          <t>7369</t>
        </is>
      </c>
      <c r="B939" s="41" t="inlineStr">
        <is>
          <t>36712</t>
        </is>
      </c>
      <c r="C939" s="41" t="inlineStr">
        <is>
          <t>2×2×2×13×353</t>
        </is>
      </c>
      <c r="D939" s="41" t="inlineStr">
        <is>
          <t>2·13</t>
        </is>
      </c>
      <c r="E939" s="41" t="inlineStr"/>
      <c r="F939" s="41" t="inlineStr"/>
    </row>
    <row r="940" ht="13" customHeight="1">
      <c r="A940" s="41" t="inlineStr">
        <is>
          <t>7393</t>
        </is>
      </c>
      <c r="B940" s="41" t="inlineStr">
        <is>
          <t>13650</t>
        </is>
      </c>
      <c r="C940" s="41" t="inlineStr">
        <is>
          <t>2×3×5×5×7×13</t>
        </is>
      </c>
      <c r="D940" s="41" t="inlineStr">
        <is>
          <t>2·3·5·7·13</t>
        </is>
      </c>
      <c r="E940" s="41" t="inlineStr"/>
      <c r="F940" s="41" t="inlineStr"/>
    </row>
    <row r="941" ht="13" customHeight="1">
      <c r="A941" s="49" t="inlineStr">
        <is>
          <t>7411</t>
        </is>
      </c>
      <c r="B941" s="49" t="inlineStr">
        <is>
          <t>2878</t>
        </is>
      </c>
      <c r="C941" s="49" t="inlineStr">
        <is>
          <t>2×1439</t>
        </is>
      </c>
      <c r="D941" s="49" t="inlineStr">
        <is>
          <t>2</t>
        </is>
      </c>
      <c r="E941" s="49" t="inlineStr"/>
      <c r="F941" s="49" t="inlineStr"/>
    </row>
    <row r="942" ht="13" customHeight="1">
      <c r="A942" s="45" t="inlineStr">
        <is>
          <t>7417</t>
        </is>
      </c>
      <c r="B942" s="45" t="inlineStr">
        <is>
          <t>40642</t>
        </is>
      </c>
      <c r="C942" s="45" t="inlineStr">
        <is>
          <t>2×7×2903</t>
        </is>
      </c>
      <c r="D942" s="45" t="inlineStr">
        <is>
          <t>2·7</t>
        </is>
      </c>
      <c r="E942" s="45" t="inlineStr"/>
      <c r="F942" s="45" t="inlineStr"/>
    </row>
    <row r="943" ht="13" customHeight="1">
      <c r="A943" s="49" t="inlineStr">
        <is>
          <t>7433</t>
        </is>
      </c>
      <c r="B943" s="49" t="inlineStr">
        <is>
          <t>40380</t>
        </is>
      </c>
      <c r="C943" s="49" t="inlineStr">
        <is>
          <t>2×2×3×5×673</t>
        </is>
      </c>
      <c r="D943" s="49" t="inlineStr">
        <is>
          <t>2·3·5</t>
        </is>
      </c>
      <c r="E943" s="49" t="inlineStr"/>
      <c r="F943" s="49" t="inlineStr"/>
    </row>
    <row r="944" ht="13" customHeight="1">
      <c r="A944" s="41" t="inlineStr">
        <is>
          <t>7451</t>
        </is>
      </c>
      <c r="B944" s="41" t="inlineStr">
        <is>
          <t>1066</t>
        </is>
      </c>
      <c r="C944" s="41" t="inlineStr">
        <is>
          <t>2×13×41</t>
        </is>
      </c>
      <c r="D944" s="41" t="inlineStr">
        <is>
          <t>2·13</t>
        </is>
      </c>
      <c r="E944" s="41" t="inlineStr"/>
      <c r="F944" s="41" t="inlineStr"/>
    </row>
    <row r="945" ht="13" customHeight="1">
      <c r="A945" s="43" t="inlineStr">
        <is>
          <t>7457</t>
        </is>
      </c>
      <c r="B945" s="43" t="inlineStr">
        <is>
          <t>7634</t>
        </is>
      </c>
      <c r="C945" s="43" t="inlineStr">
        <is>
          <t>2×11×347</t>
        </is>
      </c>
      <c r="D945" s="43" t="inlineStr">
        <is>
          <t>2·11</t>
        </is>
      </c>
      <c r="E945" s="43" t="inlineStr"/>
      <c r="F945" s="43" t="inlineStr"/>
    </row>
    <row r="946" ht="13" customHeight="1">
      <c r="A946" s="45" t="inlineStr">
        <is>
          <t>7459</t>
        </is>
      </c>
      <c r="B946" s="45" t="inlineStr">
        <is>
          <t>14676</t>
        </is>
      </c>
      <c r="C946" s="45" t="inlineStr">
        <is>
          <t>2×2×3×1223</t>
        </is>
      </c>
      <c r="D946" s="45" t="inlineStr">
        <is>
          <t>2·3</t>
        </is>
      </c>
      <c r="E946" s="45" t="inlineStr"/>
      <c r="F946" s="45" t="inlineStr"/>
    </row>
    <row r="947" ht="13" customHeight="1">
      <c r="A947" s="49" t="inlineStr">
        <is>
          <t>7477</t>
        </is>
      </c>
      <c r="B947" s="49" t="inlineStr">
        <is>
          <t>12891</t>
        </is>
      </c>
      <c r="C947" s="49" t="inlineStr">
        <is>
          <t>3×4297</t>
        </is>
      </c>
      <c r="D947" s="49" t="inlineStr">
        <is>
          <t>3</t>
        </is>
      </c>
      <c r="E947" s="49" t="inlineStr"/>
      <c r="F947" s="49" t="inlineStr"/>
    </row>
    <row r="948" ht="13" customHeight="1">
      <c r="A948" s="50" t="inlineStr">
        <is>
          <t>7481</t>
        </is>
      </c>
      <c r="B948" s="50" t="inlineStr">
        <is>
          <t>12041</t>
        </is>
      </c>
      <c r="C948" s="50" t="inlineStr">
        <is>
          <t>12041</t>
        </is>
      </c>
      <c r="D948" s="50" t="inlineStr">
        <is>
          <t>—</t>
        </is>
      </c>
      <c r="E948" s="50" t="inlineStr"/>
      <c r="F948" s="50" t="inlineStr"/>
    </row>
    <row r="949" ht="13" customHeight="1">
      <c r="A949" s="43" t="inlineStr">
        <is>
          <t>7487</t>
        </is>
      </c>
      <c r="B949" s="43" t="inlineStr">
        <is>
          <t>10615</t>
        </is>
      </c>
      <c r="C949" s="43" t="inlineStr">
        <is>
          <t>5×11×193</t>
        </is>
      </c>
      <c r="D949" s="43" t="inlineStr">
        <is>
          <t>5·11</t>
        </is>
      </c>
      <c r="E949" s="43" t="inlineStr"/>
      <c r="F949" s="43" t="inlineStr"/>
    </row>
    <row r="950" ht="13" customHeight="1">
      <c r="A950" s="45" t="inlineStr">
        <is>
          <t>7489</t>
        </is>
      </c>
      <c r="B950" s="45" t="inlineStr">
        <is>
          <t>19659</t>
        </is>
      </c>
      <c r="C950" s="45" t="inlineStr">
        <is>
          <t>3×6553</t>
        </is>
      </c>
      <c r="D950" s="45" t="inlineStr">
        <is>
          <t>3</t>
        </is>
      </c>
      <c r="E950" s="45" t="inlineStr"/>
      <c r="F950" s="45" t="inlineStr"/>
    </row>
    <row r="951" ht="13" customHeight="1">
      <c r="A951" s="49" t="inlineStr">
        <is>
          <t>7499</t>
        </is>
      </c>
      <c r="B951" s="49" t="inlineStr">
        <is>
          <t>20082</t>
        </is>
      </c>
      <c r="C951" s="49" t="inlineStr">
        <is>
          <t>2×3×3347</t>
        </is>
      </c>
      <c r="D951" s="49" t="inlineStr">
        <is>
          <t>2·3</t>
        </is>
      </c>
      <c r="E951" s="49" t="inlineStr"/>
      <c r="F951" s="49" t="inlineStr"/>
    </row>
    <row r="952" ht="13" customHeight="1">
      <c r="A952" s="43" t="inlineStr">
        <is>
          <t>7507</t>
        </is>
      </c>
      <c r="B952" s="43" t="inlineStr">
        <is>
          <t>32736</t>
        </is>
      </c>
      <c r="C952" s="43" t="inlineStr">
        <is>
          <t>2×2×2×2×2×3×11×31</t>
        </is>
      </c>
      <c r="D952" s="43" t="inlineStr">
        <is>
          <t>2·3·11</t>
        </is>
      </c>
      <c r="E952" s="43" t="inlineStr"/>
      <c r="F952" s="43" t="inlineStr"/>
    </row>
    <row r="953" ht="13" customHeight="1">
      <c r="A953" s="50" t="inlineStr">
        <is>
          <t>7517</t>
        </is>
      </c>
      <c r="B953" s="50" t="inlineStr">
        <is>
          <t>14423</t>
        </is>
      </c>
      <c r="C953" s="50" t="inlineStr">
        <is>
          <t>14423</t>
        </is>
      </c>
      <c r="D953" s="50" t="inlineStr">
        <is>
          <t>—</t>
        </is>
      </c>
      <c r="E953" s="50" t="inlineStr"/>
      <c r="F953" s="50" t="inlineStr"/>
    </row>
    <row r="954" ht="13" customHeight="1">
      <c r="A954" s="41" t="inlineStr">
        <is>
          <t>7523</t>
        </is>
      </c>
      <c r="B954" s="41" t="inlineStr">
        <is>
          <t>27812</t>
        </is>
      </c>
      <c r="C954" s="41" t="inlineStr">
        <is>
          <t>2×2×17×409</t>
        </is>
      </c>
      <c r="D954" s="41" t="inlineStr">
        <is>
          <t>2·17</t>
        </is>
      </c>
      <c r="E954" s="41" t="inlineStr"/>
      <c r="F954" s="41" t="inlineStr"/>
    </row>
    <row r="955" ht="13" customHeight="1">
      <c r="A955" s="49" t="inlineStr">
        <is>
          <t>7529</t>
        </is>
      </c>
      <c r="B955" s="49" t="inlineStr">
        <is>
          <t>28317</t>
        </is>
      </c>
      <c r="C955" s="49" t="inlineStr">
        <is>
          <t>3×9439</t>
        </is>
      </c>
      <c r="D955" s="49" t="inlineStr">
        <is>
          <t>3</t>
        </is>
      </c>
      <c r="E955" s="49" t="inlineStr"/>
      <c r="F955" s="49" t="inlineStr"/>
    </row>
    <row r="956" ht="13" customHeight="1">
      <c r="A956" s="50" t="inlineStr">
        <is>
          <t>7537</t>
        </is>
      </c>
      <c r="B956" s="50" t="inlineStr">
        <is>
          <t>20747</t>
        </is>
      </c>
      <c r="C956" s="50" t="inlineStr">
        <is>
          <t>20747</t>
        </is>
      </c>
      <c r="D956" s="50" t="inlineStr">
        <is>
          <t>—</t>
        </is>
      </c>
      <c r="E956" s="50" t="inlineStr"/>
      <c r="F956" s="50" t="inlineStr"/>
    </row>
    <row r="957" ht="13" customHeight="1">
      <c r="A957" s="49" t="inlineStr">
        <is>
          <t>7541</t>
        </is>
      </c>
      <c r="B957" s="49" t="inlineStr">
        <is>
          <t>24984</t>
        </is>
      </c>
      <c r="C957" s="49" t="inlineStr">
        <is>
          <t>2×2×2×3×3×347</t>
        </is>
      </c>
      <c r="D957" s="49" t="inlineStr">
        <is>
          <t>2·3</t>
        </is>
      </c>
      <c r="E957" s="49" t="inlineStr"/>
      <c r="F957" s="49" t="inlineStr"/>
    </row>
    <row r="958" ht="13" customHeight="1">
      <c r="A958" s="51" t="inlineStr">
        <is>
          <t>7547</t>
        </is>
      </c>
      <c r="B958" s="51" t="inlineStr">
        <is>
          <t>11590</t>
        </is>
      </c>
      <c r="C958" s="51" t="inlineStr">
        <is>
          <t>2×5×19×61</t>
        </is>
      </c>
      <c r="D958" s="51" t="inlineStr">
        <is>
          <t>2·5·19</t>
        </is>
      </c>
      <c r="E958" s="51" t="inlineStr"/>
      <c r="F958" s="51" t="inlineStr"/>
    </row>
    <row r="959" ht="13" customHeight="1">
      <c r="A959" s="49" t="inlineStr">
        <is>
          <t>7549</t>
        </is>
      </c>
      <c r="B959" s="49" t="inlineStr">
        <is>
          <t>35219</t>
        </is>
      </c>
      <c r="C959" s="49" t="inlineStr">
        <is>
          <t>41×859</t>
        </is>
      </c>
      <c r="D959" s="49" t="inlineStr">
        <is>
          <t>—</t>
        </is>
      </c>
      <c r="E959" s="49" t="inlineStr"/>
      <c r="F959" s="49" t="inlineStr"/>
    </row>
    <row r="960" ht="13" customHeight="1">
      <c r="A960" s="45" t="inlineStr">
        <is>
          <t>7559</t>
        </is>
      </c>
      <c r="B960" s="45" t="inlineStr">
        <is>
          <t>20095</t>
        </is>
      </c>
      <c r="C960" s="45" t="inlineStr">
        <is>
          <t>5×4019</t>
        </is>
      </c>
      <c r="D960" s="45" t="inlineStr">
        <is>
          <t>5</t>
        </is>
      </c>
      <c r="E960" s="45" t="inlineStr"/>
      <c r="F960" s="45" t="inlineStr"/>
    </row>
    <row r="961" ht="13" customHeight="1">
      <c r="A961" s="49" t="inlineStr">
        <is>
          <t>7561</t>
        </is>
      </c>
      <c r="B961" s="49" t="inlineStr">
        <is>
          <t>38218</t>
        </is>
      </c>
      <c r="C961" s="49" t="inlineStr">
        <is>
          <t>2×97×197</t>
        </is>
      </c>
      <c r="D961" s="49" t="inlineStr">
        <is>
          <t>2</t>
        </is>
      </c>
      <c r="E961" s="49" t="inlineStr"/>
      <c r="F961" s="49" t="inlineStr"/>
    </row>
    <row r="962" ht="13" customHeight="1">
      <c r="A962" s="41" t="inlineStr">
        <is>
          <t>7573</t>
        </is>
      </c>
      <c r="B962" s="41" t="inlineStr">
        <is>
          <t>12682</t>
        </is>
      </c>
      <c r="C962" s="41" t="inlineStr">
        <is>
          <t>2×17×373</t>
        </is>
      </c>
      <c r="D962" s="41" t="inlineStr">
        <is>
          <t>2·17</t>
        </is>
      </c>
      <c r="E962" s="41" t="inlineStr"/>
      <c r="F962" s="41" t="inlineStr"/>
    </row>
    <row r="963" ht="13" customHeight="1">
      <c r="A963" s="49" t="inlineStr">
        <is>
          <t>7577</t>
        </is>
      </c>
      <c r="B963" s="49" t="inlineStr">
        <is>
          <t>17373</t>
        </is>
      </c>
      <c r="C963" s="49" t="inlineStr">
        <is>
          <t>3×5791</t>
        </is>
      </c>
      <c r="D963" s="49" t="inlineStr">
        <is>
          <t>3</t>
        </is>
      </c>
      <c r="E963" s="49" t="inlineStr"/>
      <c r="F963" s="49" t="inlineStr"/>
    </row>
    <row r="964" ht="13" customHeight="1">
      <c r="A964" s="41" t="inlineStr">
        <is>
          <t>7583</t>
        </is>
      </c>
      <c r="B964" s="41" t="inlineStr">
        <is>
          <t>34138</t>
        </is>
      </c>
      <c r="C964" s="41" t="inlineStr">
        <is>
          <t>2×13×13×101</t>
        </is>
      </c>
      <c r="D964" s="41" t="inlineStr">
        <is>
          <t>2·13</t>
        </is>
      </c>
      <c r="E964" s="41" t="inlineStr"/>
      <c r="F964" s="41" t="inlineStr"/>
    </row>
    <row r="965" ht="13" customHeight="1">
      <c r="A965" s="49" t="inlineStr">
        <is>
          <t>7589</t>
        </is>
      </c>
      <c r="B965" s="49" t="inlineStr">
        <is>
          <t>30874</t>
        </is>
      </c>
      <c r="C965" s="49" t="inlineStr">
        <is>
          <t>2×43×359</t>
        </is>
      </c>
      <c r="D965" s="49" t="inlineStr">
        <is>
          <t>2</t>
        </is>
      </c>
      <c r="E965" s="49" t="inlineStr"/>
      <c r="F965" s="49" t="inlineStr"/>
    </row>
    <row r="966" ht="13" customHeight="1">
      <c r="A966" s="45" t="inlineStr">
        <is>
          <t>7591</t>
        </is>
      </c>
      <c r="B966" s="45" t="inlineStr">
        <is>
          <t>41384</t>
        </is>
      </c>
      <c r="C966" s="45" t="inlineStr">
        <is>
          <t>2×2×2×7×739</t>
        </is>
      </c>
      <c r="D966" s="45" t="inlineStr">
        <is>
          <t>2·7</t>
        </is>
      </c>
      <c r="E966" s="45" t="inlineStr"/>
      <c r="F966" s="45" t="inlineStr"/>
    </row>
    <row r="967" ht="13" customHeight="1">
      <c r="A967" s="49" t="inlineStr">
        <is>
          <t>7603</t>
        </is>
      </c>
      <c r="B967" s="49" t="inlineStr">
        <is>
          <t>28360</t>
        </is>
      </c>
      <c r="C967" s="49" t="inlineStr">
        <is>
          <t>2×2×2×5×709</t>
        </is>
      </c>
      <c r="D967" s="49" t="inlineStr">
        <is>
          <t>2·5</t>
        </is>
      </c>
      <c r="E967" s="49" t="inlineStr"/>
      <c r="F967" s="49" t="inlineStr"/>
    </row>
    <row r="968" ht="13" customHeight="1">
      <c r="A968" s="43" t="inlineStr">
        <is>
          <t>7607</t>
        </is>
      </c>
      <c r="B968" s="43" t="inlineStr">
        <is>
          <t>18920</t>
        </is>
      </c>
      <c r="C968" s="43" t="inlineStr">
        <is>
          <t>2×2×2×5×11×43</t>
        </is>
      </c>
      <c r="D968" s="43" t="inlineStr">
        <is>
          <t>2·5·11</t>
        </is>
      </c>
      <c r="E968" s="43" t="inlineStr"/>
      <c r="F968" s="43" t="inlineStr"/>
    </row>
    <row r="969" ht="13" customHeight="1">
      <c r="A969" s="49" t="inlineStr">
        <is>
          <t>7621</t>
        </is>
      </c>
      <c r="B969" s="49" t="inlineStr">
        <is>
          <t>19922</t>
        </is>
      </c>
      <c r="C969" s="49" t="inlineStr">
        <is>
          <t>2×7×1423</t>
        </is>
      </c>
      <c r="D969" s="49" t="inlineStr">
        <is>
          <t>2·7</t>
        </is>
      </c>
      <c r="E969" s="49" t="inlineStr"/>
      <c r="F969" s="49" t="inlineStr"/>
    </row>
    <row r="970" ht="13" customHeight="1">
      <c r="A970" s="45" t="inlineStr">
        <is>
          <t>7639</t>
        </is>
      </c>
      <c r="B970" s="45" t="inlineStr">
        <is>
          <t>9232</t>
        </is>
      </c>
      <c r="C970" s="45" t="inlineStr">
        <is>
          <t>2×2×2×2×577</t>
        </is>
      </c>
      <c r="D970" s="45" t="inlineStr">
        <is>
          <t>2</t>
        </is>
      </c>
      <c r="E970" s="45" t="inlineStr"/>
      <c r="F970" s="45" t="inlineStr"/>
    </row>
    <row r="971" ht="13" customHeight="1">
      <c r="A971" s="43" t="inlineStr">
        <is>
          <t>7643</t>
        </is>
      </c>
      <c r="B971" s="43" t="inlineStr">
        <is>
          <t>28380</t>
        </is>
      </c>
      <c r="C971" s="43" t="inlineStr">
        <is>
          <t>2×2×3×5×11×43</t>
        </is>
      </c>
      <c r="D971" s="43" t="inlineStr">
        <is>
          <t>2·3·5·11</t>
        </is>
      </c>
      <c r="E971" s="43" t="inlineStr"/>
      <c r="F971" s="43" t="inlineStr"/>
    </row>
    <row r="972" ht="13" customHeight="1">
      <c r="A972" s="45" t="inlineStr">
        <is>
          <t>7649</t>
        </is>
      </c>
      <c r="B972" s="45" t="inlineStr">
        <is>
          <t>9885</t>
        </is>
      </c>
      <c r="C972" s="45" t="inlineStr">
        <is>
          <t>3×5×659</t>
        </is>
      </c>
      <c r="D972" s="45" t="inlineStr">
        <is>
          <t>3·5</t>
        </is>
      </c>
      <c r="E972" s="45" t="inlineStr"/>
      <c r="F972" s="45" t="inlineStr"/>
    </row>
    <row r="973" ht="13" customHeight="1">
      <c r="A973" s="49" t="inlineStr">
        <is>
          <t>7669</t>
        </is>
      </c>
      <c r="B973" s="49" t="inlineStr">
        <is>
          <t>3490</t>
        </is>
      </c>
      <c r="C973" s="49" t="inlineStr">
        <is>
          <t>2×5×349</t>
        </is>
      </c>
      <c r="D973" s="49" t="inlineStr">
        <is>
          <t>2·5</t>
        </is>
      </c>
      <c r="E973" s="49" t="inlineStr"/>
      <c r="F973" s="49" t="inlineStr"/>
    </row>
    <row r="974" ht="13" customHeight="1">
      <c r="A974" s="45" t="inlineStr">
        <is>
          <t>7673</t>
        </is>
      </c>
      <c r="B974" s="45" t="inlineStr">
        <is>
          <t>43488</t>
        </is>
      </c>
      <c r="C974" s="45" t="inlineStr">
        <is>
          <t>2×2×2×2×2×3×3×151</t>
        </is>
      </c>
      <c r="D974" s="45" t="inlineStr">
        <is>
          <t>2·3</t>
        </is>
      </c>
      <c r="E974" s="45" t="inlineStr"/>
      <c r="F974" s="45" t="inlineStr"/>
    </row>
    <row r="975" ht="13" customHeight="1">
      <c r="A975" s="49" t="inlineStr">
        <is>
          <t>7681</t>
        </is>
      </c>
      <c r="B975" s="49" t="inlineStr">
        <is>
          <t>10558</t>
        </is>
      </c>
      <c r="C975" s="49" t="inlineStr">
        <is>
          <t>2×5279</t>
        </is>
      </c>
      <c r="D975" s="49" t="inlineStr">
        <is>
          <t>2</t>
        </is>
      </c>
      <c r="E975" s="49" t="inlineStr"/>
      <c r="F975" s="49" t="inlineStr"/>
    </row>
    <row r="976" ht="13" customHeight="1">
      <c r="A976" s="45" t="inlineStr">
        <is>
          <t>7687</t>
        </is>
      </c>
      <c r="B976" s="45" t="inlineStr">
        <is>
          <t>10562</t>
        </is>
      </c>
      <c r="C976" s="45" t="inlineStr">
        <is>
          <t>2×5281</t>
        </is>
      </c>
      <c r="D976" s="45" t="inlineStr">
        <is>
          <t>2</t>
        </is>
      </c>
      <c r="E976" s="45" t="inlineStr"/>
      <c r="F976" s="45" t="inlineStr"/>
    </row>
    <row r="977" ht="13" customHeight="1">
      <c r="A977" s="49" t="inlineStr">
        <is>
          <t>7691</t>
        </is>
      </c>
      <c r="B977" s="49" t="inlineStr">
        <is>
          <t>38169</t>
        </is>
      </c>
      <c r="C977" s="49" t="inlineStr">
        <is>
          <t>3×3×4241</t>
        </is>
      </c>
      <c r="D977" s="49" t="inlineStr">
        <is>
          <t>3</t>
        </is>
      </c>
      <c r="E977" s="49" t="inlineStr"/>
      <c r="F977" s="49" t="inlineStr"/>
    </row>
    <row r="978" ht="13" customHeight="1">
      <c r="A978" s="45" t="inlineStr">
        <is>
          <t>7699</t>
        </is>
      </c>
      <c r="B978" s="45" t="inlineStr">
        <is>
          <t>2746</t>
        </is>
      </c>
      <c r="C978" s="45" t="inlineStr">
        <is>
          <t>2×1373</t>
        </is>
      </c>
      <c r="D978" s="45" t="inlineStr">
        <is>
          <t>2</t>
        </is>
      </c>
      <c r="E978" s="45" t="inlineStr"/>
      <c r="F978" s="45" t="inlineStr"/>
    </row>
    <row r="979" ht="13" customHeight="1">
      <c r="A979" s="43" t="inlineStr">
        <is>
          <t>7703</t>
        </is>
      </c>
      <c r="B979" s="43" t="inlineStr">
        <is>
          <t>20779</t>
        </is>
      </c>
      <c r="C979" s="43" t="inlineStr">
        <is>
          <t>11×1889</t>
        </is>
      </c>
      <c r="D979" s="43" t="inlineStr">
        <is>
          <t>11</t>
        </is>
      </c>
      <c r="E979" s="43" t="inlineStr"/>
      <c r="F979" s="43" t="inlineStr"/>
    </row>
    <row r="980" ht="13" customHeight="1">
      <c r="A980" s="45" t="inlineStr">
        <is>
          <t>7717</t>
        </is>
      </c>
      <c r="B980" s="45" t="inlineStr">
        <is>
          <t>4868</t>
        </is>
      </c>
      <c r="C980" s="45" t="inlineStr">
        <is>
          <t>2×2×1217</t>
        </is>
      </c>
      <c r="D980" s="45" t="inlineStr">
        <is>
          <t>2</t>
        </is>
      </c>
      <c r="E980" s="45" t="inlineStr"/>
      <c r="F980" s="45" t="inlineStr"/>
    </row>
    <row r="981" ht="13" customHeight="1">
      <c r="A981" s="41" t="inlineStr">
        <is>
          <t>7723</t>
        </is>
      </c>
      <c r="B981" s="41" t="inlineStr">
        <is>
          <t>11169</t>
        </is>
      </c>
      <c r="C981" s="41" t="inlineStr">
        <is>
          <t>3×3×17×73</t>
        </is>
      </c>
      <c r="D981" s="41" t="inlineStr">
        <is>
          <t>3·17</t>
        </is>
      </c>
      <c r="E981" s="41" t="inlineStr"/>
      <c r="F981" s="41" t="inlineStr"/>
    </row>
    <row r="982" ht="13" customHeight="1">
      <c r="A982" s="45" t="inlineStr">
        <is>
          <t>7727</t>
        </is>
      </c>
      <c r="B982" s="45" t="inlineStr">
        <is>
          <t>24886</t>
        </is>
      </c>
      <c r="C982" s="45" t="inlineStr">
        <is>
          <t>2×23×541</t>
        </is>
      </c>
      <c r="D982" s="45" t="inlineStr">
        <is>
          <t>2</t>
        </is>
      </c>
      <c r="E982" s="45" t="inlineStr"/>
      <c r="F982" s="45" t="inlineStr"/>
    </row>
    <row r="983" ht="13" customHeight="1">
      <c r="A983" s="49" t="inlineStr">
        <is>
          <t>7741</t>
        </is>
      </c>
      <c r="B983" s="49" t="inlineStr">
        <is>
          <t>11155</t>
        </is>
      </c>
      <c r="C983" s="49" t="inlineStr">
        <is>
          <t>5×23×97</t>
        </is>
      </c>
      <c r="D983" s="49" t="inlineStr">
        <is>
          <t>5</t>
        </is>
      </c>
      <c r="E983" s="49" t="inlineStr"/>
      <c r="F983" s="49" t="inlineStr"/>
    </row>
    <row r="984" ht="13" customHeight="1">
      <c r="A984" s="51" t="inlineStr">
        <is>
          <t>7753</t>
        </is>
      </c>
      <c r="B984" s="51" t="inlineStr">
        <is>
          <t>17746</t>
        </is>
      </c>
      <c r="C984" s="51" t="inlineStr">
        <is>
          <t>2×19×467</t>
        </is>
      </c>
      <c r="D984" s="51" t="inlineStr">
        <is>
          <t>2·19</t>
        </is>
      </c>
      <c r="E984" s="51" t="inlineStr"/>
      <c r="F984" s="51" t="inlineStr"/>
    </row>
    <row r="985" ht="13" customHeight="1">
      <c r="A985" s="50" t="inlineStr">
        <is>
          <t>7757</t>
        </is>
      </c>
      <c r="B985" s="50" t="inlineStr">
        <is>
          <t>22003</t>
        </is>
      </c>
      <c r="C985" s="50" t="inlineStr">
        <is>
          <t>22003</t>
        </is>
      </c>
      <c r="D985" s="50" t="inlineStr">
        <is>
          <t>—</t>
        </is>
      </c>
      <c r="E985" s="50" t="inlineStr"/>
      <c r="F985" s="50" t="inlineStr"/>
    </row>
    <row r="986" ht="13" customHeight="1">
      <c r="A986" s="45" t="inlineStr">
        <is>
          <t>7759</t>
        </is>
      </c>
      <c r="B986" s="45" t="inlineStr">
        <is>
          <t>12102</t>
        </is>
      </c>
      <c r="C986" s="45" t="inlineStr">
        <is>
          <t>2×3×2017</t>
        </is>
      </c>
      <c r="D986" s="45" t="inlineStr">
        <is>
          <t>2·3</t>
        </is>
      </c>
      <c r="E986" s="45" t="inlineStr"/>
      <c r="F986" s="45" t="inlineStr"/>
    </row>
    <row r="987" ht="13" customHeight="1">
      <c r="A987" s="50" t="inlineStr">
        <is>
          <t>7789</t>
        </is>
      </c>
      <c r="B987" s="50" t="inlineStr">
        <is>
          <t>32831</t>
        </is>
      </c>
      <c r="C987" s="50" t="inlineStr">
        <is>
          <t>32831</t>
        </is>
      </c>
      <c r="D987" s="50" t="inlineStr">
        <is>
          <t>—</t>
        </is>
      </c>
      <c r="E987" s="50" t="inlineStr"/>
      <c r="F987" s="50" t="inlineStr"/>
    </row>
    <row r="988" ht="13" customHeight="1">
      <c r="A988" s="41" t="inlineStr">
        <is>
          <t>7793</t>
        </is>
      </c>
      <c r="B988" s="41" t="inlineStr">
        <is>
          <t>14501</t>
        </is>
      </c>
      <c r="C988" s="41" t="inlineStr">
        <is>
          <t>17×853</t>
        </is>
      </c>
      <c r="D988" s="41" t="inlineStr">
        <is>
          <t>17</t>
        </is>
      </c>
      <c r="E988" s="41" t="inlineStr"/>
      <c r="F988" s="41" t="inlineStr"/>
    </row>
    <row r="989" ht="13" customHeight="1">
      <c r="A989" s="41" t="inlineStr">
        <is>
          <t>7817</t>
        </is>
      </c>
      <c r="B989" s="41" t="inlineStr">
        <is>
          <t>27370</t>
        </is>
      </c>
      <c r="C989" s="41" t="inlineStr">
        <is>
          <t>2×5×7×17×23</t>
        </is>
      </c>
      <c r="D989" s="41" t="inlineStr">
        <is>
          <t>2·5·7·17</t>
        </is>
      </c>
      <c r="E989" s="41" t="inlineStr"/>
      <c r="F989" s="41" t="inlineStr"/>
    </row>
    <row r="990" ht="13" customHeight="1">
      <c r="A990" s="43" t="inlineStr">
        <is>
          <t>7823</t>
        </is>
      </c>
      <c r="B990" s="43" t="inlineStr">
        <is>
          <t>18832</t>
        </is>
      </c>
      <c r="C990" s="43" t="inlineStr">
        <is>
          <t>2×2×2×2×11×107</t>
        </is>
      </c>
      <c r="D990" s="43" t="inlineStr">
        <is>
          <t>2·11</t>
        </is>
      </c>
      <c r="E990" s="43" t="inlineStr"/>
      <c r="F990" s="43" t="inlineStr"/>
    </row>
    <row r="991" ht="13" customHeight="1">
      <c r="A991" s="41" t="inlineStr">
        <is>
          <t>7829</t>
        </is>
      </c>
      <c r="B991" s="41" t="inlineStr">
        <is>
          <t>9809</t>
        </is>
      </c>
      <c r="C991" s="41" t="inlineStr">
        <is>
          <t>17×577</t>
        </is>
      </c>
      <c r="D991" s="41" t="inlineStr">
        <is>
          <t>17</t>
        </is>
      </c>
      <c r="E991" s="41" t="inlineStr"/>
      <c r="F991" s="41" t="inlineStr"/>
    </row>
    <row r="992" ht="13" customHeight="1">
      <c r="A992" s="45" t="inlineStr">
        <is>
          <t>7841</t>
        </is>
      </c>
      <c r="B992" s="45" t="inlineStr">
        <is>
          <t>35344</t>
        </is>
      </c>
      <c r="C992" s="45" t="inlineStr">
        <is>
          <t>2×2×2×2×47×47</t>
        </is>
      </c>
      <c r="D992" s="45" t="inlineStr">
        <is>
          <t>2</t>
        </is>
      </c>
      <c r="E992" s="45" t="inlineStr"/>
      <c r="F992" s="45" t="inlineStr"/>
    </row>
    <row r="993" ht="13" customHeight="1">
      <c r="A993" s="41" t="inlineStr">
        <is>
          <t>7853</t>
        </is>
      </c>
      <c r="B993" s="41" t="inlineStr">
        <is>
          <t>29289</t>
        </is>
      </c>
      <c r="C993" s="41" t="inlineStr">
        <is>
          <t>3×13×751</t>
        </is>
      </c>
      <c r="D993" s="41" t="inlineStr">
        <is>
          <t>3·13</t>
        </is>
      </c>
      <c r="E993" s="41" t="inlineStr"/>
      <c r="F993" s="41" t="inlineStr"/>
    </row>
    <row r="994" ht="13" customHeight="1">
      <c r="A994" s="50" t="inlineStr">
        <is>
          <t>7867</t>
        </is>
      </c>
      <c r="B994" s="50" t="inlineStr">
        <is>
          <t>19477</t>
        </is>
      </c>
      <c r="C994" s="50" t="inlineStr">
        <is>
          <t>19477</t>
        </is>
      </c>
      <c r="D994" s="50" t="inlineStr">
        <is>
          <t>—</t>
        </is>
      </c>
      <c r="E994" s="50" t="inlineStr"/>
      <c r="F994" s="50" t="inlineStr"/>
    </row>
    <row r="995" ht="13" customHeight="1">
      <c r="A995" s="49" t="inlineStr">
        <is>
          <t>7873</t>
        </is>
      </c>
      <c r="B995" s="49" t="inlineStr">
        <is>
          <t>9398</t>
        </is>
      </c>
      <c r="C995" s="49" t="inlineStr">
        <is>
          <t>2×37×127</t>
        </is>
      </c>
      <c r="D995" s="49" t="inlineStr">
        <is>
          <t>2</t>
        </is>
      </c>
      <c r="E995" s="49" t="inlineStr"/>
      <c r="F995" s="49" t="inlineStr"/>
    </row>
    <row r="996" ht="13" customHeight="1">
      <c r="A996" s="41" t="inlineStr">
        <is>
          <t>7877</t>
        </is>
      </c>
      <c r="B996" s="41" t="inlineStr">
        <is>
          <t>12610</t>
        </is>
      </c>
      <c r="C996" s="41" t="inlineStr">
        <is>
          <t>2×5×13×97</t>
        </is>
      </c>
      <c r="D996" s="41" t="inlineStr">
        <is>
          <t>2·5·13</t>
        </is>
      </c>
      <c r="E996" s="41" t="inlineStr"/>
      <c r="F996" s="41" t="inlineStr"/>
    </row>
    <row r="997" ht="13" customHeight="1">
      <c r="A997" s="49" t="inlineStr">
        <is>
          <t>7879</t>
        </is>
      </c>
      <c r="B997" s="49" t="inlineStr">
        <is>
          <t>12472</t>
        </is>
      </c>
      <c r="C997" s="49" t="inlineStr">
        <is>
          <t>2×2×2×1559</t>
        </is>
      </c>
      <c r="D997" s="49" t="inlineStr">
        <is>
          <t>2</t>
        </is>
      </c>
      <c r="E997" s="49" t="inlineStr"/>
      <c r="F997" s="49" t="inlineStr"/>
    </row>
    <row r="998" ht="13" customHeight="1">
      <c r="A998" s="41" t="inlineStr">
        <is>
          <t>7883</t>
        </is>
      </c>
      <c r="B998" s="41" t="inlineStr">
        <is>
          <t>35972</t>
        </is>
      </c>
      <c r="C998" s="41" t="inlineStr">
        <is>
          <t>2×2×17×23×23</t>
        </is>
      </c>
      <c r="D998" s="41" t="inlineStr">
        <is>
          <t>2·17</t>
        </is>
      </c>
      <c r="E998" s="41" t="inlineStr"/>
      <c r="F998" s="41" t="inlineStr"/>
    </row>
    <row r="999" ht="13" customHeight="1">
      <c r="A999" s="49" t="inlineStr">
        <is>
          <t>7901</t>
        </is>
      </c>
      <c r="B999" s="49" t="inlineStr">
        <is>
          <t>6573</t>
        </is>
      </c>
      <c r="C999" s="49" t="inlineStr">
        <is>
          <t>3×7×313</t>
        </is>
      </c>
      <c r="D999" s="49" t="inlineStr">
        <is>
          <t>3·7</t>
        </is>
      </c>
      <c r="E999" s="49" t="inlineStr"/>
      <c r="F999" s="49" t="inlineStr"/>
    </row>
    <row r="1000" ht="13" customHeight="1">
      <c r="A1000" s="51" t="inlineStr">
        <is>
          <t>7907</t>
        </is>
      </c>
      <c r="B1000" s="51" t="inlineStr">
        <is>
          <t>5301</t>
        </is>
      </c>
      <c r="C1000" s="51" t="inlineStr">
        <is>
          <t>3×3×19×31</t>
        </is>
      </c>
      <c r="D1000" s="51" t="inlineStr">
        <is>
          <t>3·19</t>
        </is>
      </c>
      <c r="E1000" s="51" t="inlineStr"/>
      <c r="F1000" s="51" t="inlineStr"/>
    </row>
    <row r="1001" ht="13" customHeight="1">
      <c r="A1001" s="51" t="inlineStr">
        <is>
          <t>7919</t>
        </is>
      </c>
      <c r="B1001" s="51" t="inlineStr">
        <is>
          <t>30210</t>
        </is>
      </c>
      <c r="C1001" s="51" t="inlineStr">
        <is>
          <t>2×3×5×19×53</t>
        </is>
      </c>
      <c r="D1001" s="51" t="inlineStr">
        <is>
          <t>2·3·5·19</t>
        </is>
      </c>
      <c r="E1001" s="51" t="inlineStr"/>
      <c r="F1001" s="51" t="inlineStr"/>
    </row>
    <row r="1002" ht="13" customHeight="1">
      <c r="A1002" s="41" t="inlineStr">
        <is>
          <t>7927</t>
        </is>
      </c>
      <c r="B1002" s="41" t="inlineStr">
        <is>
          <t>11322</t>
        </is>
      </c>
      <c r="C1002" s="41" t="inlineStr">
        <is>
          <t>2×3×3×17×37</t>
        </is>
      </c>
      <c r="D1002" s="41" t="inlineStr">
        <is>
          <t>2·3·17</t>
        </is>
      </c>
      <c r="E1002" s="41" t="inlineStr"/>
      <c r="F1002" s="41" t="inlineStr"/>
    </row>
    <row r="1003" ht="13" customHeight="1">
      <c r="A1003" s="49" t="inlineStr">
        <is>
          <t>7933</t>
        </is>
      </c>
      <c r="B1003" s="49" t="inlineStr">
        <is>
          <t>13493</t>
        </is>
      </c>
      <c r="C1003" s="49" t="inlineStr">
        <is>
          <t>103×131</t>
        </is>
      </c>
      <c r="D1003" s="49" t="inlineStr">
        <is>
          <t>—</t>
        </is>
      </c>
      <c r="E1003" s="49" t="inlineStr"/>
      <c r="F1003" s="49" t="inlineStr"/>
    </row>
    <row r="1004" ht="13" customHeight="1">
      <c r="A1004" s="45" t="inlineStr">
        <is>
          <t>7937</t>
        </is>
      </c>
      <c r="B1004" s="45" t="inlineStr">
        <is>
          <t>11179</t>
        </is>
      </c>
      <c r="C1004" s="45" t="inlineStr">
        <is>
          <t>7×1597</t>
        </is>
      </c>
      <c r="D1004" s="45" t="inlineStr">
        <is>
          <t>7</t>
        </is>
      </c>
      <c r="E1004" s="45" t="inlineStr"/>
      <c r="F1004" s="45" t="inlineStr"/>
    </row>
    <row r="1005" ht="13" customHeight="1">
      <c r="A1005" s="51" t="inlineStr">
        <is>
          <t>7949</t>
        </is>
      </c>
      <c r="B1005" s="51" t="inlineStr">
        <is>
          <t>27607</t>
        </is>
      </c>
      <c r="C1005" s="51" t="inlineStr">
        <is>
          <t>19×1453</t>
        </is>
      </c>
      <c r="D1005" s="51" t="inlineStr">
        <is>
          <t>19</t>
        </is>
      </c>
      <c r="E1005" s="51" t="inlineStr"/>
      <c r="F1005" s="51" t="inlineStr"/>
    </row>
    <row r="1006" ht="13" customHeight="1">
      <c r="A1006" s="50" t="inlineStr">
        <is>
          <t>7951</t>
        </is>
      </c>
      <c r="B1006" s="50" t="inlineStr">
        <is>
          <t>23593</t>
        </is>
      </c>
      <c r="C1006" s="50" t="inlineStr">
        <is>
          <t>23593</t>
        </is>
      </c>
      <c r="D1006" s="50" t="inlineStr">
        <is>
          <t>—</t>
        </is>
      </c>
      <c r="E1006" s="50" t="inlineStr"/>
      <c r="F1006" s="50" t="inlineStr"/>
    </row>
    <row r="1007" ht="13" customHeight="1">
      <c r="A1007" s="49" t="inlineStr">
        <is>
          <t>7963</t>
        </is>
      </c>
      <c r="B1007" s="49" t="inlineStr">
        <is>
          <t>41488</t>
        </is>
      </c>
      <c r="C1007" s="49" t="inlineStr">
        <is>
          <t>2×2×2×2×2593</t>
        </is>
      </c>
      <c r="D1007" s="49" t="inlineStr">
        <is>
          <t>2</t>
        </is>
      </c>
      <c r="E1007" s="49" t="inlineStr"/>
      <c r="F1007" s="49" t="inlineStr"/>
    </row>
    <row r="1008" ht="13" customHeight="1">
      <c r="A1008" s="45" t="inlineStr">
        <is>
          <t>7993</t>
        </is>
      </c>
      <c r="B1008" s="45" t="inlineStr">
        <is>
          <t>30700</t>
        </is>
      </c>
      <c r="C1008" s="45" t="inlineStr">
        <is>
          <t>2×2×5×5×307</t>
        </is>
      </c>
      <c r="D1008" s="45" t="inlineStr">
        <is>
          <t>2·5</t>
        </is>
      </c>
      <c r="E1008" s="45" t="inlineStr"/>
      <c r="F1008" s="45" t="inlineStr"/>
    </row>
    <row r="1009" ht="13" customHeight="1">
      <c r="A1009" s="49" t="inlineStr">
        <is>
          <t>8009</t>
        </is>
      </c>
      <c r="B1009" s="49" t="inlineStr">
        <is>
          <t>37465</t>
        </is>
      </c>
      <c r="C1009" s="49" t="inlineStr">
        <is>
          <t>5×59×127</t>
        </is>
      </c>
      <c r="D1009" s="49" t="inlineStr">
        <is>
          <t>5</t>
        </is>
      </c>
      <c r="E1009" s="49" t="inlineStr"/>
      <c r="F1009" s="49" t="inlineStr"/>
    </row>
    <row r="1010" ht="13" customHeight="1">
      <c r="A1010" s="45" t="inlineStr">
        <is>
          <t>8011</t>
        </is>
      </c>
      <c r="B1010" s="45" t="inlineStr">
        <is>
          <t>16455</t>
        </is>
      </c>
      <c r="C1010" s="45" t="inlineStr">
        <is>
          <t>3×5×1097</t>
        </is>
      </c>
      <c r="D1010" s="45" t="inlineStr">
        <is>
          <t>3·5</t>
        </is>
      </c>
      <c r="E1010" s="45" t="inlineStr"/>
      <c r="F1010" s="45" t="inlineStr"/>
    </row>
    <row r="1011" ht="13" customHeight="1">
      <c r="A1011" s="43" t="inlineStr">
        <is>
          <t>8017</t>
        </is>
      </c>
      <c r="B1011" s="43" t="inlineStr">
        <is>
          <t>9251</t>
        </is>
      </c>
      <c r="C1011" s="43" t="inlineStr">
        <is>
          <t>11×29×29</t>
        </is>
      </c>
      <c r="D1011" s="43" t="inlineStr">
        <is>
          <t>11</t>
        </is>
      </c>
      <c r="E1011" s="43" t="inlineStr"/>
      <c r="F1011" s="43" t="inlineStr"/>
    </row>
    <row r="1012" ht="13" customHeight="1">
      <c r="A1012" s="39" t="inlineStr">
        <is>
          <t>8039</t>
        </is>
      </c>
      <c r="B1012" s="39" t="inlineStr">
        <is>
          <t>30</t>
        </is>
      </c>
      <c r="C1012" s="39" t="inlineStr">
        <is>
          <t>2×3×5</t>
        </is>
      </c>
      <c r="D1012" s="39" t="inlineStr">
        <is>
          <t>2·3·5</t>
        </is>
      </c>
      <c r="E1012" s="39" t="inlineStr"/>
      <c r="F1012" s="39" t="inlineStr"/>
    </row>
    <row r="1013" ht="13" customHeight="1">
      <c r="A1013" s="49" t="inlineStr">
        <is>
          <t>8053</t>
        </is>
      </c>
      <c r="B1013" s="49" t="inlineStr">
        <is>
          <t>27076</t>
        </is>
      </c>
      <c r="C1013" s="49" t="inlineStr">
        <is>
          <t>2×2×7×967</t>
        </is>
      </c>
      <c r="D1013" s="49" t="inlineStr">
        <is>
          <t>2·7</t>
        </is>
      </c>
      <c r="E1013" s="49" t="inlineStr"/>
      <c r="F1013" s="49" t="inlineStr"/>
    </row>
    <row r="1014" ht="13" customHeight="1">
      <c r="A1014" s="45" t="inlineStr">
        <is>
          <t>8059</t>
        </is>
      </c>
      <c r="B1014" s="45" t="inlineStr">
        <is>
          <t>36768</t>
        </is>
      </c>
      <c r="C1014" s="45" t="inlineStr">
        <is>
          <t>2×2×2×2×2×3×383</t>
        </is>
      </c>
      <c r="D1014" s="45" t="inlineStr">
        <is>
          <t>2·3</t>
        </is>
      </c>
      <c r="E1014" s="45" t="inlineStr"/>
      <c r="F1014" s="45" t="inlineStr"/>
    </row>
    <row r="1015" ht="13" customHeight="1">
      <c r="A1015" s="51" t="inlineStr">
        <is>
          <t>8069</t>
        </is>
      </c>
      <c r="B1015" s="51" t="inlineStr">
        <is>
          <t>1596</t>
        </is>
      </c>
      <c r="C1015" s="51" t="inlineStr">
        <is>
          <t>2×2×3×7×19</t>
        </is>
      </c>
      <c r="D1015" s="51" t="inlineStr">
        <is>
          <t>2·3·7·19</t>
        </is>
      </c>
      <c r="E1015" s="51" t="inlineStr"/>
      <c r="F1015" s="51" t="inlineStr"/>
    </row>
    <row r="1016" ht="13" customHeight="1">
      <c r="A1016" s="43" t="inlineStr">
        <is>
          <t>8081</t>
        </is>
      </c>
      <c r="B1016" s="43" t="inlineStr">
        <is>
          <t>8118</t>
        </is>
      </c>
      <c r="C1016" s="43" t="inlineStr">
        <is>
          <t>2×3×3×11×41</t>
        </is>
      </c>
      <c r="D1016" s="43" t="inlineStr">
        <is>
          <t>2·3·11</t>
        </is>
      </c>
      <c r="E1016" s="43" t="inlineStr"/>
      <c r="F1016" s="43" t="inlineStr"/>
    </row>
    <row r="1017" ht="13" customHeight="1">
      <c r="A1017" s="49" t="inlineStr">
        <is>
          <t>8087</t>
        </is>
      </c>
      <c r="B1017" s="49" t="inlineStr">
        <is>
          <t>40125</t>
        </is>
      </c>
      <c r="C1017" s="49" t="inlineStr">
        <is>
          <t>3×5×5×5×107</t>
        </is>
      </c>
      <c r="D1017" s="49" t="inlineStr">
        <is>
          <t>3·5</t>
        </is>
      </c>
      <c r="E1017" s="49" t="inlineStr"/>
      <c r="F1017" s="49" t="inlineStr"/>
    </row>
    <row r="1018" ht="13" customHeight="1">
      <c r="A1018" s="45" t="inlineStr">
        <is>
          <t>8089</t>
        </is>
      </c>
      <c r="B1018" s="45" t="inlineStr">
        <is>
          <t>16761</t>
        </is>
      </c>
      <c r="C1018" s="45" t="inlineStr">
        <is>
          <t>3×37×151</t>
        </is>
      </c>
      <c r="D1018" s="45" t="inlineStr">
        <is>
          <t>3</t>
        </is>
      </c>
      <c r="E1018" s="45" t="inlineStr"/>
      <c r="F1018" s="45" t="inlineStr"/>
    </row>
    <row r="1019" ht="13" customHeight="1">
      <c r="A1019" s="49" t="inlineStr">
        <is>
          <t>8093</t>
        </is>
      </c>
      <c r="B1019" s="49" t="inlineStr">
        <is>
          <t>32600</t>
        </is>
      </c>
      <c r="C1019" s="49" t="inlineStr">
        <is>
          <t>2×2×2×5×5×163</t>
        </is>
      </c>
      <c r="D1019" s="49" t="inlineStr">
        <is>
          <t>2·5</t>
        </is>
      </c>
      <c r="E1019" s="49" t="inlineStr"/>
      <c r="F1019" s="49" t="inlineStr"/>
    </row>
    <row r="1020" ht="13" customHeight="1">
      <c r="A1020" s="45" t="inlineStr">
        <is>
          <t>8101</t>
        </is>
      </c>
      <c r="B1020" s="45" t="inlineStr">
        <is>
          <t>1806</t>
        </is>
      </c>
      <c r="C1020" s="45" t="inlineStr">
        <is>
          <t>2×3×7×43</t>
        </is>
      </c>
      <c r="D1020" s="45" t="inlineStr">
        <is>
          <t>2·3·7</t>
        </is>
      </c>
      <c r="E1020" s="45" t="inlineStr"/>
      <c r="F1020" s="45" t="inlineStr"/>
    </row>
    <row r="1021" ht="13" customHeight="1">
      <c r="A1021" s="49" t="inlineStr">
        <is>
          <t>8111</t>
        </is>
      </c>
      <c r="B1021" s="49" t="inlineStr">
        <is>
          <t>6658</t>
        </is>
      </c>
      <c r="C1021" s="49" t="inlineStr">
        <is>
          <t>2×3329</t>
        </is>
      </c>
      <c r="D1021" s="49" t="inlineStr">
        <is>
          <t>2</t>
        </is>
      </c>
      <c r="E1021" s="49" t="inlineStr"/>
      <c r="F1021" s="49" t="inlineStr"/>
    </row>
    <row r="1022" ht="13" customHeight="1">
      <c r="A1022" s="45" t="inlineStr">
        <is>
          <t>8117</t>
        </is>
      </c>
      <c r="B1022" s="45" t="inlineStr">
        <is>
          <t>42799</t>
        </is>
      </c>
      <c r="C1022" s="45" t="inlineStr">
        <is>
          <t>127×337</t>
        </is>
      </c>
      <c r="D1022" s="45" t="inlineStr">
        <is>
          <t>—</t>
        </is>
      </c>
      <c r="E1022" s="45" t="inlineStr"/>
      <c r="F1022" s="45" t="inlineStr"/>
    </row>
    <row r="1023" ht="13" customHeight="1">
      <c r="A1023" s="49" t="inlineStr">
        <is>
          <t>8123</t>
        </is>
      </c>
      <c r="B1023" s="49" t="inlineStr">
        <is>
          <t>31448</t>
        </is>
      </c>
      <c r="C1023" s="49" t="inlineStr">
        <is>
          <t>2×2×2×3931</t>
        </is>
      </c>
      <c r="D1023" s="49" t="inlineStr">
        <is>
          <t>2</t>
        </is>
      </c>
      <c r="E1023" s="49" t="inlineStr"/>
      <c r="F1023" s="49" t="inlineStr"/>
    </row>
    <row r="1024" ht="13" customHeight="1">
      <c r="A1024" s="50" t="inlineStr">
        <is>
          <t>8147</t>
        </is>
      </c>
      <c r="B1024" s="50" t="inlineStr">
        <is>
          <t>33997</t>
        </is>
      </c>
      <c r="C1024" s="50" t="inlineStr">
        <is>
          <t>33997</t>
        </is>
      </c>
      <c r="D1024" s="50" t="inlineStr">
        <is>
          <t>—</t>
        </is>
      </c>
      <c r="E1024" s="50" t="inlineStr"/>
      <c r="F1024" s="50" t="inlineStr"/>
    </row>
    <row r="1025" ht="13" customHeight="1">
      <c r="A1025" s="49" t="inlineStr">
        <is>
          <t>8161</t>
        </is>
      </c>
      <c r="B1025" s="49" t="inlineStr">
        <is>
          <t>33698</t>
        </is>
      </c>
      <c r="C1025" s="49" t="inlineStr">
        <is>
          <t>2×7×29×83</t>
        </is>
      </c>
      <c r="D1025" s="49" t="inlineStr">
        <is>
          <t>2·7</t>
        </is>
      </c>
      <c r="E1025" s="49" t="inlineStr"/>
      <c r="F1025" s="49" t="inlineStr"/>
    </row>
    <row r="1026" ht="13" customHeight="1">
      <c r="A1026" s="41" t="inlineStr">
        <is>
          <t>8167</t>
        </is>
      </c>
      <c r="B1026" s="41" t="inlineStr">
        <is>
          <t>18275</t>
        </is>
      </c>
      <c r="C1026" s="41" t="inlineStr">
        <is>
          <t>5×5×17×43</t>
        </is>
      </c>
      <c r="D1026" s="41" t="inlineStr">
        <is>
          <t>5·17</t>
        </is>
      </c>
      <c r="E1026" s="41" t="inlineStr"/>
      <c r="F1026" s="41" t="inlineStr"/>
    </row>
    <row r="1027" ht="13" customHeight="1">
      <c r="A1027" s="49" t="inlineStr">
        <is>
          <t>8171</t>
        </is>
      </c>
      <c r="B1027" s="49" t="inlineStr">
        <is>
          <t>12827</t>
        </is>
      </c>
      <c r="C1027" s="49" t="inlineStr">
        <is>
          <t>101×127</t>
        </is>
      </c>
      <c r="D1027" s="49" t="inlineStr">
        <is>
          <t>—</t>
        </is>
      </c>
      <c r="E1027" s="49" t="inlineStr"/>
      <c r="F1027" s="49" t="inlineStr"/>
    </row>
    <row r="1028" ht="13" customHeight="1">
      <c r="A1028" s="41" t="inlineStr">
        <is>
          <t>8179</t>
        </is>
      </c>
      <c r="B1028" s="41" t="inlineStr">
        <is>
          <t>26486</t>
        </is>
      </c>
      <c r="C1028" s="41" t="inlineStr">
        <is>
          <t>2×17×19×41</t>
        </is>
      </c>
      <c r="D1028" s="41" t="inlineStr">
        <is>
          <t>2·17·19</t>
        </is>
      </c>
      <c r="E1028" s="41" t="inlineStr"/>
      <c r="F1028" s="41" t="inlineStr"/>
    </row>
    <row r="1029" ht="13" customHeight="1">
      <c r="A1029" s="49" t="inlineStr">
        <is>
          <t>8191</t>
        </is>
      </c>
      <c r="B1029" s="49" t="inlineStr">
        <is>
          <t>26712</t>
        </is>
      </c>
      <c r="C1029" s="49" t="inlineStr">
        <is>
          <t>2×2×2×3×3×7×53</t>
        </is>
      </c>
      <c r="D1029" s="49" t="inlineStr">
        <is>
          <t>2·3·7</t>
        </is>
      </c>
      <c r="E1029" s="49" t="inlineStr"/>
      <c r="F1029" s="49" t="inlineStr"/>
    </row>
    <row r="1030" ht="13" customHeight="1">
      <c r="A1030" s="41" t="inlineStr">
        <is>
          <t>8209</t>
        </is>
      </c>
      <c r="B1030" s="41" t="inlineStr">
        <is>
          <t>24956</t>
        </is>
      </c>
      <c r="C1030" s="41" t="inlineStr">
        <is>
          <t>2×2×17×367</t>
        </is>
      </c>
      <c r="D1030" s="41" t="inlineStr">
        <is>
          <t>2·17</t>
        </is>
      </c>
      <c r="E1030" s="41" t="inlineStr"/>
      <c r="F1030" s="41" t="inlineStr"/>
    </row>
    <row r="1031" ht="13" customHeight="1">
      <c r="A1031" s="49" t="inlineStr">
        <is>
          <t>8219</t>
        </is>
      </c>
      <c r="B1031" s="49" t="inlineStr">
        <is>
          <t>31821</t>
        </is>
      </c>
      <c r="C1031" s="49" t="inlineStr">
        <is>
          <t>3×10607</t>
        </is>
      </c>
      <c r="D1031" s="49" t="inlineStr">
        <is>
          <t>3</t>
        </is>
      </c>
      <c r="E1031" s="49" t="inlineStr"/>
      <c r="F1031" s="49" t="inlineStr"/>
    </row>
    <row r="1032" ht="13" customHeight="1">
      <c r="A1032" s="45" t="inlineStr">
        <is>
          <t>8221</t>
        </is>
      </c>
      <c r="B1032" s="45" t="inlineStr">
        <is>
          <t>36702</t>
        </is>
      </c>
      <c r="C1032" s="45" t="inlineStr">
        <is>
          <t>2×3×3×2039</t>
        </is>
      </c>
      <c r="D1032" s="45" t="inlineStr">
        <is>
          <t>2·3</t>
        </is>
      </c>
      <c r="E1032" s="45" t="inlineStr"/>
      <c r="F1032" s="45" t="inlineStr"/>
    </row>
    <row r="1033" ht="13" customHeight="1">
      <c r="A1033" s="41" t="inlineStr">
        <is>
          <t>8231</t>
        </is>
      </c>
      <c r="B1033" s="41" t="inlineStr">
        <is>
          <t>30668</t>
        </is>
      </c>
      <c r="C1033" s="41" t="inlineStr">
        <is>
          <t>2×2×11×17×41</t>
        </is>
      </c>
      <c r="D1033" s="41" t="inlineStr">
        <is>
          <t>2·11·17</t>
        </is>
      </c>
      <c r="E1033" s="41" t="inlineStr"/>
      <c r="F1033" s="41" t="inlineStr"/>
    </row>
    <row r="1034" ht="13" customHeight="1">
      <c r="A1034" s="51" t="inlineStr">
        <is>
          <t>8233</t>
        </is>
      </c>
      <c r="B1034" s="51" t="inlineStr">
        <is>
          <t>5909</t>
        </is>
      </c>
      <c r="C1034" s="51" t="inlineStr">
        <is>
          <t>19×311</t>
        </is>
      </c>
      <c r="D1034" s="51" t="inlineStr">
        <is>
          <t>19</t>
        </is>
      </c>
      <c r="E1034" s="51" t="inlineStr"/>
      <c r="F1034" s="51" t="inlineStr"/>
    </row>
    <row r="1035" ht="13" customHeight="1">
      <c r="A1035" s="49" t="inlineStr">
        <is>
          <t>8237</t>
        </is>
      </c>
      <c r="B1035" s="49" t="inlineStr">
        <is>
          <t>25880</t>
        </is>
      </c>
      <c r="C1035" s="49" t="inlineStr">
        <is>
          <t>2×2×2×5×647</t>
        </is>
      </c>
      <c r="D1035" s="49" t="inlineStr">
        <is>
          <t>2·5</t>
        </is>
      </c>
      <c r="E1035" s="49" t="inlineStr"/>
      <c r="F1035" s="49" t="inlineStr"/>
    </row>
    <row r="1036" ht="13" customHeight="1">
      <c r="A1036" s="45" t="inlineStr">
        <is>
          <t>8243</t>
        </is>
      </c>
      <c r="B1036" s="45" t="inlineStr">
        <is>
          <t>28989</t>
        </is>
      </c>
      <c r="C1036" s="45" t="inlineStr">
        <is>
          <t>3×3×3221</t>
        </is>
      </c>
      <c r="D1036" s="45" t="inlineStr">
        <is>
          <t>3</t>
        </is>
      </c>
      <c r="E1036" s="45" t="inlineStr"/>
      <c r="F1036" s="45" t="inlineStr"/>
    </row>
    <row r="1037" ht="13" customHeight="1">
      <c r="A1037" s="49" t="inlineStr">
        <is>
          <t>8263</t>
        </is>
      </c>
      <c r="B1037" s="49" t="inlineStr">
        <is>
          <t>7556</t>
        </is>
      </c>
      <c r="C1037" s="49" t="inlineStr">
        <is>
          <t>2×2×1889</t>
        </is>
      </c>
      <c r="D1037" s="49" t="inlineStr">
        <is>
          <t>2</t>
        </is>
      </c>
      <c r="E1037" s="49" t="inlineStr"/>
      <c r="F1037" s="49" t="inlineStr"/>
    </row>
    <row r="1038" ht="13" customHeight="1">
      <c r="A1038" s="45" t="inlineStr">
        <is>
          <t>8269</t>
        </is>
      </c>
      <c r="B1038" s="45" t="inlineStr">
        <is>
          <t>2012</t>
        </is>
      </c>
      <c r="C1038" s="45" t="inlineStr">
        <is>
          <t>2×2×503</t>
        </is>
      </c>
      <c r="D1038" s="45" t="inlineStr">
        <is>
          <t>2</t>
        </is>
      </c>
      <c r="E1038" s="45" t="inlineStr"/>
      <c r="F1038" s="45" t="inlineStr"/>
    </row>
    <row r="1039" ht="13" customHeight="1">
      <c r="A1039" s="49" t="inlineStr">
        <is>
          <t>8273</t>
        </is>
      </c>
      <c r="B1039" s="49" t="inlineStr">
        <is>
          <t>37083</t>
        </is>
      </c>
      <c r="C1039" s="49" t="inlineStr">
        <is>
          <t>3×47×263</t>
        </is>
      </c>
      <c r="D1039" s="49" t="inlineStr">
        <is>
          <t>3</t>
        </is>
      </c>
      <c r="E1039" s="49" t="inlineStr"/>
      <c r="F1039" s="49" t="inlineStr"/>
    </row>
    <row r="1040" ht="13" customHeight="1">
      <c r="A1040" s="45" t="inlineStr">
        <is>
          <t>8287</t>
        </is>
      </c>
      <c r="B1040" s="45" t="inlineStr">
        <is>
          <t>18676</t>
        </is>
      </c>
      <c r="C1040" s="45" t="inlineStr">
        <is>
          <t>2×2×7×23×29</t>
        </is>
      </c>
      <c r="D1040" s="45" t="inlineStr">
        <is>
          <t>2·7</t>
        </is>
      </c>
      <c r="E1040" s="45" t="inlineStr"/>
      <c r="F1040" s="45" t="inlineStr"/>
    </row>
    <row r="1041" ht="13" customHeight="1">
      <c r="A1041" s="49" t="inlineStr">
        <is>
          <t>8291</t>
        </is>
      </c>
      <c r="B1041" s="49" t="inlineStr">
        <is>
          <t>26236</t>
        </is>
      </c>
      <c r="C1041" s="49" t="inlineStr">
        <is>
          <t>2×2×7×937</t>
        </is>
      </c>
      <c r="D1041" s="49" t="inlineStr">
        <is>
          <t>2·7</t>
        </is>
      </c>
      <c r="E1041" s="49" t="inlineStr"/>
      <c r="F1041" s="49" t="inlineStr"/>
    </row>
    <row r="1042" ht="13" customHeight="1">
      <c r="A1042" s="45" t="inlineStr">
        <is>
          <t>8293</t>
        </is>
      </c>
      <c r="B1042" s="45" t="inlineStr">
        <is>
          <t>366</t>
        </is>
      </c>
      <c r="C1042" s="45" t="inlineStr">
        <is>
          <t>2×3×61</t>
        </is>
      </c>
      <c r="D1042" s="45" t="inlineStr">
        <is>
          <t>2·3</t>
        </is>
      </c>
      <c r="E1042" s="45" t="inlineStr"/>
      <c r="F1042" s="45" t="inlineStr"/>
    </row>
    <row r="1043" ht="13" customHeight="1">
      <c r="A1043" s="49" t="inlineStr">
        <is>
          <t>8297</t>
        </is>
      </c>
      <c r="B1043" s="49" t="inlineStr">
        <is>
          <t>18032</t>
        </is>
      </c>
      <c r="C1043" s="49" t="inlineStr">
        <is>
          <t>2×2×2×2×7×7×23</t>
        </is>
      </c>
      <c r="D1043" s="49" t="inlineStr">
        <is>
          <t>2·7</t>
        </is>
      </c>
      <c r="E1043" s="49" t="inlineStr"/>
      <c r="F1043" s="49" t="inlineStr"/>
    </row>
    <row r="1044" ht="13" customHeight="1">
      <c r="A1044" s="45" t="inlineStr">
        <is>
          <t>8311</t>
        </is>
      </c>
      <c r="B1044" s="45" t="inlineStr">
        <is>
          <t>74</t>
        </is>
      </c>
      <c r="C1044" s="45" t="inlineStr">
        <is>
          <t>2×37</t>
        </is>
      </c>
      <c r="D1044" s="45" t="inlineStr">
        <is>
          <t>2</t>
        </is>
      </c>
      <c r="E1044" s="45" t="inlineStr"/>
      <c r="F1044" s="45" t="inlineStr"/>
    </row>
    <row r="1045" ht="13" customHeight="1">
      <c r="A1045" s="41" t="inlineStr">
        <is>
          <t>8317</t>
        </is>
      </c>
      <c r="B1045" s="41" t="inlineStr">
        <is>
          <t>30485</t>
        </is>
      </c>
      <c r="C1045" s="41" t="inlineStr">
        <is>
          <t>5×7×13×67</t>
        </is>
      </c>
      <c r="D1045" s="41" t="inlineStr">
        <is>
          <t>5·7·13</t>
        </is>
      </c>
      <c r="E1045" s="41" t="inlineStr"/>
      <c r="F1045" s="41" t="inlineStr"/>
    </row>
    <row r="1046" ht="13" customHeight="1">
      <c r="A1046" s="45" t="inlineStr">
        <is>
          <t>8329</t>
        </is>
      </c>
      <c r="B1046" s="45" t="inlineStr">
        <is>
          <t>16513</t>
        </is>
      </c>
      <c r="C1046" s="45" t="inlineStr">
        <is>
          <t>7×7×337</t>
        </is>
      </c>
      <c r="D1046" s="45" t="inlineStr">
        <is>
          <t>7</t>
        </is>
      </c>
      <c r="E1046" s="45" t="inlineStr"/>
      <c r="F1046" s="45" t="inlineStr"/>
    </row>
    <row r="1047" ht="13" customHeight="1">
      <c r="A1047" s="49" t="inlineStr">
        <is>
          <t>8353</t>
        </is>
      </c>
      <c r="B1047" s="49" t="inlineStr">
        <is>
          <t>8793</t>
        </is>
      </c>
      <c r="C1047" s="49" t="inlineStr">
        <is>
          <t>3×3×977</t>
        </is>
      </c>
      <c r="D1047" s="49" t="inlineStr">
        <is>
          <t>3</t>
        </is>
      </c>
      <c r="E1047" s="49" t="inlineStr"/>
      <c r="F1047" s="49" t="inlineStr"/>
    </row>
    <row r="1048" ht="13" customHeight="1">
      <c r="A1048" s="45" t="inlineStr">
        <is>
          <t>8363</t>
        </is>
      </c>
      <c r="B1048" s="45" t="inlineStr">
        <is>
          <t>23326</t>
        </is>
      </c>
      <c r="C1048" s="45" t="inlineStr">
        <is>
          <t>2×107×109</t>
        </is>
      </c>
      <c r="D1048" s="45" t="inlineStr">
        <is>
          <t>2</t>
        </is>
      </c>
      <c r="E1048" s="45" t="inlineStr"/>
      <c r="F1048" s="45" t="inlineStr"/>
    </row>
    <row r="1049" ht="13" customHeight="1">
      <c r="A1049" s="39" t="inlineStr">
        <is>
          <t>8369</t>
        </is>
      </c>
      <c r="B1049" s="39" t="inlineStr">
        <is>
          <t>3888</t>
        </is>
      </c>
      <c r="C1049" s="39" t="inlineStr">
        <is>
          <t>2×2×2×2×3×3×3×3×3</t>
        </is>
      </c>
      <c r="D1049" s="39" t="inlineStr">
        <is>
          <t>2·3</t>
        </is>
      </c>
      <c r="E1049" s="39" t="inlineStr"/>
      <c r="F1049" s="39" t="inlineStr"/>
    </row>
    <row r="1050" ht="13" customHeight="1">
      <c r="A1050" s="45" t="inlineStr">
        <is>
          <t>8377</t>
        </is>
      </c>
      <c r="B1050" s="45" t="inlineStr">
        <is>
          <t>26359</t>
        </is>
      </c>
      <c r="C1050" s="45" t="inlineStr">
        <is>
          <t>43×613</t>
        </is>
      </c>
      <c r="D1050" s="45" t="inlineStr">
        <is>
          <t>—</t>
        </is>
      </c>
      <c r="E1050" s="45" t="inlineStr"/>
      <c r="F1050" s="45" t="inlineStr"/>
    </row>
    <row r="1051" ht="13" customHeight="1">
      <c r="A1051" s="43" t="inlineStr">
        <is>
          <t>8387</t>
        </is>
      </c>
      <c r="B1051" s="43" t="inlineStr">
        <is>
          <t>20262</t>
        </is>
      </c>
      <c r="C1051" s="43" t="inlineStr">
        <is>
          <t>2×3×11×307</t>
        </is>
      </c>
      <c r="D1051" s="43" t="inlineStr">
        <is>
          <t>2·3·11</t>
        </is>
      </c>
      <c r="E1051" s="43" t="inlineStr"/>
      <c r="F1051" s="43" t="inlineStr"/>
    </row>
    <row r="1052" ht="13" customHeight="1">
      <c r="A1052" s="45" t="inlineStr">
        <is>
          <t>8389</t>
        </is>
      </c>
      <c r="B1052" s="45" t="inlineStr">
        <is>
          <t>24528</t>
        </is>
      </c>
      <c r="C1052" s="45" t="inlineStr">
        <is>
          <t>2×2×2×2×3×7×73</t>
        </is>
      </c>
      <c r="D1052" s="45" t="inlineStr">
        <is>
          <t>2·3·7</t>
        </is>
      </c>
      <c r="E1052" s="45" t="inlineStr"/>
      <c r="F1052" s="45" t="inlineStr"/>
    </row>
    <row r="1053" ht="13" customHeight="1">
      <c r="A1053" s="49" t="inlineStr">
        <is>
          <t>8419</t>
        </is>
      </c>
      <c r="B1053" s="49" t="inlineStr">
        <is>
          <t>10943</t>
        </is>
      </c>
      <c r="C1053" s="49" t="inlineStr">
        <is>
          <t>31×353</t>
        </is>
      </c>
      <c r="D1053" s="49" t="inlineStr">
        <is>
          <t>—</t>
        </is>
      </c>
      <c r="E1053" s="49" t="inlineStr"/>
      <c r="F1053" s="49" t="inlineStr"/>
    </row>
    <row r="1054" ht="13" customHeight="1">
      <c r="A1054" s="41" t="inlineStr">
        <is>
          <t>8423</t>
        </is>
      </c>
      <c r="B1054" s="41" t="inlineStr">
        <is>
          <t>3740</t>
        </is>
      </c>
      <c r="C1054" s="41" t="inlineStr">
        <is>
          <t>2×2×5×11×17</t>
        </is>
      </c>
      <c r="D1054" s="41" t="inlineStr">
        <is>
          <t>2·5·11·17</t>
        </is>
      </c>
      <c r="E1054" s="41" t="inlineStr"/>
      <c r="F1054" s="41" t="inlineStr"/>
    </row>
    <row r="1055" ht="13" customHeight="1">
      <c r="A1055" s="49" t="inlineStr">
        <is>
          <t>8429</t>
        </is>
      </c>
      <c r="B1055" s="49" t="inlineStr">
        <is>
          <t>43884</t>
        </is>
      </c>
      <c r="C1055" s="49" t="inlineStr">
        <is>
          <t>2×2×3×3×23×53</t>
        </is>
      </c>
      <c r="D1055" s="49" t="inlineStr">
        <is>
          <t>2·3</t>
        </is>
      </c>
      <c r="E1055" s="49" t="inlineStr"/>
      <c r="F1055" s="49" t="inlineStr"/>
    </row>
    <row r="1056" ht="13" customHeight="1">
      <c r="A1056" s="45" t="inlineStr">
        <is>
          <t>8431</t>
        </is>
      </c>
      <c r="B1056" s="45" t="inlineStr">
        <is>
          <t>42507</t>
        </is>
      </c>
      <c r="C1056" s="45" t="inlineStr">
        <is>
          <t>3×3×4723</t>
        </is>
      </c>
      <c r="D1056" s="45" t="inlineStr">
        <is>
          <t>3</t>
        </is>
      </c>
      <c r="E1056" s="45" t="inlineStr"/>
      <c r="F1056" s="45" t="inlineStr"/>
    </row>
    <row r="1057" ht="13" customHeight="1">
      <c r="A1057" s="49" t="inlineStr">
        <is>
          <t>8443</t>
        </is>
      </c>
      <c r="B1057" s="49" t="inlineStr">
        <is>
          <t>25340</t>
        </is>
      </c>
      <c r="C1057" s="49" t="inlineStr">
        <is>
          <t>2×2×5×7×181</t>
        </is>
      </c>
      <c r="D1057" s="49" t="inlineStr">
        <is>
          <t>2·5·7</t>
        </is>
      </c>
      <c r="E1057" s="49" t="inlineStr"/>
      <c r="F1057" s="49" t="inlineStr"/>
    </row>
    <row r="1058" ht="13" customHeight="1">
      <c r="A1058" s="45" t="inlineStr">
        <is>
          <t>8447</t>
        </is>
      </c>
      <c r="B1058" s="45" t="inlineStr">
        <is>
          <t>26902</t>
        </is>
      </c>
      <c r="C1058" s="45" t="inlineStr">
        <is>
          <t>2×13451</t>
        </is>
      </c>
      <c r="D1058" s="45" t="inlineStr">
        <is>
          <t>2</t>
        </is>
      </c>
      <c r="E1058" s="45" t="inlineStr"/>
      <c r="F1058" s="45" t="inlineStr"/>
    </row>
    <row r="1059" ht="13" customHeight="1">
      <c r="A1059" s="41" t="inlineStr">
        <is>
          <t>8461</t>
        </is>
      </c>
      <c r="B1059" s="41" t="inlineStr">
        <is>
          <t>4777</t>
        </is>
      </c>
      <c r="C1059" s="41" t="inlineStr">
        <is>
          <t>17×281</t>
        </is>
      </c>
      <c r="D1059" s="41" t="inlineStr">
        <is>
          <t>17</t>
        </is>
      </c>
      <c r="E1059" s="41" t="inlineStr"/>
      <c r="F1059" s="41" t="inlineStr"/>
    </row>
    <row r="1060" ht="13" customHeight="1">
      <c r="A1060" s="50" t="inlineStr">
        <is>
          <t>8467</t>
        </is>
      </c>
      <c r="B1060" s="50" t="inlineStr">
        <is>
          <t>29399</t>
        </is>
      </c>
      <c r="C1060" s="50" t="inlineStr">
        <is>
          <t>29399</t>
        </is>
      </c>
      <c r="D1060" s="50" t="inlineStr">
        <is>
          <t>—</t>
        </is>
      </c>
      <c r="E1060" s="50" t="inlineStr"/>
      <c r="F1060" s="50" t="inlineStr"/>
    </row>
    <row r="1061" ht="13" customHeight="1">
      <c r="A1061" s="43" t="inlineStr">
        <is>
          <t>8501</t>
        </is>
      </c>
      <c r="B1061" s="43" t="inlineStr">
        <is>
          <t>37246</t>
        </is>
      </c>
      <c r="C1061" s="43" t="inlineStr">
        <is>
          <t>2×11×1693</t>
        </is>
      </c>
      <c r="D1061" s="43" t="inlineStr">
        <is>
          <t>2·11</t>
        </is>
      </c>
      <c r="E1061" s="43" t="inlineStr"/>
      <c r="F1061" s="43" t="inlineStr"/>
    </row>
    <row r="1062" ht="13" customHeight="1">
      <c r="A1062" s="43" t="inlineStr">
        <is>
          <t>8513</t>
        </is>
      </c>
      <c r="B1062" s="43" t="inlineStr">
        <is>
          <t>33990</t>
        </is>
      </c>
      <c r="C1062" s="43" t="inlineStr">
        <is>
          <t>2×3×5×11×103</t>
        </is>
      </c>
      <c r="D1062" s="43" t="inlineStr">
        <is>
          <t>2·3·5·11</t>
        </is>
      </c>
      <c r="E1062" s="43" t="inlineStr"/>
      <c r="F1062" s="43" t="inlineStr"/>
    </row>
    <row r="1063" ht="13" customHeight="1">
      <c r="A1063" s="43" t="inlineStr">
        <is>
          <t>8521</t>
        </is>
      </c>
      <c r="B1063" s="43" t="inlineStr">
        <is>
          <t>41063</t>
        </is>
      </c>
      <c r="C1063" s="43" t="inlineStr">
        <is>
          <t>11×3733</t>
        </is>
      </c>
      <c r="D1063" s="43" t="inlineStr">
        <is>
          <t>11</t>
        </is>
      </c>
      <c r="E1063" s="43" t="inlineStr"/>
      <c r="F1063" s="43" t="inlineStr"/>
    </row>
    <row r="1064" ht="13" customHeight="1">
      <c r="A1064" s="41" t="inlineStr">
        <is>
          <t>8527</t>
        </is>
      </c>
      <c r="B1064" s="41" t="inlineStr">
        <is>
          <t>507</t>
        </is>
      </c>
      <c r="C1064" s="41" t="inlineStr">
        <is>
          <t>3×13×13</t>
        </is>
      </c>
      <c r="D1064" s="41" t="inlineStr">
        <is>
          <t>3·13</t>
        </is>
      </c>
      <c r="E1064" s="41" t="inlineStr"/>
      <c r="F1064" s="41" t="inlineStr"/>
    </row>
    <row r="1065" ht="13" customHeight="1">
      <c r="A1065" s="49" t="inlineStr">
        <is>
          <t>8537</t>
        </is>
      </c>
      <c r="B1065" s="49" t="inlineStr">
        <is>
          <t>4795</t>
        </is>
      </c>
      <c r="C1065" s="49" t="inlineStr">
        <is>
          <t>5×7×137</t>
        </is>
      </c>
      <c r="D1065" s="49" t="inlineStr">
        <is>
          <t>5·7</t>
        </is>
      </c>
      <c r="E1065" s="49" t="inlineStr"/>
      <c r="F1065" s="49" t="inlineStr"/>
    </row>
    <row r="1066" ht="13" customHeight="1">
      <c r="A1066" s="50" t="inlineStr">
        <is>
          <t>8539</t>
        </is>
      </c>
      <c r="B1066" s="50" t="inlineStr">
        <is>
          <t>19433</t>
        </is>
      </c>
      <c r="C1066" s="50" t="inlineStr">
        <is>
          <t>19433</t>
        </is>
      </c>
      <c r="D1066" s="50" t="inlineStr">
        <is>
          <t>—</t>
        </is>
      </c>
      <c r="E1066" s="50" t="inlineStr"/>
      <c r="F1066" s="50" t="inlineStr"/>
    </row>
    <row r="1067" ht="13" customHeight="1">
      <c r="A1067" s="49" t="inlineStr">
        <is>
          <t>8543</t>
        </is>
      </c>
      <c r="B1067" s="49" t="inlineStr">
        <is>
          <t>31975</t>
        </is>
      </c>
      <c r="C1067" s="49" t="inlineStr">
        <is>
          <t>5×5×1279</t>
        </is>
      </c>
      <c r="D1067" s="49" t="inlineStr">
        <is>
          <t>5</t>
        </is>
      </c>
      <c r="E1067" s="49" t="inlineStr"/>
      <c r="F1067" s="49" t="inlineStr"/>
    </row>
    <row r="1068" ht="13" customHeight="1">
      <c r="A1068" s="45" t="inlineStr">
        <is>
          <t>8563</t>
        </is>
      </c>
      <c r="B1068" s="45" t="inlineStr">
        <is>
          <t>23019</t>
        </is>
      </c>
      <c r="C1068" s="45" t="inlineStr">
        <is>
          <t>3×7673</t>
        </is>
      </c>
      <c r="D1068" s="45" t="inlineStr">
        <is>
          <t>3</t>
        </is>
      </c>
      <c r="E1068" s="45" t="inlineStr"/>
      <c r="F1068" s="45" t="inlineStr"/>
    </row>
    <row r="1069" ht="13" customHeight="1">
      <c r="A1069" s="49" t="inlineStr">
        <is>
          <t>8573</t>
        </is>
      </c>
      <c r="B1069" s="49" t="inlineStr">
        <is>
          <t>23994</t>
        </is>
      </c>
      <c r="C1069" s="49" t="inlineStr">
        <is>
          <t>2×3×3×31×43</t>
        </is>
      </c>
      <c r="D1069" s="49" t="inlineStr">
        <is>
          <t>2·3</t>
        </is>
      </c>
      <c r="E1069" s="49" t="inlineStr"/>
      <c r="F1069" s="49" t="inlineStr"/>
    </row>
    <row r="1070" ht="13" customHeight="1">
      <c r="A1070" s="45" t="inlineStr">
        <is>
          <t>8581</t>
        </is>
      </c>
      <c r="B1070" s="45" t="inlineStr">
        <is>
          <t>28778</t>
        </is>
      </c>
      <c r="C1070" s="45" t="inlineStr">
        <is>
          <t>2×14389</t>
        </is>
      </c>
      <c r="D1070" s="45" t="inlineStr">
        <is>
          <t>2</t>
        </is>
      </c>
      <c r="E1070" s="45" t="inlineStr"/>
      <c r="F1070" s="45" t="inlineStr"/>
    </row>
    <row r="1071" ht="13" customHeight="1">
      <c r="A1071" s="49" t="inlineStr">
        <is>
          <t>8597</t>
        </is>
      </c>
      <c r="B1071" s="49" t="inlineStr">
        <is>
          <t>6683</t>
        </is>
      </c>
      <c r="C1071" s="49" t="inlineStr">
        <is>
          <t>41×163</t>
        </is>
      </c>
      <c r="D1071" s="49" t="inlineStr">
        <is>
          <t>—</t>
        </is>
      </c>
      <c r="E1071" s="49" t="inlineStr"/>
      <c r="F1071" s="49" t="inlineStr"/>
    </row>
    <row r="1072" ht="13" customHeight="1">
      <c r="A1072" s="45" t="inlineStr">
        <is>
          <t>8599</t>
        </is>
      </c>
      <c r="B1072" s="45" t="inlineStr">
        <is>
          <t>33183</t>
        </is>
      </c>
      <c r="C1072" s="45" t="inlineStr">
        <is>
          <t>3×3×3×1229</t>
        </is>
      </c>
      <c r="D1072" s="45" t="inlineStr">
        <is>
          <t>3</t>
        </is>
      </c>
      <c r="E1072" s="45" t="inlineStr"/>
      <c r="F1072" s="45" t="inlineStr"/>
    </row>
    <row r="1073" ht="13" customHeight="1">
      <c r="A1073" s="49" t="inlineStr">
        <is>
          <t>8609</t>
        </is>
      </c>
      <c r="B1073" s="49" t="inlineStr">
        <is>
          <t>30994</t>
        </is>
      </c>
      <c r="C1073" s="49" t="inlineStr">
        <is>
          <t>2×15497</t>
        </is>
      </c>
      <c r="D1073" s="49" t="inlineStr">
        <is>
          <t>2</t>
        </is>
      </c>
      <c r="E1073" s="49" t="inlineStr"/>
      <c r="F1073" s="49" t="inlineStr"/>
    </row>
    <row r="1074" ht="13" customHeight="1">
      <c r="A1074" s="45" t="inlineStr">
        <is>
          <t>8623</t>
        </is>
      </c>
      <c r="B1074" s="45" t="inlineStr">
        <is>
          <t>19072</t>
        </is>
      </c>
      <c r="C1074" s="45" t="inlineStr">
        <is>
          <t>2×2×2×2×2×2×2×149</t>
        </is>
      </c>
      <c r="D1074" s="45" t="inlineStr">
        <is>
          <t>2</t>
        </is>
      </c>
      <c r="E1074" s="45" t="inlineStr"/>
      <c r="F1074" s="45" t="inlineStr"/>
    </row>
    <row r="1075" ht="13" customHeight="1">
      <c r="A1075" s="49" t="inlineStr">
        <is>
          <t>8627</t>
        </is>
      </c>
      <c r="B1075" s="49" t="inlineStr">
        <is>
          <t>7431</t>
        </is>
      </c>
      <c r="C1075" s="49" t="inlineStr">
        <is>
          <t>3×2477</t>
        </is>
      </c>
      <c r="D1075" s="49" t="inlineStr">
        <is>
          <t>3</t>
        </is>
      </c>
      <c r="E1075" s="49" t="inlineStr"/>
      <c r="F1075" s="49" t="inlineStr"/>
    </row>
    <row r="1076" ht="13" customHeight="1">
      <c r="A1076" s="45" t="inlineStr">
        <is>
          <t>8629</t>
        </is>
      </c>
      <c r="B1076" s="45" t="inlineStr">
        <is>
          <t>4486</t>
        </is>
      </c>
      <c r="C1076" s="45" t="inlineStr">
        <is>
          <t>2×2243</t>
        </is>
      </c>
      <c r="D1076" s="45" t="inlineStr">
        <is>
          <t>2</t>
        </is>
      </c>
      <c r="E1076" s="45" t="inlineStr"/>
      <c r="F1076" s="45" t="inlineStr"/>
    </row>
    <row r="1077" ht="13" customHeight="1">
      <c r="A1077" s="49" t="inlineStr">
        <is>
          <t>8641</t>
        </is>
      </c>
      <c r="B1077" s="49" t="inlineStr">
        <is>
          <t>5955</t>
        </is>
      </c>
      <c r="C1077" s="49" t="inlineStr">
        <is>
          <t>3×5×397</t>
        </is>
      </c>
      <c r="D1077" s="49" t="inlineStr">
        <is>
          <t>3·5</t>
        </is>
      </c>
      <c r="E1077" s="49" t="inlineStr"/>
      <c r="F1077" s="49" t="inlineStr"/>
    </row>
    <row r="1078" ht="13" customHeight="1">
      <c r="A1078" s="51" t="inlineStr">
        <is>
          <t>8647</t>
        </is>
      </c>
      <c r="B1078" s="51" t="inlineStr">
        <is>
          <t>15143</t>
        </is>
      </c>
      <c r="C1078" s="51" t="inlineStr">
        <is>
          <t>19×797</t>
        </is>
      </c>
      <c r="D1078" s="51" t="inlineStr">
        <is>
          <t>19</t>
        </is>
      </c>
      <c r="E1078" s="51" t="inlineStr"/>
      <c r="F1078" s="51" t="inlineStr"/>
    </row>
    <row r="1079" ht="13" customHeight="1">
      <c r="A1079" s="49" t="inlineStr">
        <is>
          <t>8663</t>
        </is>
      </c>
      <c r="B1079" s="49" t="inlineStr">
        <is>
          <t>8639</t>
        </is>
      </c>
      <c r="C1079" s="49" t="inlineStr">
        <is>
          <t>53×163</t>
        </is>
      </c>
      <c r="D1079" s="49" t="inlineStr">
        <is>
          <t>—</t>
        </is>
      </c>
      <c r="E1079" s="49" t="inlineStr"/>
      <c r="F1079" s="49" t="inlineStr"/>
    </row>
    <row r="1080" ht="13" customHeight="1">
      <c r="A1080" s="51" t="inlineStr">
        <is>
          <t>8669</t>
        </is>
      </c>
      <c r="B1080" s="51" t="inlineStr">
        <is>
          <t>43852</t>
        </is>
      </c>
      <c r="C1080" s="51" t="inlineStr">
        <is>
          <t>2×2×19×577</t>
        </is>
      </c>
      <c r="D1080" s="51" t="inlineStr">
        <is>
          <t>2·19</t>
        </is>
      </c>
      <c r="E1080" s="51" t="inlineStr"/>
      <c r="F1080" s="51" t="inlineStr"/>
    </row>
    <row r="1081" ht="13" customHeight="1">
      <c r="A1081" s="49" t="inlineStr">
        <is>
          <t>8677</t>
        </is>
      </c>
      <c r="B1081" s="49" t="inlineStr">
        <is>
          <t>25231</t>
        </is>
      </c>
      <c r="C1081" s="49" t="inlineStr">
        <is>
          <t>23×1097</t>
        </is>
      </c>
      <c r="D1081" s="49" t="inlineStr">
        <is>
          <t>—</t>
        </is>
      </c>
      <c r="E1081" s="49" t="inlineStr"/>
      <c r="F1081" s="49" t="inlineStr"/>
    </row>
    <row r="1082" ht="13" customHeight="1">
      <c r="A1082" s="50" t="inlineStr">
        <is>
          <t>8681</t>
        </is>
      </c>
      <c r="B1082" s="50" t="inlineStr">
        <is>
          <t>26777</t>
        </is>
      </c>
      <c r="C1082" s="50" t="inlineStr">
        <is>
          <t>26777</t>
        </is>
      </c>
      <c r="D1082" s="50" t="inlineStr">
        <is>
          <t>—</t>
        </is>
      </c>
      <c r="E1082" s="50" t="inlineStr"/>
      <c r="F1082" s="50" t="inlineStr"/>
    </row>
    <row r="1083" ht="13" customHeight="1">
      <c r="A1083" s="43" t="inlineStr">
        <is>
          <t>8689</t>
        </is>
      </c>
      <c r="B1083" s="43" t="inlineStr">
        <is>
          <t>41393</t>
        </is>
      </c>
      <c r="C1083" s="43" t="inlineStr">
        <is>
          <t>11×53×71</t>
        </is>
      </c>
      <c r="D1083" s="43" t="inlineStr">
        <is>
          <t>11</t>
        </is>
      </c>
      <c r="E1083" s="43" t="inlineStr"/>
      <c r="F1083" s="43" t="inlineStr"/>
    </row>
    <row r="1084" ht="13" customHeight="1">
      <c r="A1084" s="45" t="inlineStr">
        <is>
          <t>8693</t>
        </is>
      </c>
      <c r="B1084" s="45" t="inlineStr">
        <is>
          <t>17933</t>
        </is>
      </c>
      <c r="C1084" s="45" t="inlineStr">
        <is>
          <t>79×227</t>
        </is>
      </c>
      <c r="D1084" s="45" t="inlineStr">
        <is>
          <t>—</t>
        </is>
      </c>
      <c r="E1084" s="45" t="inlineStr"/>
      <c r="F1084" s="45" t="inlineStr"/>
    </row>
    <row r="1085" ht="13" customHeight="1">
      <c r="A1085" s="49" t="inlineStr">
        <is>
          <t>8699</t>
        </is>
      </c>
      <c r="B1085" s="49" t="inlineStr">
        <is>
          <t>31780</t>
        </is>
      </c>
      <c r="C1085" s="49" t="inlineStr">
        <is>
          <t>2×2×5×7×227</t>
        </is>
      </c>
      <c r="D1085" s="49" t="inlineStr">
        <is>
          <t>2·5·7</t>
        </is>
      </c>
      <c r="E1085" s="49" t="inlineStr"/>
      <c r="F1085" s="49" t="inlineStr"/>
    </row>
    <row r="1086" ht="13" customHeight="1">
      <c r="A1086" s="45" t="inlineStr">
        <is>
          <t>8707</t>
        </is>
      </c>
      <c r="B1086" s="45" t="inlineStr">
        <is>
          <t>14962</t>
        </is>
      </c>
      <c r="C1086" s="45" t="inlineStr">
        <is>
          <t>2×7481</t>
        </is>
      </c>
      <c r="D1086" s="45" t="inlineStr">
        <is>
          <t>2</t>
        </is>
      </c>
      <c r="E1086" s="45" t="inlineStr"/>
      <c r="F1086" s="45" t="inlineStr"/>
    </row>
    <row r="1087" ht="13" customHeight="1">
      <c r="A1087" s="49" t="inlineStr">
        <is>
          <t>8713</t>
        </is>
      </c>
      <c r="B1087" s="49" t="inlineStr">
        <is>
          <t>32666</t>
        </is>
      </c>
      <c r="C1087" s="49" t="inlineStr">
        <is>
          <t>2×16333</t>
        </is>
      </c>
      <c r="D1087" s="49" t="inlineStr">
        <is>
          <t>2</t>
        </is>
      </c>
      <c r="E1087" s="49" t="inlineStr"/>
      <c r="F1087" s="49" t="inlineStr"/>
    </row>
    <row r="1088" ht="13" customHeight="1">
      <c r="A1088" s="45" t="inlineStr">
        <is>
          <t>8719</t>
        </is>
      </c>
      <c r="B1088" s="45" t="inlineStr">
        <is>
          <t>16144</t>
        </is>
      </c>
      <c r="C1088" s="45" t="inlineStr">
        <is>
          <t>2×2×2×2×1009</t>
        </is>
      </c>
      <c r="D1088" s="45" t="inlineStr">
        <is>
          <t>2</t>
        </is>
      </c>
      <c r="E1088" s="45" t="inlineStr"/>
      <c r="F1088" s="45" t="inlineStr"/>
    </row>
    <row r="1089" ht="13" customHeight="1">
      <c r="A1089" s="49" t="inlineStr">
        <is>
          <t>8731</t>
        </is>
      </c>
      <c r="B1089" s="49" t="inlineStr">
        <is>
          <t>30755</t>
        </is>
      </c>
      <c r="C1089" s="49" t="inlineStr">
        <is>
          <t>5×6151</t>
        </is>
      </c>
      <c r="D1089" s="49" t="inlineStr">
        <is>
          <t>5</t>
        </is>
      </c>
      <c r="E1089" s="49" t="inlineStr"/>
      <c r="F1089" s="49" t="inlineStr"/>
    </row>
    <row r="1090" ht="13" customHeight="1">
      <c r="A1090" s="50" t="inlineStr">
        <is>
          <t>8737</t>
        </is>
      </c>
      <c r="B1090" s="50" t="inlineStr">
        <is>
          <t>6199</t>
        </is>
      </c>
      <c r="C1090" s="50" t="inlineStr">
        <is>
          <t>6199</t>
        </is>
      </c>
      <c r="D1090" s="50" t="inlineStr">
        <is>
          <t>—</t>
        </is>
      </c>
      <c r="E1090" s="50" t="inlineStr"/>
      <c r="F1090" s="50" t="inlineStr"/>
    </row>
    <row r="1091" ht="13" customHeight="1">
      <c r="A1091" s="50" t="inlineStr">
        <is>
          <t>8741</t>
        </is>
      </c>
      <c r="B1091" s="50" t="inlineStr">
        <is>
          <t>30367</t>
        </is>
      </c>
      <c r="C1091" s="50" t="inlineStr">
        <is>
          <t>30367</t>
        </is>
      </c>
      <c r="D1091" s="50" t="inlineStr">
        <is>
          <t>—</t>
        </is>
      </c>
      <c r="E1091" s="50" t="inlineStr"/>
      <c r="F1091" s="50" t="inlineStr"/>
    </row>
    <row r="1092" ht="13" customHeight="1">
      <c r="A1092" s="41" t="inlineStr">
        <is>
          <t>8747</t>
        </is>
      </c>
      <c r="B1092" s="41" t="inlineStr">
        <is>
          <t>38386</t>
        </is>
      </c>
      <c r="C1092" s="41" t="inlineStr">
        <is>
          <t>2×17×1129</t>
        </is>
      </c>
      <c r="D1092" s="41" t="inlineStr">
        <is>
          <t>2·17</t>
        </is>
      </c>
      <c r="E1092" s="41" t="inlineStr"/>
      <c r="F1092" s="41" t="inlineStr"/>
    </row>
    <row r="1093" ht="13" customHeight="1">
      <c r="A1093" s="49" t="inlineStr">
        <is>
          <t>8753</t>
        </is>
      </c>
      <c r="B1093" s="49" t="inlineStr">
        <is>
          <t>19835</t>
        </is>
      </c>
      <c r="C1093" s="49" t="inlineStr">
        <is>
          <t>5×3967</t>
        </is>
      </c>
      <c r="D1093" s="49" t="inlineStr">
        <is>
          <t>5</t>
        </is>
      </c>
      <c r="E1093" s="49" t="inlineStr"/>
      <c r="F1093" s="49" t="inlineStr"/>
    </row>
    <row r="1094" ht="13" customHeight="1">
      <c r="A1094" s="45" t="inlineStr">
        <is>
          <t>8761</t>
        </is>
      </c>
      <c r="B1094" s="45" t="inlineStr">
        <is>
          <t>23373</t>
        </is>
      </c>
      <c r="C1094" s="45" t="inlineStr">
        <is>
          <t>3×3×7×7×53</t>
        </is>
      </c>
      <c r="D1094" s="45" t="inlineStr">
        <is>
          <t>3·7</t>
        </is>
      </c>
      <c r="E1094" s="45" t="inlineStr"/>
      <c r="F1094" s="45" t="inlineStr"/>
    </row>
    <row r="1095" ht="13" customHeight="1">
      <c r="A1095" s="41" t="inlineStr">
        <is>
          <t>8779</t>
        </is>
      </c>
      <c r="B1095" s="41" t="inlineStr">
        <is>
          <t>36312</t>
        </is>
      </c>
      <c r="C1095" s="41" t="inlineStr">
        <is>
          <t>2×2×2×3×17×89</t>
        </is>
      </c>
      <c r="D1095" s="41" t="inlineStr">
        <is>
          <t>2·3·17</t>
        </is>
      </c>
      <c r="E1095" s="41" t="inlineStr"/>
      <c r="F1095" s="41" t="inlineStr"/>
    </row>
    <row r="1096" ht="13" customHeight="1">
      <c r="A1096" s="45" t="inlineStr">
        <is>
          <t>8783</t>
        </is>
      </c>
      <c r="B1096" s="45" t="inlineStr">
        <is>
          <t>23908</t>
        </is>
      </c>
      <c r="C1096" s="45" t="inlineStr">
        <is>
          <t>2×2×43×139</t>
        </is>
      </c>
      <c r="D1096" s="45" t="inlineStr">
        <is>
          <t>2</t>
        </is>
      </c>
      <c r="E1096" s="45" t="inlineStr"/>
      <c r="F1096" s="45" t="inlineStr"/>
    </row>
    <row r="1097" ht="13" customHeight="1">
      <c r="A1097" s="49" t="inlineStr">
        <is>
          <t>8803</t>
        </is>
      </c>
      <c r="B1097" s="49" t="inlineStr">
        <is>
          <t>39906</t>
        </is>
      </c>
      <c r="C1097" s="49" t="inlineStr">
        <is>
          <t>2×3×3×3×739</t>
        </is>
      </c>
      <c r="D1097" s="49" t="inlineStr">
        <is>
          <t>2·3</t>
        </is>
      </c>
      <c r="E1097" s="49" t="inlineStr"/>
      <c r="F1097" s="49" t="inlineStr"/>
    </row>
    <row r="1098" ht="13" customHeight="1">
      <c r="A1098" s="45" t="inlineStr">
        <is>
          <t>8807</t>
        </is>
      </c>
      <c r="B1098" s="45" t="inlineStr">
        <is>
          <t>11504</t>
        </is>
      </c>
      <c r="C1098" s="45" t="inlineStr">
        <is>
          <t>2×2×2×2×719</t>
        </is>
      </c>
      <c r="D1098" s="45" t="inlineStr">
        <is>
          <t>2</t>
        </is>
      </c>
      <c r="E1098" s="45" t="inlineStr"/>
      <c r="F1098" s="45" t="inlineStr"/>
    </row>
    <row r="1099" ht="13" customHeight="1">
      <c r="A1099" s="49" t="inlineStr">
        <is>
          <t>8819</t>
        </is>
      </c>
      <c r="B1099" s="49" t="inlineStr">
        <is>
          <t>19512</t>
        </is>
      </c>
      <c r="C1099" s="49" t="inlineStr">
        <is>
          <t>2×2×2×3×3×271</t>
        </is>
      </c>
      <c r="D1099" s="49" t="inlineStr">
        <is>
          <t>2·3</t>
        </is>
      </c>
      <c r="E1099" s="49" t="inlineStr"/>
      <c r="F1099" s="49" t="inlineStr"/>
    </row>
    <row r="1100" ht="13" customHeight="1">
      <c r="A1100" s="41" t="inlineStr">
        <is>
          <t>8821</t>
        </is>
      </c>
      <c r="B1100" s="41" t="inlineStr">
        <is>
          <t>23885</t>
        </is>
      </c>
      <c r="C1100" s="41" t="inlineStr">
        <is>
          <t>5×17×281</t>
        </is>
      </c>
      <c r="D1100" s="41" t="inlineStr">
        <is>
          <t>5·17</t>
        </is>
      </c>
      <c r="E1100" s="41" t="inlineStr"/>
      <c r="F1100" s="41" t="inlineStr"/>
    </row>
    <row r="1101" ht="13" customHeight="1">
      <c r="A1101" s="49" t="inlineStr">
        <is>
          <t>8831</t>
        </is>
      </c>
      <c r="B1101" s="49" t="inlineStr">
        <is>
          <t>41319</t>
        </is>
      </c>
      <c r="C1101" s="49" t="inlineStr">
        <is>
          <t>3×3×4591</t>
        </is>
      </c>
      <c r="D1101" s="49" t="inlineStr">
        <is>
          <t>3</t>
        </is>
      </c>
      <c r="E1101" s="49" t="inlineStr"/>
      <c r="F1101" s="49" t="inlineStr"/>
    </row>
    <row r="1102" ht="13" customHeight="1">
      <c r="A1102" s="41" t="inlineStr">
        <is>
          <t>8837</t>
        </is>
      </c>
      <c r="B1102" s="41" t="inlineStr">
        <is>
          <t>34840</t>
        </is>
      </c>
      <c r="C1102" s="41" t="inlineStr">
        <is>
          <t>2×2×2×5×13×67</t>
        </is>
      </c>
      <c r="D1102" s="41" t="inlineStr">
        <is>
          <t>2·5·13</t>
        </is>
      </c>
      <c r="E1102" s="41" t="inlineStr"/>
      <c r="F1102" s="41" t="inlineStr"/>
    </row>
    <row r="1103" ht="13" customHeight="1">
      <c r="A1103" s="41" t="inlineStr">
        <is>
          <t>8839</t>
        </is>
      </c>
      <c r="B1103" s="41" t="inlineStr">
        <is>
          <t>8721</t>
        </is>
      </c>
      <c r="C1103" s="41" t="inlineStr">
        <is>
          <t>3×3×3×17×19</t>
        </is>
      </c>
      <c r="D1103" s="41" t="inlineStr">
        <is>
          <t>3·17·19</t>
        </is>
      </c>
      <c r="E1103" s="41" t="inlineStr"/>
      <c r="F1103" s="41" t="inlineStr"/>
    </row>
    <row r="1104" ht="13" customHeight="1">
      <c r="A1104" s="41" t="inlineStr">
        <is>
          <t>8849</t>
        </is>
      </c>
      <c r="B1104" s="41" t="inlineStr">
        <is>
          <t>21216</t>
        </is>
      </c>
      <c r="C1104" s="41" t="inlineStr">
        <is>
          <t>2×2×2×2×2×3×13×17</t>
        </is>
      </c>
      <c r="D1104" s="41" t="inlineStr">
        <is>
          <t>2·3·13·17</t>
        </is>
      </c>
      <c r="E1104" s="41" t="inlineStr"/>
      <c r="F1104" s="41" t="inlineStr"/>
    </row>
    <row r="1105" ht="13" customHeight="1">
      <c r="A1105" s="41" t="inlineStr">
        <is>
          <t>8861</t>
        </is>
      </c>
      <c r="B1105" s="41" t="inlineStr">
        <is>
          <t>29767</t>
        </is>
      </c>
      <c r="C1105" s="41" t="inlineStr">
        <is>
          <t>17×17×103</t>
        </is>
      </c>
      <c r="D1105" s="41" t="inlineStr">
        <is>
          <t>17</t>
        </is>
      </c>
      <c r="E1105" s="41" t="inlineStr"/>
      <c r="F1105" s="41" t="inlineStr"/>
    </row>
    <row r="1106" ht="13" customHeight="1">
      <c r="A1106" s="50" t="inlineStr">
        <is>
          <t>8863</t>
        </is>
      </c>
      <c r="B1106" s="50" t="inlineStr">
        <is>
          <t>38783</t>
        </is>
      </c>
      <c r="C1106" s="50" t="inlineStr">
        <is>
          <t>38783</t>
        </is>
      </c>
      <c r="D1106" s="50" t="inlineStr">
        <is>
          <t>—</t>
        </is>
      </c>
      <c r="E1106" s="50" t="inlineStr"/>
      <c r="F1106" s="50" t="inlineStr"/>
    </row>
    <row r="1107" ht="13" customHeight="1">
      <c r="A1107" s="49" t="inlineStr">
        <is>
          <t>8867</t>
        </is>
      </c>
      <c r="B1107" s="49" t="inlineStr">
        <is>
          <t>6605</t>
        </is>
      </c>
      <c r="C1107" s="49" t="inlineStr">
        <is>
          <t>5×1321</t>
        </is>
      </c>
      <c r="D1107" s="49" t="inlineStr">
        <is>
          <t>5</t>
        </is>
      </c>
      <c r="E1107" s="49" t="inlineStr"/>
      <c r="F1107" s="49" t="inlineStr"/>
    </row>
    <row r="1108" ht="13" customHeight="1">
      <c r="A1108" s="45" t="inlineStr">
        <is>
          <t>8887</t>
        </is>
      </c>
      <c r="B1108" s="45" t="inlineStr">
        <is>
          <t>26186</t>
        </is>
      </c>
      <c r="C1108" s="45" t="inlineStr">
        <is>
          <t>2×13093</t>
        </is>
      </c>
      <c r="D1108" s="45" t="inlineStr">
        <is>
          <t>2</t>
        </is>
      </c>
      <c r="E1108" s="45" t="inlineStr"/>
      <c r="F1108" s="45" t="inlineStr"/>
    </row>
    <row r="1109" ht="13" customHeight="1">
      <c r="A1109" s="43" t="inlineStr">
        <is>
          <t>8893</t>
        </is>
      </c>
      <c r="B1109" s="43" t="inlineStr">
        <is>
          <t>23474</t>
        </is>
      </c>
      <c r="C1109" s="43" t="inlineStr">
        <is>
          <t>2×11×11×97</t>
        </is>
      </c>
      <c r="D1109" s="43" t="inlineStr">
        <is>
          <t>2·11</t>
        </is>
      </c>
      <c r="E1109" s="43" t="inlineStr"/>
      <c r="F1109" s="43" t="inlineStr"/>
    </row>
    <row r="1110" ht="13" customHeight="1">
      <c r="A1110" s="45" t="inlineStr">
        <is>
          <t>8923</t>
        </is>
      </c>
      <c r="B1110" s="45" t="inlineStr">
        <is>
          <t>36435</t>
        </is>
      </c>
      <c r="C1110" s="45" t="inlineStr">
        <is>
          <t>3×5×7×347</t>
        </is>
      </c>
      <c r="D1110" s="45" t="inlineStr">
        <is>
          <t>3·5·7</t>
        </is>
      </c>
      <c r="E1110" s="45" t="inlineStr"/>
      <c r="F1110" s="45" t="inlineStr"/>
    </row>
    <row r="1111" ht="13" customHeight="1">
      <c r="A1111" s="43" t="inlineStr">
        <is>
          <t>8929</t>
        </is>
      </c>
      <c r="B1111" s="43" t="inlineStr">
        <is>
          <t>3762</t>
        </is>
      </c>
      <c r="C1111" s="43" t="inlineStr">
        <is>
          <t>2×3×3×11×19</t>
        </is>
      </c>
      <c r="D1111" s="43" t="inlineStr">
        <is>
          <t>2·3·11·19</t>
        </is>
      </c>
      <c r="E1111" s="43" t="inlineStr"/>
      <c r="F1111" s="43" t="inlineStr"/>
    </row>
    <row r="1112" ht="13" customHeight="1">
      <c r="A1112" s="41" t="inlineStr">
        <is>
          <t>8933</t>
        </is>
      </c>
      <c r="B1112" s="41" t="inlineStr">
        <is>
          <t>1430</t>
        </is>
      </c>
      <c r="C1112" s="41" t="inlineStr">
        <is>
          <t>2×5×11×13</t>
        </is>
      </c>
      <c r="D1112" s="41" t="inlineStr">
        <is>
          <t>2·5·11·13</t>
        </is>
      </c>
      <c r="E1112" s="41" t="inlineStr"/>
      <c r="F1112" s="41" t="inlineStr"/>
    </row>
    <row r="1113" ht="13" customHeight="1">
      <c r="A1113" s="49" t="inlineStr">
        <is>
          <t>8941</t>
        </is>
      </c>
      <c r="B1113" s="49" t="inlineStr">
        <is>
          <t>36420</t>
        </is>
      </c>
      <c r="C1113" s="49" t="inlineStr">
        <is>
          <t>2×2×3×5×607</t>
        </is>
      </c>
      <c r="D1113" s="49" t="inlineStr">
        <is>
          <t>2·3·5</t>
        </is>
      </c>
      <c r="E1113" s="49" t="inlineStr"/>
      <c r="F1113" s="49" t="inlineStr"/>
    </row>
    <row r="1114" ht="13" customHeight="1">
      <c r="A1114" s="45" t="inlineStr">
        <is>
          <t>8951</t>
        </is>
      </c>
      <c r="B1114" s="45" t="inlineStr">
        <is>
          <t>42990</t>
        </is>
      </c>
      <c r="C1114" s="45" t="inlineStr">
        <is>
          <t>2×3×5×1433</t>
        </is>
      </c>
      <c r="D1114" s="45" t="inlineStr">
        <is>
          <t>2·3·5</t>
        </is>
      </c>
      <c r="E1114" s="45" t="inlineStr"/>
      <c r="F1114" s="45" t="inlineStr"/>
    </row>
    <row r="1115" ht="13" customHeight="1">
      <c r="A1115" s="49" t="inlineStr">
        <is>
          <t>8963</t>
        </is>
      </c>
      <c r="B1115" s="49" t="inlineStr">
        <is>
          <t>2895</t>
        </is>
      </c>
      <c r="C1115" s="49" t="inlineStr">
        <is>
          <t>3×5×193</t>
        </is>
      </c>
      <c r="D1115" s="49" t="inlineStr">
        <is>
          <t>3·5</t>
        </is>
      </c>
      <c r="E1115" s="49" t="inlineStr"/>
      <c r="F1115" s="49" t="inlineStr"/>
    </row>
    <row r="1116" ht="13" customHeight="1">
      <c r="A1116" s="45" t="inlineStr">
        <is>
          <t>8969</t>
        </is>
      </c>
      <c r="B1116" s="45" t="inlineStr">
        <is>
          <t>19705</t>
        </is>
      </c>
      <c r="C1116" s="45" t="inlineStr">
        <is>
          <t>5×7×563</t>
        </is>
      </c>
      <c r="D1116" s="45" t="inlineStr">
        <is>
          <t>5·7</t>
        </is>
      </c>
      <c r="E1116" s="45" t="inlineStr"/>
      <c r="F1116" s="45" t="inlineStr"/>
    </row>
    <row r="1117" ht="13" customHeight="1">
      <c r="A1117" s="51" t="inlineStr">
        <is>
          <t>8971</t>
        </is>
      </c>
      <c r="B1117" s="51" t="inlineStr">
        <is>
          <t>28500</t>
        </is>
      </c>
      <c r="C1117" s="51" t="inlineStr">
        <is>
          <t>2×2×3×5×5×5×19</t>
        </is>
      </c>
      <c r="D1117" s="51" t="inlineStr">
        <is>
          <t>2·3·5·19</t>
        </is>
      </c>
      <c r="E1117" s="51" t="inlineStr"/>
      <c r="F1117" s="51" t="inlineStr"/>
    </row>
    <row r="1118" ht="13" customHeight="1">
      <c r="A1118" s="45" t="inlineStr">
        <is>
          <t>8999</t>
        </is>
      </c>
      <c r="B1118" s="45" t="inlineStr">
        <is>
          <t>36441</t>
        </is>
      </c>
      <c r="C1118" s="45" t="inlineStr">
        <is>
          <t>3×3×4049</t>
        </is>
      </c>
      <c r="D1118" s="45" t="inlineStr">
        <is>
          <t>3</t>
        </is>
      </c>
      <c r="E1118" s="45" t="inlineStr"/>
      <c r="F1118" s="45" t="inlineStr"/>
    </row>
    <row r="1119" ht="13" customHeight="1">
      <c r="A1119" s="49" t="inlineStr">
        <is>
          <t>9001</t>
        </is>
      </c>
      <c r="B1119" s="49" t="inlineStr">
        <is>
          <t>42411</t>
        </is>
      </c>
      <c r="C1119" s="49" t="inlineStr">
        <is>
          <t>3×67×211</t>
        </is>
      </c>
      <c r="D1119" s="49" t="inlineStr">
        <is>
          <t>3</t>
        </is>
      </c>
      <c r="E1119" s="49" t="inlineStr"/>
      <c r="F1119" s="49" t="inlineStr"/>
    </row>
    <row r="1120" ht="13" customHeight="1">
      <c r="A1120" s="45" t="inlineStr">
        <is>
          <t>9007</t>
        </is>
      </c>
      <c r="B1120" s="45" t="inlineStr">
        <is>
          <t>21446</t>
        </is>
      </c>
      <c r="C1120" s="45" t="inlineStr">
        <is>
          <t>2×10723</t>
        </is>
      </c>
      <c r="D1120" s="45" t="inlineStr">
        <is>
          <t>2</t>
        </is>
      </c>
      <c r="E1120" s="45" t="inlineStr"/>
      <c r="F1120" s="45" t="inlineStr"/>
    </row>
    <row r="1121" ht="13" customHeight="1">
      <c r="A1121" s="50" t="inlineStr">
        <is>
          <t>9011</t>
        </is>
      </c>
      <c r="B1121" s="50" t="inlineStr">
        <is>
          <t>9533</t>
        </is>
      </c>
      <c r="C1121" s="50" t="inlineStr">
        <is>
          <t>9533</t>
        </is>
      </c>
      <c r="D1121" s="50" t="inlineStr">
        <is>
          <t>—</t>
        </is>
      </c>
      <c r="E1121" s="50" t="inlineStr"/>
      <c r="F1121" s="50" t="inlineStr"/>
    </row>
    <row r="1122" ht="13" customHeight="1">
      <c r="A1122" s="43" t="inlineStr">
        <is>
          <t>9013</t>
        </is>
      </c>
      <c r="B1122" s="43" t="inlineStr">
        <is>
          <t>4906</t>
        </is>
      </c>
      <c r="C1122" s="43" t="inlineStr">
        <is>
          <t>2×11×223</t>
        </is>
      </c>
      <c r="D1122" s="43" t="inlineStr">
        <is>
          <t>2·11</t>
        </is>
      </c>
      <c r="E1122" s="43" t="inlineStr"/>
      <c r="F1122" s="43" t="inlineStr"/>
    </row>
    <row r="1123" ht="13" customHeight="1">
      <c r="A1123" s="49" t="inlineStr">
        <is>
          <t>9029</t>
        </is>
      </c>
      <c r="B1123" s="49" t="inlineStr">
        <is>
          <t>19458</t>
        </is>
      </c>
      <c r="C1123" s="49" t="inlineStr">
        <is>
          <t>2×3×3×23×47</t>
        </is>
      </c>
      <c r="D1123" s="49" t="inlineStr">
        <is>
          <t>2·3</t>
        </is>
      </c>
      <c r="E1123" s="49" t="inlineStr"/>
      <c r="F1123" s="49" t="inlineStr"/>
    </row>
    <row r="1124" ht="13" customHeight="1">
      <c r="A1124" s="50" t="inlineStr">
        <is>
          <t>9041</t>
        </is>
      </c>
      <c r="B1124" s="50" t="inlineStr">
        <is>
          <t>27751</t>
        </is>
      </c>
      <c r="C1124" s="50" t="inlineStr">
        <is>
          <t>27751</t>
        </is>
      </c>
      <c r="D1124" s="50" t="inlineStr">
        <is>
          <t>—</t>
        </is>
      </c>
      <c r="E1124" s="50" t="inlineStr"/>
      <c r="F1124" s="50" t="inlineStr"/>
    </row>
    <row r="1125" ht="13" customHeight="1">
      <c r="A1125" s="49" t="inlineStr">
        <is>
          <t>9043</t>
        </is>
      </c>
      <c r="B1125" s="49" t="inlineStr">
        <is>
          <t>38634</t>
        </is>
      </c>
      <c r="C1125" s="49" t="inlineStr">
        <is>
          <t>2×3×47×137</t>
        </is>
      </c>
      <c r="D1125" s="49" t="inlineStr">
        <is>
          <t>2·3</t>
        </is>
      </c>
      <c r="E1125" s="49" t="inlineStr"/>
      <c r="F1125" s="49" t="inlineStr"/>
    </row>
    <row r="1126" ht="13" customHeight="1">
      <c r="A1126" s="45" t="inlineStr">
        <is>
          <t>9049</t>
        </is>
      </c>
      <c r="B1126" s="45" t="inlineStr">
        <is>
          <t>26746</t>
        </is>
      </c>
      <c r="C1126" s="45" t="inlineStr">
        <is>
          <t>2×43×311</t>
        </is>
      </c>
      <c r="D1126" s="45" t="inlineStr">
        <is>
          <t>2</t>
        </is>
      </c>
      <c r="E1126" s="45" t="inlineStr"/>
      <c r="F1126" s="45" t="inlineStr"/>
    </row>
    <row r="1127" ht="13" customHeight="1">
      <c r="A1127" s="49" t="inlineStr">
        <is>
          <t>9059</t>
        </is>
      </c>
      <c r="B1127" s="49" t="inlineStr">
        <is>
          <t>16443</t>
        </is>
      </c>
      <c r="C1127" s="49" t="inlineStr">
        <is>
          <t>3×3×3×3×7×29</t>
        </is>
      </c>
      <c r="D1127" s="49" t="inlineStr">
        <is>
          <t>3·7</t>
        </is>
      </c>
      <c r="E1127" s="49" t="inlineStr"/>
      <c r="F1127" s="49" t="inlineStr"/>
    </row>
    <row r="1128" ht="13" customHeight="1">
      <c r="A1128" s="45" t="inlineStr">
        <is>
          <t>9067</t>
        </is>
      </c>
      <c r="B1128" s="45" t="inlineStr">
        <is>
          <t>30750</t>
        </is>
      </c>
      <c r="C1128" s="45" t="inlineStr">
        <is>
          <t>2×3×5×5×5×41</t>
        </is>
      </c>
      <c r="D1128" s="45" t="inlineStr">
        <is>
          <t>2·3·5</t>
        </is>
      </c>
      <c r="E1128" s="45" t="inlineStr"/>
      <c r="F1128" s="45" t="inlineStr"/>
    </row>
    <row r="1129" ht="13" customHeight="1">
      <c r="A1129" s="41" t="inlineStr">
        <is>
          <t>9091</t>
        </is>
      </c>
      <c r="B1129" s="41" t="inlineStr">
        <is>
          <t>559</t>
        </is>
      </c>
      <c r="C1129" s="41" t="inlineStr">
        <is>
          <t>13×43</t>
        </is>
      </c>
      <c r="D1129" s="41" t="inlineStr">
        <is>
          <t>13</t>
        </is>
      </c>
      <c r="E1129" s="41" t="inlineStr"/>
      <c r="F1129" s="41" t="inlineStr"/>
    </row>
    <row r="1130" ht="13" customHeight="1">
      <c r="A1130" s="45" t="inlineStr">
        <is>
          <t>9103</t>
        </is>
      </c>
      <c r="B1130" s="45" t="inlineStr">
        <is>
          <t>35775</t>
        </is>
      </c>
      <c r="C1130" s="45" t="inlineStr">
        <is>
          <t>3×3×3×5×5×53</t>
        </is>
      </c>
      <c r="D1130" s="45" t="inlineStr">
        <is>
          <t>3·5</t>
        </is>
      </c>
      <c r="E1130" s="45" t="inlineStr"/>
      <c r="F1130" s="45" t="inlineStr"/>
    </row>
    <row r="1131" ht="13" customHeight="1">
      <c r="A1131" s="49" t="inlineStr">
        <is>
          <t>9109</t>
        </is>
      </c>
      <c r="B1131" s="49" t="inlineStr">
        <is>
          <t>13745</t>
        </is>
      </c>
      <c r="C1131" s="49" t="inlineStr">
        <is>
          <t>5×2749</t>
        </is>
      </c>
      <c r="D1131" s="49" t="inlineStr">
        <is>
          <t>5</t>
        </is>
      </c>
      <c r="E1131" s="49" t="inlineStr"/>
      <c r="F1131" s="49" t="inlineStr"/>
    </row>
    <row r="1132" ht="13" customHeight="1">
      <c r="A1132" s="45" t="inlineStr">
        <is>
          <t>9127</t>
        </is>
      </c>
      <c r="B1132" s="45" t="inlineStr">
        <is>
          <t>2972</t>
        </is>
      </c>
      <c r="C1132" s="45" t="inlineStr">
        <is>
          <t>2×2×743</t>
        </is>
      </c>
      <c r="D1132" s="45" t="inlineStr">
        <is>
          <t>2</t>
        </is>
      </c>
      <c r="E1132" s="45" t="inlineStr"/>
      <c r="F1132" s="45" t="inlineStr"/>
    </row>
    <row r="1133" ht="13" customHeight="1">
      <c r="A1133" s="49" t="inlineStr">
        <is>
          <t>9133</t>
        </is>
      </c>
      <c r="B1133" s="49" t="inlineStr">
        <is>
          <t>34898</t>
        </is>
      </c>
      <c r="C1133" s="49" t="inlineStr">
        <is>
          <t>2×17449</t>
        </is>
      </c>
      <c r="D1133" s="49" t="inlineStr">
        <is>
          <t>2</t>
        </is>
      </c>
      <c r="E1133" s="49" t="inlineStr"/>
      <c r="F1133" s="49" t="inlineStr"/>
    </row>
    <row r="1134" ht="13" customHeight="1">
      <c r="A1134" s="41" t="inlineStr">
        <is>
          <t>9137</t>
        </is>
      </c>
      <c r="B1134" s="41" t="inlineStr">
        <is>
          <t>9894</t>
        </is>
      </c>
      <c r="C1134" s="41" t="inlineStr">
        <is>
          <t>2×3×17×97</t>
        </is>
      </c>
      <c r="D1134" s="41" t="inlineStr">
        <is>
          <t>2·3·17</t>
        </is>
      </c>
      <c r="E1134" s="41" t="inlineStr"/>
      <c r="F1134" s="41" t="inlineStr"/>
    </row>
    <row r="1135" ht="13" customHeight="1">
      <c r="A1135" s="43" t="inlineStr">
        <is>
          <t>9151</t>
        </is>
      </c>
      <c r="B1135" s="43" t="inlineStr">
        <is>
          <t>41360</t>
        </is>
      </c>
      <c r="C1135" s="43" t="inlineStr">
        <is>
          <t>2×2×2×2×5×11×47</t>
        </is>
      </c>
      <c r="D1135" s="43" t="inlineStr">
        <is>
          <t>2·5·11</t>
        </is>
      </c>
      <c r="E1135" s="43" t="inlineStr"/>
      <c r="F1135" s="43" t="inlineStr"/>
    </row>
    <row r="1136" ht="13" customHeight="1">
      <c r="A1136" s="39" t="inlineStr">
        <is>
          <t>9157</t>
        </is>
      </c>
      <c r="B1136" s="39" t="inlineStr">
        <is>
          <t>11520</t>
        </is>
      </c>
      <c r="C1136" s="39" t="inlineStr">
        <is>
          <t>2×2×2×2×2×2×2×2×3×3×5</t>
        </is>
      </c>
      <c r="D1136" s="39" t="inlineStr">
        <is>
          <t>2·3·5</t>
        </is>
      </c>
      <c r="E1136" s="39" t="inlineStr"/>
      <c r="F1136" s="39" t="inlineStr"/>
    </row>
    <row r="1137" ht="13" customHeight="1">
      <c r="A1137" s="49" t="inlineStr">
        <is>
          <t>9161</t>
        </is>
      </c>
      <c r="B1137" s="49" t="inlineStr">
        <is>
          <t>41046</t>
        </is>
      </c>
      <c r="C1137" s="49" t="inlineStr">
        <is>
          <t>2×3×6841</t>
        </is>
      </c>
      <c r="D1137" s="49" t="inlineStr">
        <is>
          <t>2·3</t>
        </is>
      </c>
      <c r="E1137" s="49" t="inlineStr"/>
      <c r="F1137" s="49" t="inlineStr"/>
    </row>
    <row r="1138" ht="13" customHeight="1">
      <c r="A1138" s="51" t="inlineStr">
        <is>
          <t>9173</t>
        </is>
      </c>
      <c r="B1138" s="51" t="inlineStr">
        <is>
          <t>2109</t>
        </is>
      </c>
      <c r="C1138" s="51" t="inlineStr">
        <is>
          <t>3×19×37</t>
        </is>
      </c>
      <c r="D1138" s="51" t="inlineStr">
        <is>
          <t>3·19</t>
        </is>
      </c>
      <c r="E1138" s="51" t="inlineStr"/>
      <c r="F1138" s="51" t="inlineStr"/>
    </row>
    <row r="1139" ht="13" customHeight="1">
      <c r="A1139" s="49" t="inlineStr">
        <is>
          <t>9181</t>
        </is>
      </c>
      <c r="B1139" s="49" t="inlineStr">
        <is>
          <t>16922</t>
        </is>
      </c>
      <c r="C1139" s="49" t="inlineStr">
        <is>
          <t>2×8461</t>
        </is>
      </c>
      <c r="D1139" s="49" t="inlineStr">
        <is>
          <t>2</t>
        </is>
      </c>
      <c r="E1139" s="49" t="inlineStr"/>
      <c r="F1139" s="49" t="inlineStr"/>
    </row>
    <row r="1140" ht="13" customHeight="1">
      <c r="A1140" s="45" t="inlineStr">
        <is>
          <t>9187</t>
        </is>
      </c>
      <c r="B1140" s="45" t="inlineStr">
        <is>
          <t>8405</t>
        </is>
      </c>
      <c r="C1140" s="45" t="inlineStr">
        <is>
          <t>5×41×41</t>
        </is>
      </c>
      <c r="D1140" s="45" t="inlineStr">
        <is>
          <t>5</t>
        </is>
      </c>
      <c r="E1140" s="45" t="inlineStr"/>
      <c r="F1140" s="45" t="inlineStr"/>
    </row>
    <row r="1141" ht="13" customHeight="1">
      <c r="A1141" s="49" t="inlineStr">
        <is>
          <t>9199</t>
        </is>
      </c>
      <c r="B1141" s="49" t="inlineStr">
        <is>
          <t>43536</t>
        </is>
      </c>
      <c r="C1141" s="49" t="inlineStr">
        <is>
          <t>2×2×2×2×3×907</t>
        </is>
      </c>
      <c r="D1141" s="49" t="inlineStr">
        <is>
          <t>2·3</t>
        </is>
      </c>
      <c r="E1141" s="49" t="inlineStr"/>
      <c r="F1141" s="49" t="inlineStr"/>
    </row>
    <row r="1142" ht="13" customHeight="1">
      <c r="A1142" s="45" t="inlineStr">
        <is>
          <t>9203</t>
        </is>
      </c>
      <c r="B1142" s="45" t="inlineStr">
        <is>
          <t>8812</t>
        </is>
      </c>
      <c r="C1142" s="45" t="inlineStr">
        <is>
          <t>2×2×2203</t>
        </is>
      </c>
      <c r="D1142" s="45" t="inlineStr">
        <is>
          <t>2</t>
        </is>
      </c>
      <c r="E1142" s="45" t="inlineStr"/>
      <c r="F1142" s="45" t="inlineStr"/>
    </row>
    <row r="1143" ht="13" customHeight="1">
      <c r="A1143" s="49" t="inlineStr">
        <is>
          <t>9209</t>
        </is>
      </c>
      <c r="B1143" s="49" t="inlineStr">
        <is>
          <t>1006</t>
        </is>
      </c>
      <c r="C1143" s="49" t="inlineStr">
        <is>
          <t>2×503</t>
        </is>
      </c>
      <c r="D1143" s="49" t="inlineStr">
        <is>
          <t>2</t>
        </is>
      </c>
      <c r="E1143" s="49" t="inlineStr"/>
      <c r="F1143" s="49" t="inlineStr"/>
    </row>
    <row r="1144" ht="13" customHeight="1">
      <c r="A1144" s="45" t="inlineStr">
        <is>
          <t>9221</t>
        </is>
      </c>
      <c r="B1144" s="45" t="inlineStr">
        <is>
          <t>30416</t>
        </is>
      </c>
      <c r="C1144" s="45" t="inlineStr">
        <is>
          <t>2×2×2×2×1901</t>
        </is>
      </c>
      <c r="D1144" s="45" t="inlineStr">
        <is>
          <t>2</t>
        </is>
      </c>
      <c r="E1144" s="45" t="inlineStr"/>
      <c r="F1144" s="45" t="inlineStr"/>
    </row>
    <row r="1145" ht="13" customHeight="1">
      <c r="A1145" s="50" t="inlineStr">
        <is>
          <t>9227</t>
        </is>
      </c>
      <c r="B1145" s="50" t="inlineStr">
        <is>
          <t>36923</t>
        </is>
      </c>
      <c r="C1145" s="50" t="inlineStr">
        <is>
          <t>36923</t>
        </is>
      </c>
      <c r="D1145" s="50" t="inlineStr">
        <is>
          <t>—</t>
        </is>
      </c>
      <c r="E1145" s="50" t="inlineStr"/>
      <c r="F1145" s="50" t="inlineStr"/>
    </row>
    <row r="1146" ht="13" customHeight="1">
      <c r="A1146" s="45" t="inlineStr">
        <is>
          <t>9239</t>
        </is>
      </c>
      <c r="B1146" s="45" t="inlineStr">
        <is>
          <t>5774</t>
        </is>
      </c>
      <c r="C1146" s="45" t="inlineStr">
        <is>
          <t>2×2887</t>
        </is>
      </c>
      <c r="D1146" s="45" t="inlineStr">
        <is>
          <t>2</t>
        </is>
      </c>
      <c r="E1146" s="45" t="inlineStr"/>
      <c r="F1146" s="45" t="inlineStr"/>
    </row>
    <row r="1147" ht="13" customHeight="1">
      <c r="A1147" s="49" t="inlineStr">
        <is>
          <t>9241</t>
        </is>
      </c>
      <c r="B1147" s="49" t="inlineStr">
        <is>
          <t>29440</t>
        </is>
      </c>
      <c r="C1147" s="49" t="inlineStr">
        <is>
          <t>2×2×2×2×2×2×2×2×5×23</t>
        </is>
      </c>
      <c r="D1147" s="49" t="inlineStr">
        <is>
          <t>2·5</t>
        </is>
      </c>
      <c r="E1147" s="49" t="inlineStr"/>
      <c r="F1147" s="49" t="inlineStr"/>
    </row>
    <row r="1148" ht="13" customHeight="1">
      <c r="A1148" s="45" t="inlineStr">
        <is>
          <t>9257</t>
        </is>
      </c>
      <c r="B1148" s="45" t="inlineStr">
        <is>
          <t>38999</t>
        </is>
      </c>
      <c r="C1148" s="45" t="inlineStr">
        <is>
          <t>59×661</t>
        </is>
      </c>
      <c r="D1148" s="45" t="inlineStr">
        <is>
          <t>—</t>
        </is>
      </c>
      <c r="E1148" s="45" t="inlineStr"/>
      <c r="F1148" s="45" t="inlineStr"/>
    </row>
    <row r="1149" ht="13" customHeight="1">
      <c r="A1149" s="51" t="inlineStr">
        <is>
          <t>9277</t>
        </is>
      </c>
      <c r="B1149" s="51" t="inlineStr">
        <is>
          <t>20235</t>
        </is>
      </c>
      <c r="C1149" s="51" t="inlineStr">
        <is>
          <t>3×5×19×71</t>
        </is>
      </c>
      <c r="D1149" s="51" t="inlineStr">
        <is>
          <t>3·5·19</t>
        </is>
      </c>
      <c r="E1149" s="51" t="inlineStr"/>
      <c r="F1149" s="51" t="inlineStr"/>
    </row>
    <row r="1150" ht="13" customHeight="1">
      <c r="A1150" s="45" t="inlineStr">
        <is>
          <t>9281</t>
        </is>
      </c>
      <c r="B1150" s="45" t="inlineStr">
        <is>
          <t>15801</t>
        </is>
      </c>
      <c r="C1150" s="45" t="inlineStr">
        <is>
          <t>3×23×229</t>
        </is>
      </c>
      <c r="D1150" s="45" t="inlineStr">
        <is>
          <t>3</t>
        </is>
      </c>
      <c r="E1150" s="45" t="inlineStr"/>
      <c r="F1150" s="45" t="inlineStr"/>
    </row>
    <row r="1151" ht="13" customHeight="1">
      <c r="A1151" s="49" t="inlineStr">
        <is>
          <t>9283</t>
        </is>
      </c>
      <c r="B1151" s="49" t="inlineStr">
        <is>
          <t>32594</t>
        </is>
      </c>
      <c r="C1151" s="49" t="inlineStr">
        <is>
          <t>2×43×379</t>
        </is>
      </c>
      <c r="D1151" s="49" t="inlineStr">
        <is>
          <t>2</t>
        </is>
      </c>
      <c r="E1151" s="49" t="inlineStr"/>
      <c r="F1151" s="49" t="inlineStr"/>
    </row>
    <row r="1152" ht="13" customHeight="1">
      <c r="A1152" s="45" t="inlineStr">
        <is>
          <t>9293</t>
        </is>
      </c>
      <c r="B1152" s="45" t="inlineStr">
        <is>
          <t>2368</t>
        </is>
      </c>
      <c r="C1152" s="45" t="inlineStr">
        <is>
          <t>2×2×2×2×2×2×37</t>
        </is>
      </c>
      <c r="D1152" s="45" t="inlineStr">
        <is>
          <t>2</t>
        </is>
      </c>
      <c r="E1152" s="45" t="inlineStr"/>
      <c r="F1152" s="45" t="inlineStr"/>
    </row>
    <row r="1153" ht="13" customHeight="1">
      <c r="A1153" s="49" t="inlineStr">
        <is>
          <t>9311</t>
        </is>
      </c>
      <c r="B1153" s="49" t="inlineStr">
        <is>
          <t>38091</t>
        </is>
      </c>
      <c r="C1153" s="49" t="inlineStr">
        <is>
          <t>3×12697</t>
        </is>
      </c>
      <c r="D1153" s="49" t="inlineStr">
        <is>
          <t>3</t>
        </is>
      </c>
      <c r="E1153" s="49" t="inlineStr"/>
      <c r="F1153" s="49" t="inlineStr"/>
    </row>
    <row r="1154" ht="13" customHeight="1">
      <c r="A1154" s="45" t="inlineStr">
        <is>
          <t>9319</t>
        </is>
      </c>
      <c r="B1154" s="45" t="inlineStr">
        <is>
          <t>15648</t>
        </is>
      </c>
      <c r="C1154" s="45" t="inlineStr">
        <is>
          <t>2×2×2×2×2×3×163</t>
        </is>
      </c>
      <c r="D1154" s="45" t="inlineStr">
        <is>
          <t>2·3</t>
        </is>
      </c>
      <c r="E1154" s="45" t="inlineStr"/>
      <c r="F1154" s="45" t="inlineStr"/>
    </row>
    <row r="1155" ht="13" customHeight="1">
      <c r="A1155" s="41" t="inlineStr">
        <is>
          <t>9323</t>
        </is>
      </c>
      <c r="B1155" s="41" t="inlineStr">
        <is>
          <t>17731</t>
        </is>
      </c>
      <c r="C1155" s="41" t="inlineStr">
        <is>
          <t>7×17×149</t>
        </is>
      </c>
      <c r="D1155" s="41" t="inlineStr">
        <is>
          <t>7·17</t>
        </is>
      </c>
      <c r="E1155" s="41" t="inlineStr"/>
      <c r="F1155" s="41" t="inlineStr"/>
    </row>
    <row r="1156" ht="13" customHeight="1">
      <c r="A1156" s="45" t="inlineStr">
        <is>
          <t>9337</t>
        </is>
      </c>
      <c r="B1156" s="45" t="inlineStr">
        <is>
          <t>8885</t>
        </is>
      </c>
      <c r="C1156" s="45" t="inlineStr">
        <is>
          <t>5×1777</t>
        </is>
      </c>
      <c r="D1156" s="45" t="inlineStr">
        <is>
          <t>5</t>
        </is>
      </c>
      <c r="E1156" s="45" t="inlineStr"/>
      <c r="F1156" s="45" t="inlineStr"/>
    </row>
    <row r="1157" ht="13" customHeight="1">
      <c r="A1157" s="43" t="inlineStr">
        <is>
          <t>9341</t>
        </is>
      </c>
      <c r="B1157" s="43" t="inlineStr">
        <is>
          <t>19800</t>
        </is>
      </c>
      <c r="C1157" s="43" t="inlineStr">
        <is>
          <t>2×2×2×3×3×5×5×11</t>
        </is>
      </c>
      <c r="D1157" s="43" t="inlineStr">
        <is>
          <t>2·3·5·11</t>
        </is>
      </c>
      <c r="E1157" s="43" t="inlineStr"/>
      <c r="F1157" s="43" t="inlineStr"/>
    </row>
    <row r="1158" ht="13" customHeight="1">
      <c r="A1158" s="45" t="inlineStr">
        <is>
          <t>9343</t>
        </is>
      </c>
      <c r="B1158" s="45" t="inlineStr">
        <is>
          <t>43328</t>
        </is>
      </c>
      <c r="C1158" s="45" t="inlineStr">
        <is>
          <t>2×2×2×2×2×2×677</t>
        </is>
      </c>
      <c r="D1158" s="45" t="inlineStr">
        <is>
          <t>2</t>
        </is>
      </c>
      <c r="E1158" s="45" t="inlineStr"/>
      <c r="F1158" s="45" t="inlineStr"/>
    </row>
    <row r="1159" ht="13" customHeight="1">
      <c r="A1159" s="49" t="inlineStr">
        <is>
          <t>9349</t>
        </is>
      </c>
      <c r="B1159" s="49" t="inlineStr">
        <is>
          <t>41676</t>
        </is>
      </c>
      <c r="C1159" s="49" t="inlineStr">
        <is>
          <t>2×2×3×23×151</t>
        </is>
      </c>
      <c r="D1159" s="49" t="inlineStr">
        <is>
          <t>2·3</t>
        </is>
      </c>
      <c r="E1159" s="49" t="inlineStr"/>
      <c r="F1159" s="49" t="inlineStr"/>
    </row>
    <row r="1160" ht="13" customHeight="1">
      <c r="A1160" s="45" t="inlineStr">
        <is>
          <t>9371</t>
        </is>
      </c>
      <c r="B1160" s="45" t="inlineStr">
        <is>
          <t>13660</t>
        </is>
      </c>
      <c r="C1160" s="45" t="inlineStr">
        <is>
          <t>2×2×5×683</t>
        </is>
      </c>
      <c r="D1160" s="45" t="inlineStr">
        <is>
          <t>2·5</t>
        </is>
      </c>
      <c r="E1160" s="45" t="inlineStr"/>
      <c r="F1160" s="45" t="inlineStr"/>
    </row>
    <row r="1161" ht="13" customHeight="1">
      <c r="A1161" s="49" t="inlineStr">
        <is>
          <t>9377</t>
        </is>
      </c>
      <c r="B1161" s="49" t="inlineStr">
        <is>
          <t>17694</t>
        </is>
      </c>
      <c r="C1161" s="49" t="inlineStr">
        <is>
          <t>2×3×3×983</t>
        </is>
      </c>
      <c r="D1161" s="49" t="inlineStr">
        <is>
          <t>2·3</t>
        </is>
      </c>
      <c r="E1161" s="49" t="inlineStr"/>
      <c r="F1161" s="49" t="inlineStr"/>
    </row>
    <row r="1162" ht="13" customHeight="1">
      <c r="A1162" s="45" t="inlineStr">
        <is>
          <t>9391</t>
        </is>
      </c>
      <c r="B1162" s="45" t="inlineStr">
        <is>
          <t>14268</t>
        </is>
      </c>
      <c r="C1162" s="45" t="inlineStr">
        <is>
          <t>2×2×3×29×41</t>
        </is>
      </c>
      <c r="D1162" s="45" t="inlineStr">
        <is>
          <t>2·3</t>
        </is>
      </c>
      <c r="E1162" s="45" t="inlineStr"/>
      <c r="F1162" s="45" t="inlineStr"/>
    </row>
    <row r="1163" ht="13" customHeight="1">
      <c r="A1163" s="49" t="inlineStr">
        <is>
          <t>9397</t>
        </is>
      </c>
      <c r="B1163" s="49" t="inlineStr">
        <is>
          <t>5105</t>
        </is>
      </c>
      <c r="C1163" s="49" t="inlineStr">
        <is>
          <t>5×1021</t>
        </is>
      </c>
      <c r="D1163" s="49" t="inlineStr">
        <is>
          <t>5</t>
        </is>
      </c>
      <c r="E1163" s="49" t="inlineStr"/>
      <c r="F1163" s="49" t="inlineStr"/>
    </row>
    <row r="1164" ht="13" customHeight="1">
      <c r="A1164" s="45" t="inlineStr">
        <is>
          <t>9403</t>
        </is>
      </c>
      <c r="B1164" s="45" t="inlineStr">
        <is>
          <t>993</t>
        </is>
      </c>
      <c r="C1164" s="45" t="inlineStr">
        <is>
          <t>3×331</t>
        </is>
      </c>
      <c r="D1164" s="45" t="inlineStr">
        <is>
          <t>3</t>
        </is>
      </c>
      <c r="E1164" s="45" t="inlineStr"/>
      <c r="F1164" s="45" t="inlineStr"/>
    </row>
    <row r="1165" ht="13" customHeight="1">
      <c r="A1165" s="49" t="inlineStr">
        <is>
          <t>9413</t>
        </is>
      </c>
      <c r="B1165" s="49" t="inlineStr">
        <is>
          <t>10814</t>
        </is>
      </c>
      <c r="C1165" s="49" t="inlineStr">
        <is>
          <t>2×5407</t>
        </is>
      </c>
      <c r="D1165" s="49" t="inlineStr">
        <is>
          <t>2</t>
        </is>
      </c>
      <c r="E1165" s="49" t="inlineStr"/>
      <c r="F1165" s="49" t="inlineStr"/>
    </row>
    <row r="1166" ht="13" customHeight="1">
      <c r="A1166" s="45" t="inlineStr">
        <is>
          <t>9419</t>
        </is>
      </c>
      <c r="B1166" s="45" t="inlineStr">
        <is>
          <t>36909</t>
        </is>
      </c>
      <c r="C1166" s="45" t="inlineStr">
        <is>
          <t>3×3×3×1367</t>
        </is>
      </c>
      <c r="D1166" s="45" t="inlineStr">
        <is>
          <t>3</t>
        </is>
      </c>
      <c r="E1166" s="45" t="inlineStr"/>
      <c r="F1166" s="45" t="inlineStr"/>
    </row>
    <row r="1167" ht="13" customHeight="1">
      <c r="A1167" s="50" t="inlineStr">
        <is>
          <t>9421</t>
        </is>
      </c>
      <c r="B1167" s="50" t="inlineStr">
        <is>
          <t>26561</t>
        </is>
      </c>
      <c r="C1167" s="50" t="inlineStr">
        <is>
          <t>26561</t>
        </is>
      </c>
      <c r="D1167" s="50" t="inlineStr">
        <is>
          <t>—</t>
        </is>
      </c>
      <c r="E1167" s="50" t="inlineStr"/>
      <c r="F1167" s="50" t="inlineStr"/>
    </row>
    <row r="1168" ht="13" customHeight="1">
      <c r="A1168" s="45" t="inlineStr">
        <is>
          <t>9431</t>
        </is>
      </c>
      <c r="B1168" s="45" t="inlineStr">
        <is>
          <t>13782</t>
        </is>
      </c>
      <c r="C1168" s="45" t="inlineStr">
        <is>
          <t>2×3×2297</t>
        </is>
      </c>
      <c r="D1168" s="45" t="inlineStr">
        <is>
          <t>2·3</t>
        </is>
      </c>
      <c r="E1168" s="45" t="inlineStr"/>
      <c r="F1168" s="45" t="inlineStr"/>
    </row>
    <row r="1169" ht="13" customHeight="1">
      <c r="A1169" s="49" t="inlineStr">
        <is>
          <t>9433</t>
        </is>
      </c>
      <c r="B1169" s="49" t="inlineStr">
        <is>
          <t>34376</t>
        </is>
      </c>
      <c r="C1169" s="49" t="inlineStr">
        <is>
          <t>2×2×2×4297</t>
        </is>
      </c>
      <c r="D1169" s="49" t="inlineStr">
        <is>
          <t>2</t>
        </is>
      </c>
      <c r="E1169" s="49" t="inlineStr"/>
      <c r="F1169" s="49" t="inlineStr"/>
    </row>
    <row r="1170" ht="13" customHeight="1">
      <c r="A1170" s="50" t="inlineStr">
        <is>
          <t>9437</t>
        </is>
      </c>
      <c r="B1170" s="50" t="inlineStr">
        <is>
          <t>2707</t>
        </is>
      </c>
      <c r="C1170" s="50" t="inlineStr">
        <is>
          <t>2707</t>
        </is>
      </c>
      <c r="D1170" s="50" t="inlineStr">
        <is>
          <t>—</t>
        </is>
      </c>
      <c r="E1170" s="50" t="inlineStr"/>
      <c r="F1170" s="50" t="inlineStr"/>
    </row>
    <row r="1171" ht="13" customHeight="1">
      <c r="A1171" s="49" t="inlineStr">
        <is>
          <t>9439</t>
        </is>
      </c>
      <c r="B1171" s="49" t="inlineStr">
        <is>
          <t>33356</t>
        </is>
      </c>
      <c r="C1171" s="49" t="inlineStr">
        <is>
          <t>2×2×31×269</t>
        </is>
      </c>
      <c r="D1171" s="49" t="inlineStr">
        <is>
          <t>2</t>
        </is>
      </c>
      <c r="E1171" s="49" t="inlineStr"/>
      <c r="F1171" s="49" t="inlineStr"/>
    </row>
    <row r="1172" ht="13" customHeight="1">
      <c r="A1172" s="45" t="inlineStr">
        <is>
          <t>9461</t>
        </is>
      </c>
      <c r="B1172" s="45" t="inlineStr">
        <is>
          <t>27915</t>
        </is>
      </c>
      <c r="C1172" s="45" t="inlineStr">
        <is>
          <t>3×5×1861</t>
        </is>
      </c>
      <c r="D1172" s="45" t="inlineStr">
        <is>
          <t>3·5</t>
        </is>
      </c>
      <c r="E1172" s="45" t="inlineStr"/>
      <c r="F1172" s="45" t="inlineStr"/>
    </row>
    <row r="1173" ht="13" customHeight="1">
      <c r="A1173" s="49" t="inlineStr">
        <is>
          <t>9463</t>
        </is>
      </c>
      <c r="B1173" s="49" t="inlineStr">
        <is>
          <t>18155</t>
        </is>
      </c>
      <c r="C1173" s="49" t="inlineStr">
        <is>
          <t>5×3631</t>
        </is>
      </c>
      <c r="D1173" s="49" t="inlineStr">
        <is>
          <t>5</t>
        </is>
      </c>
      <c r="E1173" s="49" t="inlineStr"/>
      <c r="F1173" s="49" t="inlineStr"/>
    </row>
    <row r="1174" ht="13" customHeight="1">
      <c r="A1174" s="45" t="inlineStr">
        <is>
          <t>9467</t>
        </is>
      </c>
      <c r="B1174" s="45" t="inlineStr">
        <is>
          <t>11070</t>
        </is>
      </c>
      <c r="C1174" s="45" t="inlineStr">
        <is>
          <t>2×3×3×3×5×41</t>
        </is>
      </c>
      <c r="D1174" s="45" t="inlineStr">
        <is>
          <t>2·3·5</t>
        </is>
      </c>
      <c r="E1174" s="45" t="inlineStr"/>
      <c r="F1174" s="45" t="inlineStr"/>
    </row>
    <row r="1175" ht="13" customHeight="1">
      <c r="A1175" s="49" t="inlineStr">
        <is>
          <t>9473</t>
        </is>
      </c>
      <c r="B1175" s="49" t="inlineStr">
        <is>
          <t>22394</t>
        </is>
      </c>
      <c r="C1175" s="49" t="inlineStr">
        <is>
          <t>2×11197</t>
        </is>
      </c>
      <c r="D1175" s="49" t="inlineStr">
        <is>
          <t>2</t>
        </is>
      </c>
      <c r="E1175" s="49" t="inlineStr"/>
      <c r="F1175" s="49" t="inlineStr"/>
    </row>
    <row r="1176" ht="13" customHeight="1">
      <c r="A1176" s="41" t="inlineStr">
        <is>
          <t>9479</t>
        </is>
      </c>
      <c r="B1176" s="41" t="inlineStr">
        <is>
          <t>34425</t>
        </is>
      </c>
      <c r="C1176" s="41" t="inlineStr">
        <is>
          <t>3×3×3×3×5×5×17</t>
        </is>
      </c>
      <c r="D1176" s="41" t="inlineStr">
        <is>
          <t>3·5·17</t>
        </is>
      </c>
      <c r="E1176" s="41" t="inlineStr"/>
      <c r="F1176" s="41" t="inlineStr"/>
    </row>
    <row r="1177" ht="13" customHeight="1">
      <c r="A1177" s="49" t="inlineStr">
        <is>
          <t>9491</t>
        </is>
      </c>
      <c r="B1177" s="49" t="inlineStr">
        <is>
          <t>9837</t>
        </is>
      </c>
      <c r="C1177" s="49" t="inlineStr">
        <is>
          <t>3×3×1093</t>
        </is>
      </c>
      <c r="D1177" s="49" t="inlineStr">
        <is>
          <t>3</t>
        </is>
      </c>
      <c r="E1177" s="49" t="inlineStr"/>
      <c r="F1177" s="49" t="inlineStr"/>
    </row>
    <row r="1178" ht="13" customHeight="1">
      <c r="A1178" s="45" t="inlineStr">
        <is>
          <t>9497</t>
        </is>
      </c>
      <c r="B1178" s="45" t="inlineStr">
        <is>
          <t>4627</t>
        </is>
      </c>
      <c r="C1178" s="45" t="inlineStr">
        <is>
          <t>7×661</t>
        </is>
      </c>
      <c r="D1178" s="45" t="inlineStr">
        <is>
          <t>7</t>
        </is>
      </c>
      <c r="E1178" s="45" t="inlineStr"/>
      <c r="F1178" s="45" t="inlineStr"/>
    </row>
    <row r="1179" ht="13" customHeight="1">
      <c r="A1179" s="50" t="inlineStr">
        <is>
          <t>9511</t>
        </is>
      </c>
      <c r="B1179" s="50" t="inlineStr">
        <is>
          <t>8623</t>
        </is>
      </c>
      <c r="C1179" s="50" t="inlineStr">
        <is>
          <t>8623</t>
        </is>
      </c>
      <c r="D1179" s="50" t="inlineStr">
        <is>
          <t>—</t>
        </is>
      </c>
      <c r="E1179" s="50" t="inlineStr"/>
      <c r="F1179" s="50" t="inlineStr"/>
    </row>
    <row r="1180" ht="13" customHeight="1">
      <c r="A1180" s="45" t="inlineStr">
        <is>
          <t>9521</t>
        </is>
      </c>
      <c r="B1180" s="45" t="inlineStr">
        <is>
          <t>20070</t>
        </is>
      </c>
      <c r="C1180" s="45" t="inlineStr">
        <is>
          <t>2×3×3×5×223</t>
        </is>
      </c>
      <c r="D1180" s="45" t="inlineStr">
        <is>
          <t>2·3·5</t>
        </is>
      </c>
      <c r="E1180" s="45" t="inlineStr"/>
      <c r="F1180" s="45" t="inlineStr"/>
    </row>
    <row r="1181" ht="13" customHeight="1">
      <c r="A1181" s="49" t="inlineStr">
        <is>
          <t>9533</t>
        </is>
      </c>
      <c r="B1181" s="49" t="inlineStr">
        <is>
          <t>2209</t>
        </is>
      </c>
      <c r="C1181" s="49" t="inlineStr">
        <is>
          <t>47×47</t>
        </is>
      </c>
      <c r="D1181" s="49" t="inlineStr">
        <is>
          <t>—</t>
        </is>
      </c>
      <c r="E1181" s="49" t="inlineStr"/>
      <c r="F1181" s="49" t="inlineStr"/>
    </row>
    <row r="1182" ht="13" customHeight="1">
      <c r="A1182" s="45" t="inlineStr">
        <is>
          <t>9539</t>
        </is>
      </c>
      <c r="B1182" s="45" t="inlineStr">
        <is>
          <t>3409</t>
        </is>
      </c>
      <c r="C1182" s="45" t="inlineStr">
        <is>
          <t>7×487</t>
        </is>
      </c>
      <c r="D1182" s="45" t="inlineStr">
        <is>
          <t>7</t>
        </is>
      </c>
      <c r="E1182" s="45" t="inlineStr"/>
      <c r="F1182" s="45" t="inlineStr"/>
    </row>
    <row r="1183" ht="13" customHeight="1">
      <c r="A1183" s="49" t="inlineStr">
        <is>
          <t>9547</t>
        </is>
      </c>
      <c r="B1183" s="49" t="inlineStr">
        <is>
          <t>43500</t>
        </is>
      </c>
      <c r="C1183" s="49" t="inlineStr">
        <is>
          <t>2×2×3×5×5×5×29</t>
        </is>
      </c>
      <c r="D1183" s="49" t="inlineStr">
        <is>
          <t>2·3·5</t>
        </is>
      </c>
      <c r="E1183" s="49" t="inlineStr"/>
      <c r="F1183" s="49" t="inlineStr"/>
    </row>
    <row r="1184" ht="13" customHeight="1">
      <c r="A1184" s="45" t="inlineStr">
        <is>
          <t>9551</t>
        </is>
      </c>
      <c r="B1184" s="45" t="inlineStr">
        <is>
          <t>41907</t>
        </is>
      </c>
      <c r="C1184" s="45" t="inlineStr">
        <is>
          <t>3×61×229</t>
        </is>
      </c>
      <c r="D1184" s="45" t="inlineStr">
        <is>
          <t>3</t>
        </is>
      </c>
      <c r="E1184" s="45" t="inlineStr"/>
      <c r="F1184" s="45" t="inlineStr"/>
    </row>
    <row r="1185" ht="13" customHeight="1">
      <c r="A1185" s="50" t="inlineStr">
        <is>
          <t>9587</t>
        </is>
      </c>
      <c r="B1185" s="50" t="inlineStr">
        <is>
          <t>19991</t>
        </is>
      </c>
      <c r="C1185" s="50" t="inlineStr">
        <is>
          <t>19991</t>
        </is>
      </c>
      <c r="D1185" s="50" t="inlineStr">
        <is>
          <t>—</t>
        </is>
      </c>
      <c r="E1185" s="50" t="inlineStr"/>
      <c r="F1185" s="50" t="inlineStr"/>
    </row>
    <row r="1186" ht="13" customHeight="1">
      <c r="A1186" s="41" t="inlineStr">
        <is>
          <t>9601</t>
        </is>
      </c>
      <c r="B1186" s="41" t="inlineStr">
        <is>
          <t>22848</t>
        </is>
      </c>
      <c r="C1186" s="41" t="inlineStr">
        <is>
          <t>2×2×2×2×2×2×3×7×17</t>
        </is>
      </c>
      <c r="D1186" s="41" t="inlineStr">
        <is>
          <t>2·3·7·17</t>
        </is>
      </c>
      <c r="E1186" s="41" t="inlineStr"/>
      <c r="F1186" s="41" t="inlineStr"/>
    </row>
    <row r="1187" ht="13" customHeight="1">
      <c r="A1187" s="49" t="inlineStr">
        <is>
          <t>9613</t>
        </is>
      </c>
      <c r="B1187" s="49" t="inlineStr">
        <is>
          <t>3170</t>
        </is>
      </c>
      <c r="C1187" s="49" t="inlineStr">
        <is>
          <t>2×5×317</t>
        </is>
      </c>
      <c r="D1187" s="49" t="inlineStr">
        <is>
          <t>2·5</t>
        </is>
      </c>
      <c r="E1187" s="49" t="inlineStr"/>
      <c r="F1187" s="49" t="inlineStr"/>
    </row>
    <row r="1188" ht="13" customHeight="1">
      <c r="A1188" s="45" t="inlineStr">
        <is>
          <t>9619</t>
        </is>
      </c>
      <c r="B1188" s="45" t="inlineStr">
        <is>
          <t>23962</t>
        </is>
      </c>
      <c r="C1188" s="45" t="inlineStr">
        <is>
          <t>2×11981</t>
        </is>
      </c>
      <c r="D1188" s="45" t="inlineStr">
        <is>
          <t>2</t>
        </is>
      </c>
      <c r="E1188" s="45" t="inlineStr"/>
      <c r="F1188" s="45" t="inlineStr"/>
    </row>
    <row r="1189" ht="13" customHeight="1">
      <c r="A1189" s="49" t="inlineStr">
        <is>
          <t>9623</t>
        </is>
      </c>
      <c r="B1189" s="49" t="inlineStr">
        <is>
          <t>35589</t>
        </is>
      </c>
      <c r="C1189" s="49" t="inlineStr">
        <is>
          <t>3×11863</t>
        </is>
      </c>
      <c r="D1189" s="49" t="inlineStr">
        <is>
          <t>3</t>
        </is>
      </c>
      <c r="E1189" s="49" t="inlineStr"/>
      <c r="F1189" s="49" t="inlineStr"/>
    </row>
    <row r="1190" ht="13" customHeight="1">
      <c r="A1190" s="45" t="inlineStr">
        <is>
          <t>9629</t>
        </is>
      </c>
      <c r="B1190" s="45" t="inlineStr">
        <is>
          <t>35550</t>
        </is>
      </c>
      <c r="C1190" s="45" t="inlineStr">
        <is>
          <t>2×3×3×5×5×79</t>
        </is>
      </c>
      <c r="D1190" s="45" t="inlineStr">
        <is>
          <t>2·3·5</t>
        </is>
      </c>
      <c r="E1190" s="45" t="inlineStr"/>
      <c r="F1190" s="45" t="inlineStr"/>
    </row>
    <row r="1191" ht="13" customHeight="1">
      <c r="A1191" s="51" t="inlineStr">
        <is>
          <t>9631</t>
        </is>
      </c>
      <c r="B1191" s="51" t="inlineStr">
        <is>
          <t>29621</t>
        </is>
      </c>
      <c r="C1191" s="51" t="inlineStr">
        <is>
          <t>19×1559</t>
        </is>
      </c>
      <c r="D1191" s="51" t="inlineStr">
        <is>
          <t>19</t>
        </is>
      </c>
      <c r="E1191" s="51" t="inlineStr"/>
      <c r="F1191" s="51" t="inlineStr"/>
    </row>
    <row r="1192" ht="13" customHeight="1">
      <c r="A1192" s="41" t="inlineStr">
        <is>
          <t>9643</t>
        </is>
      </c>
      <c r="B1192" s="41" t="inlineStr">
        <is>
          <t>21580</t>
        </is>
      </c>
      <c r="C1192" s="41" t="inlineStr">
        <is>
          <t>2×2×5×13×83</t>
        </is>
      </c>
      <c r="D1192" s="41" t="inlineStr">
        <is>
          <t>2·5·13</t>
        </is>
      </c>
      <c r="E1192" s="41" t="inlineStr"/>
      <c r="F1192" s="41" t="inlineStr"/>
    </row>
    <row r="1193" ht="13" customHeight="1">
      <c r="A1193" s="49" t="inlineStr">
        <is>
          <t>9649</t>
        </is>
      </c>
      <c r="B1193" s="49" t="inlineStr">
        <is>
          <t>5055</t>
        </is>
      </c>
      <c r="C1193" s="49" t="inlineStr">
        <is>
          <t>3×5×337</t>
        </is>
      </c>
      <c r="D1193" s="49" t="inlineStr">
        <is>
          <t>3·5</t>
        </is>
      </c>
      <c r="E1193" s="49" t="inlineStr"/>
      <c r="F1193" s="49" t="inlineStr"/>
    </row>
    <row r="1194" ht="13" customHeight="1">
      <c r="A1194" s="45" t="inlineStr">
        <is>
          <t>9661</t>
        </is>
      </c>
      <c r="B1194" s="45" t="inlineStr">
        <is>
          <t>35154</t>
        </is>
      </c>
      <c r="C1194" s="45" t="inlineStr">
        <is>
          <t>2×3×3×3×3×7×31</t>
        </is>
      </c>
      <c r="D1194" s="45" t="inlineStr">
        <is>
          <t>2·3·7</t>
        </is>
      </c>
      <c r="E1194" s="45" t="inlineStr"/>
      <c r="F1194" s="45" t="inlineStr"/>
    </row>
    <row r="1195" ht="13" customHeight="1">
      <c r="A1195" s="49" t="inlineStr">
        <is>
          <t>9677</t>
        </is>
      </c>
      <c r="B1195" s="49" t="inlineStr">
        <is>
          <t>16947</t>
        </is>
      </c>
      <c r="C1195" s="49" t="inlineStr">
        <is>
          <t>3×3×7×269</t>
        </is>
      </c>
      <c r="D1195" s="49" t="inlineStr">
        <is>
          <t>3·7</t>
        </is>
      </c>
      <c r="E1195" s="49" t="inlineStr"/>
      <c r="F1195" s="49" t="inlineStr"/>
    </row>
    <row r="1196" ht="13" customHeight="1">
      <c r="A1196" s="45" t="inlineStr">
        <is>
          <t>9679</t>
        </is>
      </c>
      <c r="B1196" s="45" t="inlineStr">
        <is>
          <t>37231</t>
        </is>
      </c>
      <c r="C1196" s="45" t="inlineStr">
        <is>
          <t>31×1201</t>
        </is>
      </c>
      <c r="D1196" s="45" t="inlineStr">
        <is>
          <t>—</t>
        </is>
      </c>
      <c r="E1196" s="45" t="inlineStr"/>
      <c r="F1196" s="45" t="inlineStr"/>
    </row>
    <row r="1197" ht="13" customHeight="1">
      <c r="A1197" s="49" t="inlineStr">
        <is>
          <t>9689</t>
        </is>
      </c>
      <c r="B1197" s="49" t="inlineStr">
        <is>
          <t>3288</t>
        </is>
      </c>
      <c r="C1197" s="49" t="inlineStr">
        <is>
          <t>2×2×2×3×137</t>
        </is>
      </c>
      <c r="D1197" s="49" t="inlineStr">
        <is>
          <t>2·3</t>
        </is>
      </c>
      <c r="E1197" s="49" t="inlineStr"/>
      <c r="F1197" s="49" t="inlineStr"/>
    </row>
    <row r="1198" ht="13" customHeight="1">
      <c r="A1198" s="45" t="inlineStr">
        <is>
          <t>9697</t>
        </is>
      </c>
      <c r="B1198" s="45" t="inlineStr">
        <is>
          <t>39822</t>
        </is>
      </c>
      <c r="C1198" s="45" t="inlineStr">
        <is>
          <t>2×3×6637</t>
        </is>
      </c>
      <c r="D1198" s="45" t="inlineStr">
        <is>
          <t>2·3</t>
        </is>
      </c>
      <c r="E1198" s="45" t="inlineStr"/>
      <c r="F1198" s="45" t="inlineStr"/>
    </row>
    <row r="1199" ht="13" customHeight="1">
      <c r="A1199" s="49" t="inlineStr">
        <is>
          <t>9719</t>
        </is>
      </c>
      <c r="B1199" s="49" t="inlineStr">
        <is>
          <t>29110</t>
        </is>
      </c>
      <c r="C1199" s="49" t="inlineStr">
        <is>
          <t>2×5×41×71</t>
        </is>
      </c>
      <c r="D1199" s="49" t="inlineStr">
        <is>
          <t>2·5</t>
        </is>
      </c>
      <c r="E1199" s="49" t="inlineStr"/>
      <c r="F1199" s="49" t="inlineStr"/>
    </row>
    <row r="1200" ht="13" customHeight="1">
      <c r="A1200" s="45" t="inlineStr">
        <is>
          <t>9721</t>
        </is>
      </c>
      <c r="B1200" s="45" t="inlineStr">
        <is>
          <t>41309</t>
        </is>
      </c>
      <c r="C1200" s="45" t="inlineStr">
        <is>
          <t>101×409</t>
        </is>
      </c>
      <c r="D1200" s="45" t="inlineStr">
        <is>
          <t>—</t>
        </is>
      </c>
      <c r="E1200" s="45" t="inlineStr"/>
      <c r="F1200" s="45" t="inlineStr"/>
    </row>
    <row r="1201" ht="13" customHeight="1">
      <c r="A1201" s="49" t="inlineStr">
        <is>
          <t>9733</t>
        </is>
      </c>
      <c r="B1201" s="49" t="inlineStr">
        <is>
          <t>18893</t>
        </is>
      </c>
      <c r="C1201" s="49" t="inlineStr">
        <is>
          <t>7×2699</t>
        </is>
      </c>
      <c r="D1201" s="49" t="inlineStr">
        <is>
          <t>7</t>
        </is>
      </c>
      <c r="E1201" s="49" t="inlineStr"/>
      <c r="F1201" s="49" t="inlineStr"/>
    </row>
    <row r="1202" ht="13" customHeight="1">
      <c r="A1202" s="45" t="inlineStr">
        <is>
          <t>9739</t>
        </is>
      </c>
      <c r="B1202" s="45" t="inlineStr">
        <is>
          <t>26805</t>
        </is>
      </c>
      <c r="C1202" s="45" t="inlineStr">
        <is>
          <t>3×5×1787</t>
        </is>
      </c>
      <c r="D1202" s="45" t="inlineStr">
        <is>
          <t>3·5</t>
        </is>
      </c>
      <c r="E1202" s="45" t="inlineStr"/>
      <c r="F1202" s="45" t="inlineStr"/>
    </row>
    <row r="1203" ht="13" customHeight="1">
      <c r="A1203" s="49" t="inlineStr">
        <is>
          <t>9743</t>
        </is>
      </c>
      <c r="B1203" s="49" t="inlineStr">
        <is>
          <t>1930</t>
        </is>
      </c>
      <c r="C1203" s="49" t="inlineStr">
        <is>
          <t>2×5×193</t>
        </is>
      </c>
      <c r="D1203" s="49" t="inlineStr">
        <is>
          <t>2·5</t>
        </is>
      </c>
      <c r="E1203" s="49" t="inlineStr"/>
      <c r="F1203" s="49" t="inlineStr"/>
    </row>
    <row r="1204" ht="13" customHeight="1">
      <c r="A1204" s="45" t="inlineStr">
        <is>
          <t>9749</t>
        </is>
      </c>
      <c r="B1204" s="45" t="inlineStr">
        <is>
          <t>3639</t>
        </is>
      </c>
      <c r="C1204" s="45" t="inlineStr">
        <is>
          <t>3×1213</t>
        </is>
      </c>
      <c r="D1204" s="45" t="inlineStr">
        <is>
          <t>3</t>
        </is>
      </c>
      <c r="E1204" s="45" t="inlineStr"/>
      <c r="F1204" s="45" t="inlineStr"/>
    </row>
    <row r="1205" ht="13" customHeight="1">
      <c r="A1205" s="49" t="inlineStr">
        <is>
          <t>9767</t>
        </is>
      </c>
      <c r="B1205" s="49" t="inlineStr">
        <is>
          <t>34820</t>
        </is>
      </c>
      <c r="C1205" s="49" t="inlineStr">
        <is>
          <t>2×2×5×1741</t>
        </is>
      </c>
      <c r="D1205" s="49" t="inlineStr">
        <is>
          <t>2·5</t>
        </is>
      </c>
      <c r="E1205" s="49" t="inlineStr"/>
      <c r="F1205" s="49" t="inlineStr"/>
    </row>
    <row r="1206" ht="13" customHeight="1">
      <c r="A1206" s="41" t="inlineStr">
        <is>
          <t>9769</t>
        </is>
      </c>
      <c r="B1206" s="41" t="inlineStr">
        <is>
          <t>4693</t>
        </is>
      </c>
      <c r="C1206" s="41" t="inlineStr">
        <is>
          <t>13×19×19</t>
        </is>
      </c>
      <c r="D1206" s="41" t="inlineStr">
        <is>
          <t>13·19</t>
        </is>
      </c>
      <c r="E1206" s="41" t="inlineStr"/>
      <c r="F1206" s="41" t="inlineStr"/>
    </row>
    <row r="1207" ht="13" customHeight="1">
      <c r="A1207" s="49" t="inlineStr">
        <is>
          <t>9781</t>
        </is>
      </c>
      <c r="B1207" s="49" t="inlineStr">
        <is>
          <t>21235</t>
        </is>
      </c>
      <c r="C1207" s="49" t="inlineStr">
        <is>
          <t>5×31×137</t>
        </is>
      </c>
      <c r="D1207" s="49" t="inlineStr">
        <is>
          <t>5</t>
        </is>
      </c>
      <c r="E1207" s="49" t="inlineStr"/>
      <c r="F1207" s="49" t="inlineStr"/>
    </row>
    <row r="1208" ht="13" customHeight="1">
      <c r="A1208" s="43" t="inlineStr">
        <is>
          <t>9787</t>
        </is>
      </c>
      <c r="B1208" s="43" t="inlineStr">
        <is>
          <t>33550</t>
        </is>
      </c>
      <c r="C1208" s="43" t="inlineStr">
        <is>
          <t>2×5×5×11×61</t>
        </is>
      </c>
      <c r="D1208" s="43" t="inlineStr">
        <is>
          <t>2·5·11</t>
        </is>
      </c>
      <c r="E1208" s="43" t="inlineStr"/>
      <c r="F1208" s="43" t="inlineStr"/>
    </row>
    <row r="1209" ht="13" customHeight="1">
      <c r="A1209" s="43" t="inlineStr">
        <is>
          <t>9791</t>
        </is>
      </c>
      <c r="B1209" s="43" t="inlineStr">
        <is>
          <t>27566</t>
        </is>
      </c>
      <c r="C1209" s="43" t="inlineStr">
        <is>
          <t>2×7×11×179</t>
        </is>
      </c>
      <c r="D1209" s="43" t="inlineStr">
        <is>
          <t>2·7·11</t>
        </is>
      </c>
      <c r="E1209" s="43" t="inlineStr"/>
      <c r="F1209" s="43" t="inlineStr"/>
    </row>
    <row r="1210" ht="13" customHeight="1">
      <c r="A1210" s="41" t="inlineStr">
        <is>
          <t>9803</t>
        </is>
      </c>
      <c r="B1210" s="41" t="inlineStr">
        <is>
          <t>27251</t>
        </is>
      </c>
      <c r="C1210" s="41" t="inlineStr">
        <is>
          <t>7×17×229</t>
        </is>
      </c>
      <c r="D1210" s="41" t="inlineStr">
        <is>
          <t>7·17</t>
        </is>
      </c>
      <c r="E1210" s="41" t="inlineStr"/>
      <c r="F1210" s="41" t="inlineStr"/>
    </row>
    <row r="1211" ht="13" customHeight="1">
      <c r="A1211" s="49" t="inlineStr">
        <is>
          <t>9811</t>
        </is>
      </c>
      <c r="B1211" s="49" t="inlineStr">
        <is>
          <t>21629</t>
        </is>
      </c>
      <c r="C1211" s="49" t="inlineStr">
        <is>
          <t>43×503</t>
        </is>
      </c>
      <c r="D1211" s="49" t="inlineStr">
        <is>
          <t>—</t>
        </is>
      </c>
      <c r="E1211" s="49" t="inlineStr"/>
      <c r="F1211" s="49" t="inlineStr"/>
    </row>
    <row r="1212" ht="13" customHeight="1">
      <c r="A1212" s="45" t="inlineStr">
        <is>
          <t>9817</t>
        </is>
      </c>
      <c r="B1212" s="45" t="inlineStr">
        <is>
          <t>5825</t>
        </is>
      </c>
      <c r="C1212" s="45" t="inlineStr">
        <is>
          <t>5×5×233</t>
        </is>
      </c>
      <c r="D1212" s="45" t="inlineStr">
        <is>
          <t>5</t>
        </is>
      </c>
      <c r="E1212" s="45" t="inlineStr"/>
      <c r="F1212" s="45" t="inlineStr"/>
    </row>
    <row r="1213" ht="13" customHeight="1">
      <c r="A1213" s="50" t="inlineStr">
        <is>
          <t>9829</t>
        </is>
      </c>
      <c r="B1213" s="50" t="inlineStr">
        <is>
          <t>10169</t>
        </is>
      </c>
      <c r="C1213" s="50" t="inlineStr">
        <is>
          <t>10169</t>
        </is>
      </c>
      <c r="D1213" s="50" t="inlineStr">
        <is>
          <t>—</t>
        </is>
      </c>
      <c r="E1213" s="50" t="inlineStr"/>
      <c r="F1213" s="50" t="inlineStr"/>
    </row>
    <row r="1214" ht="13" customHeight="1">
      <c r="A1214" s="45" t="inlineStr">
        <is>
          <t>9833</t>
        </is>
      </c>
      <c r="B1214" s="45" t="inlineStr">
        <is>
          <t>24195</t>
        </is>
      </c>
      <c r="C1214" s="45" t="inlineStr">
        <is>
          <t>3×5×1613</t>
        </is>
      </c>
      <c r="D1214" s="45" t="inlineStr">
        <is>
          <t>3·5</t>
        </is>
      </c>
      <c r="E1214" s="45" t="inlineStr"/>
      <c r="F1214" s="45" t="inlineStr"/>
    </row>
    <row r="1215" ht="13" customHeight="1">
      <c r="A1215" s="49" t="inlineStr">
        <is>
          <t>9839</t>
        </is>
      </c>
      <c r="B1215" s="49" t="inlineStr">
        <is>
          <t>31125</t>
        </is>
      </c>
      <c r="C1215" s="49" t="inlineStr">
        <is>
          <t>3×5×5×5×83</t>
        </is>
      </c>
      <c r="D1215" s="49" t="inlineStr">
        <is>
          <t>3·5</t>
        </is>
      </c>
      <c r="E1215" s="49" t="inlineStr"/>
      <c r="F1215" s="49" t="inlineStr"/>
    </row>
    <row r="1216" ht="13" customHeight="1">
      <c r="A1216" s="45" t="inlineStr">
        <is>
          <t>9851</t>
        </is>
      </c>
      <c r="B1216" s="45" t="inlineStr">
        <is>
          <t>6618</t>
        </is>
      </c>
      <c r="C1216" s="45" t="inlineStr">
        <is>
          <t>2×3×1103</t>
        </is>
      </c>
      <c r="D1216" s="45" t="inlineStr">
        <is>
          <t>2·3</t>
        </is>
      </c>
      <c r="E1216" s="45" t="inlineStr"/>
      <c r="F1216" s="45" t="inlineStr"/>
    </row>
    <row r="1217" ht="13" customHeight="1">
      <c r="A1217" s="49" t="inlineStr">
        <is>
          <t>9857</t>
        </is>
      </c>
      <c r="B1217" s="49" t="inlineStr">
        <is>
          <t>27229</t>
        </is>
      </c>
      <c r="C1217" s="49" t="inlineStr">
        <is>
          <t>73×373</t>
        </is>
      </c>
      <c r="D1217" s="49" t="inlineStr">
        <is>
          <t>—</t>
        </is>
      </c>
      <c r="E1217" s="49" t="inlineStr"/>
      <c r="F1217" s="49" t="inlineStr"/>
    </row>
    <row r="1218" ht="13" customHeight="1">
      <c r="A1218" s="45" t="inlineStr">
        <is>
          <t>9859</t>
        </is>
      </c>
      <c r="B1218" s="45" t="inlineStr">
        <is>
          <t>3048</t>
        </is>
      </c>
      <c r="C1218" s="45" t="inlineStr">
        <is>
          <t>2×2×2×3×127</t>
        </is>
      </c>
      <c r="D1218" s="45" t="inlineStr">
        <is>
          <t>2·3</t>
        </is>
      </c>
      <c r="E1218" s="45" t="inlineStr"/>
      <c r="F1218" s="45" t="inlineStr"/>
    </row>
    <row r="1219" ht="13" customHeight="1">
      <c r="A1219" s="49" t="inlineStr">
        <is>
          <t>9871</t>
        </is>
      </c>
      <c r="B1219" s="49" t="inlineStr">
        <is>
          <t>16859</t>
        </is>
      </c>
      <c r="C1219" s="49" t="inlineStr">
        <is>
          <t>23×733</t>
        </is>
      </c>
      <c r="D1219" s="49" t="inlineStr">
        <is>
          <t>—</t>
        </is>
      </c>
      <c r="E1219" s="49" t="inlineStr"/>
      <c r="F1219" s="49" t="inlineStr"/>
    </row>
    <row r="1220" ht="13" customHeight="1">
      <c r="A1220" s="45" t="inlineStr">
        <is>
          <t>9883</t>
        </is>
      </c>
      <c r="B1220" s="45" t="inlineStr">
        <is>
          <t>219</t>
        </is>
      </c>
      <c r="C1220" s="45" t="inlineStr">
        <is>
          <t>3×73</t>
        </is>
      </c>
      <c r="D1220" s="45" t="inlineStr">
        <is>
          <t>3</t>
        </is>
      </c>
      <c r="E1220" s="45" t="inlineStr"/>
      <c r="F1220" s="45" t="inlineStr"/>
    </row>
    <row r="1221" ht="13" customHeight="1">
      <c r="A1221" s="50" t="inlineStr">
        <is>
          <t>9887</t>
        </is>
      </c>
      <c r="B1221" s="50" t="inlineStr">
        <is>
          <t>34381</t>
        </is>
      </c>
      <c r="C1221" s="50" t="inlineStr">
        <is>
          <t>34381</t>
        </is>
      </c>
      <c r="D1221" s="50" t="inlineStr">
        <is>
          <t>—</t>
        </is>
      </c>
      <c r="E1221" s="50" t="inlineStr"/>
      <c r="F1221" s="50" t="inlineStr"/>
    </row>
    <row r="1222" ht="13" customHeight="1">
      <c r="A1222" s="50" t="inlineStr">
        <is>
          <t>9901</t>
        </is>
      </c>
      <c r="B1222" s="50" t="inlineStr">
        <is>
          <t>33037</t>
        </is>
      </c>
      <c r="C1222" s="50" t="inlineStr">
        <is>
          <t>33037</t>
        </is>
      </c>
      <c r="D1222" s="50" t="inlineStr">
        <is>
          <t>—</t>
        </is>
      </c>
      <c r="E1222" s="50" t="inlineStr"/>
      <c r="F1222" s="50" t="inlineStr"/>
    </row>
    <row r="1223" ht="13" customHeight="1">
      <c r="A1223" s="49" t="inlineStr">
        <is>
          <t>9907</t>
        </is>
      </c>
      <c r="B1223" s="49" t="inlineStr">
        <is>
          <t>7795</t>
        </is>
      </c>
      <c r="C1223" s="49" t="inlineStr">
        <is>
          <t>5×1559</t>
        </is>
      </c>
      <c r="D1223" s="49" t="inlineStr">
        <is>
          <t>5</t>
        </is>
      </c>
      <c r="E1223" s="49" t="inlineStr"/>
      <c r="F1223" s="49" t="inlineStr"/>
    </row>
    <row r="1224" ht="13" customHeight="1">
      <c r="A1224" s="45" t="inlineStr">
        <is>
          <t>9923</t>
        </is>
      </c>
      <c r="B1224" s="45" t="inlineStr">
        <is>
          <t>7301</t>
        </is>
      </c>
      <c r="C1224" s="45" t="inlineStr">
        <is>
          <t>7×7×149</t>
        </is>
      </c>
      <c r="D1224" s="45" t="inlineStr">
        <is>
          <t>7</t>
        </is>
      </c>
      <c r="E1224" s="45" t="inlineStr"/>
      <c r="F1224" s="45" t="inlineStr"/>
    </row>
    <row r="1225" ht="13" customHeight="1">
      <c r="A1225" s="41" t="inlineStr">
        <is>
          <t>9929</t>
        </is>
      </c>
      <c r="B1225" s="41" t="inlineStr">
        <is>
          <t>6916</t>
        </is>
      </c>
      <c r="C1225" s="41" t="inlineStr">
        <is>
          <t>2×2×7×13×19</t>
        </is>
      </c>
      <c r="D1225" s="41" t="inlineStr">
        <is>
          <t>2·7·13·19</t>
        </is>
      </c>
      <c r="E1225" s="41" t="inlineStr"/>
      <c r="F1225" s="41" t="inlineStr"/>
    </row>
    <row r="1226" ht="13" customHeight="1">
      <c r="A1226" s="45" t="inlineStr">
        <is>
          <t>9931</t>
        </is>
      </c>
      <c r="B1226" s="45" t="inlineStr">
        <is>
          <t>14695</t>
        </is>
      </c>
      <c r="C1226" s="45" t="inlineStr">
        <is>
          <t>5×2939</t>
        </is>
      </c>
      <c r="D1226" s="45" t="inlineStr">
        <is>
          <t>5</t>
        </is>
      </c>
      <c r="E1226" s="45" t="inlineStr"/>
      <c r="F1226" s="45" t="inlineStr"/>
    </row>
    <row r="1227" ht="13" customHeight="1">
      <c r="A1227" s="50" t="inlineStr">
        <is>
          <t>9941</t>
        </is>
      </c>
      <c r="B1227" s="50" t="inlineStr">
        <is>
          <t>29137</t>
        </is>
      </c>
      <c r="C1227" s="50" t="inlineStr">
        <is>
          <t>29137</t>
        </is>
      </c>
      <c r="D1227" s="50" t="inlineStr">
        <is>
          <t>—</t>
        </is>
      </c>
      <c r="E1227" s="50" t="inlineStr"/>
      <c r="F1227" s="50" t="inlineStr"/>
    </row>
    <row r="1228" ht="13" customHeight="1">
      <c r="A1228" s="45" t="inlineStr">
        <is>
          <t>9949</t>
        </is>
      </c>
      <c r="B1228" s="45" t="inlineStr">
        <is>
          <t>2714</t>
        </is>
      </c>
      <c r="C1228" s="45" t="inlineStr">
        <is>
          <t>2×23×59</t>
        </is>
      </c>
      <c r="D1228" s="45" t="inlineStr">
        <is>
          <t>2</t>
        </is>
      </c>
      <c r="E1228" s="45" t="inlineStr"/>
      <c r="F1228" s="45" t="inlineStr"/>
    </row>
    <row r="1229" ht="13" customHeight="1">
      <c r="A1229" s="51" t="inlineStr">
        <is>
          <t>9967</t>
        </is>
      </c>
      <c r="B1229" s="51" t="inlineStr">
        <is>
          <t>17062</t>
        </is>
      </c>
      <c r="C1229" s="51" t="inlineStr">
        <is>
          <t>2×19×449</t>
        </is>
      </c>
      <c r="D1229" s="51" t="inlineStr">
        <is>
          <t>2·19</t>
        </is>
      </c>
      <c r="E1229" s="51" t="inlineStr"/>
      <c r="F1229" s="51" t="inlineStr"/>
    </row>
    <row r="1230" ht="13" customHeight="1">
      <c r="A1230" s="50" t="inlineStr">
        <is>
          <t>9973</t>
        </is>
      </c>
      <c r="B1230" s="50" t="inlineStr">
        <is>
          <t>3061</t>
        </is>
      </c>
      <c r="C1230" s="50" t="inlineStr">
        <is>
          <t>3061</t>
        </is>
      </c>
      <c r="D1230" s="50" t="inlineStr">
        <is>
          <t>—</t>
        </is>
      </c>
      <c r="E1230" s="50" t="inlineStr"/>
      <c r="F1230" s="50" t="inlineStr"/>
    </row>
    <row r="1231" ht="13" customHeight="1">
      <c r="A1231" s="49" t="inlineStr">
        <is>
          <t>10007</t>
        </is>
      </c>
      <c r="B1231" s="49" t="inlineStr">
        <is>
          <t>12448</t>
        </is>
      </c>
      <c r="C1231" s="49" t="inlineStr">
        <is>
          <t>2×2×2×2×2×389</t>
        </is>
      </c>
      <c r="D1231" s="49" t="inlineStr">
        <is>
          <t>2</t>
        </is>
      </c>
      <c r="E1231" s="49" t="inlineStr"/>
      <c r="F1231" s="49" t="inlineStr"/>
    </row>
    <row r="1232" ht="13" customHeight="1">
      <c r="A1232" s="45" t="inlineStr">
        <is>
          <t>10009</t>
        </is>
      </c>
      <c r="B1232" s="45" t="inlineStr">
        <is>
          <t>32039</t>
        </is>
      </c>
      <c r="C1232" s="45" t="inlineStr">
        <is>
          <t>7×23×199</t>
        </is>
      </c>
      <c r="D1232" s="45" t="inlineStr">
        <is>
          <t>7</t>
        </is>
      </c>
      <c r="E1232" s="45" t="inlineStr"/>
      <c r="F1232" s="45" t="inlineStr"/>
    </row>
    <row r="1233" ht="13" customHeight="1">
      <c r="A1233" s="49" t="inlineStr">
        <is>
          <t>10037</t>
        </is>
      </c>
      <c r="B1233" s="49" t="inlineStr">
        <is>
          <t>18796</t>
        </is>
      </c>
      <c r="C1233" s="49" t="inlineStr">
        <is>
          <t>2×2×37×127</t>
        </is>
      </c>
      <c r="D1233" s="49" t="inlineStr">
        <is>
          <t>2</t>
        </is>
      </c>
      <c r="E1233" s="49" t="inlineStr"/>
      <c r="F1233" s="49" t="inlineStr"/>
    </row>
    <row r="1234" ht="13" customHeight="1">
      <c r="A1234" s="43" t="inlineStr">
        <is>
          <t>10039</t>
        </is>
      </c>
      <c r="B1234" s="43" t="inlineStr">
        <is>
          <t>17809</t>
        </is>
      </c>
      <c r="C1234" s="43" t="inlineStr">
        <is>
          <t>11×1619</t>
        </is>
      </c>
      <c r="D1234" s="43" t="inlineStr">
        <is>
          <t>11</t>
        </is>
      </c>
      <c r="E1234" s="43" t="inlineStr"/>
      <c r="F1234" s="43" t="inlineStr"/>
    </row>
    <row r="1235" ht="13" customHeight="1">
      <c r="A1235" s="49" t="inlineStr">
        <is>
          <t>10061</t>
        </is>
      </c>
      <c r="B1235" s="49" t="inlineStr">
        <is>
          <t>36266</t>
        </is>
      </c>
      <c r="C1235" s="49" t="inlineStr">
        <is>
          <t>2×18133</t>
        </is>
      </c>
      <c r="D1235" s="49" t="inlineStr">
        <is>
          <t>2</t>
        </is>
      </c>
      <c r="E1235" s="49" t="inlineStr"/>
      <c r="F1235" s="49" t="inlineStr"/>
    </row>
    <row r="1236" ht="13" customHeight="1">
      <c r="A1236" s="45" t="inlineStr">
        <is>
          <t>10067</t>
        </is>
      </c>
      <c r="B1236" s="45" t="inlineStr">
        <is>
          <t>20671</t>
        </is>
      </c>
      <c r="C1236" s="45" t="inlineStr">
        <is>
          <t>7×2953</t>
        </is>
      </c>
      <c r="D1236" s="45" t="inlineStr">
        <is>
          <t>7</t>
        </is>
      </c>
      <c r="E1236" s="45" t="inlineStr"/>
      <c r="F1236" s="45" t="inlineStr"/>
    </row>
    <row r="1237" ht="13" customHeight="1">
      <c r="A1237" s="49" t="inlineStr">
        <is>
          <t>10069</t>
        </is>
      </c>
      <c r="B1237" s="49" t="inlineStr">
        <is>
          <t>21712</t>
        </is>
      </c>
      <c r="C1237" s="49" t="inlineStr">
        <is>
          <t>2×2×2×2×23×59</t>
        </is>
      </c>
      <c r="D1237" s="49" t="inlineStr">
        <is>
          <t>2</t>
        </is>
      </c>
      <c r="E1237" s="49" t="inlineStr"/>
      <c r="F1237" s="49" t="inlineStr"/>
    </row>
    <row r="1238" ht="13" customHeight="1">
      <c r="A1238" s="45" t="inlineStr">
        <is>
          <t>10079</t>
        </is>
      </c>
      <c r="B1238" s="45" t="inlineStr">
        <is>
          <t>9830</t>
        </is>
      </c>
      <c r="C1238" s="45" t="inlineStr">
        <is>
          <t>2×5×983</t>
        </is>
      </c>
      <c r="D1238" s="45" t="inlineStr">
        <is>
          <t>2·5</t>
        </is>
      </c>
      <c r="E1238" s="45" t="inlineStr"/>
      <c r="F1238" s="45" t="inlineStr"/>
    </row>
    <row r="1239" ht="13" customHeight="1">
      <c r="A1239" s="49" t="inlineStr">
        <is>
          <t>10091</t>
        </is>
      </c>
      <c r="B1239" s="49" t="inlineStr">
        <is>
          <t>42192</t>
        </is>
      </c>
      <c r="C1239" s="49" t="inlineStr">
        <is>
          <t>2×2×2×2×3×3×293</t>
        </is>
      </c>
      <c r="D1239" s="49" t="inlineStr">
        <is>
          <t>2·3</t>
        </is>
      </c>
      <c r="E1239" s="49" t="inlineStr"/>
      <c r="F1239" s="49" t="inlineStr"/>
    </row>
    <row r="1240" ht="13" customHeight="1">
      <c r="A1240" s="45" t="inlineStr">
        <is>
          <t>10093</t>
        </is>
      </c>
      <c r="B1240" s="45" t="inlineStr">
        <is>
          <t>11004</t>
        </is>
      </c>
      <c r="C1240" s="45" t="inlineStr">
        <is>
          <t>2×2×3×7×131</t>
        </is>
      </c>
      <c r="D1240" s="45" t="inlineStr">
        <is>
          <t>2·3·7</t>
        </is>
      </c>
      <c r="E1240" s="45" t="inlineStr"/>
      <c r="F1240" s="45" t="inlineStr"/>
    </row>
    <row r="1241" ht="13" customHeight="1">
      <c r="A1241" s="39" t="inlineStr">
        <is>
          <t>10099</t>
        </is>
      </c>
      <c r="B1241" s="39" t="inlineStr">
        <is>
          <t>3087</t>
        </is>
      </c>
      <c r="C1241" s="39" t="inlineStr">
        <is>
          <t>3×3×7×7×7</t>
        </is>
      </c>
      <c r="D1241" s="39" t="inlineStr">
        <is>
          <t>3·7</t>
        </is>
      </c>
      <c r="E1241" s="39" t="inlineStr"/>
      <c r="F1241" s="39" t="inlineStr"/>
    </row>
    <row r="1242" ht="13" customHeight="1">
      <c r="A1242" s="41" t="inlineStr">
        <is>
          <t>10103</t>
        </is>
      </c>
      <c r="B1242" s="41" t="inlineStr">
        <is>
          <t>24037</t>
        </is>
      </c>
      <c r="C1242" s="41" t="inlineStr">
        <is>
          <t>13×43×43</t>
        </is>
      </c>
      <c r="D1242" s="41" t="inlineStr">
        <is>
          <t>13</t>
        </is>
      </c>
      <c r="E1242" s="41" t="inlineStr"/>
      <c r="F1242" s="41" t="inlineStr"/>
    </row>
    <row r="1243" ht="13" customHeight="1">
      <c r="A1243" s="49" t="inlineStr">
        <is>
          <t>10111</t>
        </is>
      </c>
      <c r="B1243" s="49" t="inlineStr">
        <is>
          <t>37118</t>
        </is>
      </c>
      <c r="C1243" s="49" t="inlineStr">
        <is>
          <t>2×67×277</t>
        </is>
      </c>
      <c r="D1243" s="49" t="inlineStr">
        <is>
          <t>2</t>
        </is>
      </c>
      <c r="E1243" s="49" t="inlineStr"/>
      <c r="F1243" s="49" t="inlineStr"/>
    </row>
    <row r="1244" ht="13" customHeight="1">
      <c r="A1244" s="51" t="inlineStr">
        <is>
          <t>10133</t>
        </is>
      </c>
      <c r="B1244" s="51" t="inlineStr">
        <is>
          <t>19608</t>
        </is>
      </c>
      <c r="C1244" s="51" t="inlineStr">
        <is>
          <t>2×2×2×3×19×43</t>
        </is>
      </c>
      <c r="D1244" s="51" t="inlineStr">
        <is>
          <t>2·3·19</t>
        </is>
      </c>
      <c r="E1244" s="51" t="inlineStr"/>
      <c r="F1244" s="51" t="inlineStr"/>
    </row>
    <row r="1245" ht="13" customHeight="1">
      <c r="A1245" s="49" t="inlineStr">
        <is>
          <t>10139</t>
        </is>
      </c>
      <c r="B1245" s="49" t="inlineStr">
        <is>
          <t>29378</t>
        </is>
      </c>
      <c r="C1245" s="49" t="inlineStr">
        <is>
          <t>2×37×397</t>
        </is>
      </c>
      <c r="D1245" s="49" t="inlineStr">
        <is>
          <t>2</t>
        </is>
      </c>
      <c r="E1245" s="49" t="inlineStr"/>
      <c r="F1245" s="49" t="inlineStr"/>
    </row>
    <row r="1246" ht="13" customHeight="1">
      <c r="A1246" s="45" t="inlineStr">
        <is>
          <t>10141</t>
        </is>
      </c>
      <c r="B1246" s="45" t="inlineStr">
        <is>
          <t>28395</t>
        </is>
      </c>
      <c r="C1246" s="45" t="inlineStr">
        <is>
          <t>3×3×5×631</t>
        </is>
      </c>
      <c r="D1246" s="45" t="inlineStr">
        <is>
          <t>3·5</t>
        </is>
      </c>
      <c r="E1246" s="45" t="inlineStr"/>
      <c r="F1246" s="45" t="inlineStr"/>
    </row>
    <row r="1247" ht="13" customHeight="1">
      <c r="A1247" s="43" t="inlineStr">
        <is>
          <t>10151</t>
        </is>
      </c>
      <c r="B1247" s="43" t="inlineStr">
        <is>
          <t>9042</t>
        </is>
      </c>
      <c r="C1247" s="43" t="inlineStr">
        <is>
          <t>2×3×11×137</t>
        </is>
      </c>
      <c r="D1247" s="43" t="inlineStr">
        <is>
          <t>2·3·11</t>
        </is>
      </c>
      <c r="E1247" s="43" t="inlineStr"/>
      <c r="F1247" s="43" t="inlineStr"/>
    </row>
    <row r="1248" ht="13" customHeight="1">
      <c r="A1248" s="45" t="inlineStr">
        <is>
          <t>10159</t>
        </is>
      </c>
      <c r="B1248" s="45" t="inlineStr">
        <is>
          <t>26179</t>
        </is>
      </c>
      <c r="C1248" s="45" t="inlineStr">
        <is>
          <t>47×557</t>
        </is>
      </c>
      <c r="D1248" s="45" t="inlineStr">
        <is>
          <t>—</t>
        </is>
      </c>
      <c r="E1248" s="45" t="inlineStr"/>
      <c r="F1248" s="45" t="inlineStr"/>
    </row>
    <row r="1249" ht="13" customHeight="1">
      <c r="A1249" s="43" t="inlineStr">
        <is>
          <t>10163</t>
        </is>
      </c>
      <c r="B1249" s="43" t="inlineStr">
        <is>
          <t>22088</t>
        </is>
      </c>
      <c r="C1249" s="43" t="inlineStr">
        <is>
          <t>2×2×2×11×251</t>
        </is>
      </c>
      <c r="D1249" s="43" t="inlineStr">
        <is>
          <t>2·11</t>
        </is>
      </c>
      <c r="E1249" s="43" t="inlineStr"/>
      <c r="F1249" s="43" t="inlineStr"/>
    </row>
    <row r="1250" ht="13" customHeight="1">
      <c r="A1250" s="51" t="inlineStr">
        <is>
          <t>10169</t>
        </is>
      </c>
      <c r="B1250" s="51" t="inlineStr">
        <is>
          <t>43814</t>
        </is>
      </c>
      <c r="C1250" s="51" t="inlineStr">
        <is>
          <t>2×19×1153</t>
        </is>
      </c>
      <c r="D1250" s="51" t="inlineStr">
        <is>
          <t>2·19</t>
        </is>
      </c>
      <c r="E1250" s="51" t="inlineStr"/>
      <c r="F1250" s="51" t="inlineStr"/>
    </row>
    <row r="1251" ht="13" customHeight="1">
      <c r="A1251" s="49" t="inlineStr">
        <is>
          <t>10177</t>
        </is>
      </c>
      <c r="B1251" s="49" t="inlineStr">
        <is>
          <t>37497</t>
        </is>
      </c>
      <c r="C1251" s="49" t="inlineStr">
        <is>
          <t>3×29×431</t>
        </is>
      </c>
      <c r="D1251" s="49" t="inlineStr">
        <is>
          <t>3</t>
        </is>
      </c>
      <c r="E1251" s="49" t="inlineStr"/>
      <c r="F1251" s="49" t="inlineStr"/>
    </row>
    <row r="1252" ht="13" customHeight="1">
      <c r="A1252" s="51" t="inlineStr">
        <is>
          <t>10181</t>
        </is>
      </c>
      <c r="B1252" s="51" t="inlineStr">
        <is>
          <t>36404</t>
        </is>
      </c>
      <c r="C1252" s="51" t="inlineStr">
        <is>
          <t>2×2×19×479</t>
        </is>
      </c>
      <c r="D1252" s="51" t="inlineStr">
        <is>
          <t>2·19</t>
        </is>
      </c>
      <c r="E1252" s="51" t="inlineStr"/>
      <c r="F1252" s="51" t="inlineStr"/>
    </row>
    <row r="1253" ht="13" customHeight="1">
      <c r="A1253" s="49" t="inlineStr">
        <is>
          <t>10193</t>
        </is>
      </c>
      <c r="B1253" s="49" t="inlineStr">
        <is>
          <t>9692</t>
        </is>
      </c>
      <c r="C1253" s="49" t="inlineStr">
        <is>
          <t>2×2×2423</t>
        </is>
      </c>
      <c r="D1253" s="49" t="inlineStr">
        <is>
          <t>2</t>
        </is>
      </c>
      <c r="E1253" s="49" t="inlineStr"/>
      <c r="F1253" s="49" t="inlineStr"/>
    </row>
    <row r="1254" ht="13" customHeight="1">
      <c r="A1254" s="50" t="inlineStr">
        <is>
          <t>10211</t>
        </is>
      </c>
      <c r="B1254" s="50" t="inlineStr">
        <is>
          <t>9293</t>
        </is>
      </c>
      <c r="C1254" s="50" t="inlineStr">
        <is>
          <t>9293</t>
        </is>
      </c>
      <c r="D1254" s="50" t="inlineStr">
        <is>
          <t>—</t>
        </is>
      </c>
      <c r="E1254" s="50" t="inlineStr"/>
      <c r="F1254" s="50" t="inlineStr"/>
    </row>
    <row r="1255" ht="13" customHeight="1">
      <c r="A1255" s="49" t="inlineStr">
        <is>
          <t>10223</t>
        </is>
      </c>
      <c r="B1255" s="49" t="inlineStr">
        <is>
          <t>13570</t>
        </is>
      </c>
      <c r="C1255" s="49" t="inlineStr">
        <is>
          <t>2×5×23×59</t>
        </is>
      </c>
      <c r="D1255" s="49" t="inlineStr">
        <is>
          <t>2·5</t>
        </is>
      </c>
      <c r="E1255" s="49" t="inlineStr"/>
      <c r="F1255" s="49" t="inlineStr"/>
    </row>
    <row r="1256" ht="13" customHeight="1">
      <c r="A1256" s="45" t="inlineStr">
        <is>
          <t>10243</t>
        </is>
      </c>
      <c r="B1256" s="45" t="inlineStr">
        <is>
          <t>622</t>
        </is>
      </c>
      <c r="C1256" s="45" t="inlineStr">
        <is>
          <t>2×311</t>
        </is>
      </c>
      <c r="D1256" s="45" t="inlineStr">
        <is>
          <t>2</t>
        </is>
      </c>
      <c r="E1256" s="45" t="inlineStr"/>
      <c r="F1256" s="45" t="inlineStr"/>
    </row>
    <row r="1257" ht="13" customHeight="1">
      <c r="A1257" s="49" t="inlineStr">
        <is>
          <t>10247</t>
        </is>
      </c>
      <c r="B1257" s="49" t="inlineStr">
        <is>
          <t>38594</t>
        </is>
      </c>
      <c r="C1257" s="49" t="inlineStr">
        <is>
          <t>2×23×839</t>
        </is>
      </c>
      <c r="D1257" s="49" t="inlineStr">
        <is>
          <t>2</t>
        </is>
      </c>
      <c r="E1257" s="49" t="inlineStr"/>
      <c r="F1257" s="49" t="inlineStr"/>
    </row>
    <row r="1258" ht="13" customHeight="1">
      <c r="A1258" s="50" t="inlineStr">
        <is>
          <t>10253</t>
        </is>
      </c>
      <c r="B1258" s="50" t="inlineStr">
        <is>
          <t>5167</t>
        </is>
      </c>
      <c r="C1258" s="50" t="inlineStr">
        <is>
          <t>5167</t>
        </is>
      </c>
      <c r="D1258" s="50" t="inlineStr">
        <is>
          <t>—</t>
        </is>
      </c>
      <c r="E1258" s="50" t="inlineStr"/>
      <c r="F1258" s="50" t="inlineStr"/>
    </row>
    <row r="1259" ht="13" customHeight="1">
      <c r="A1259" s="49" t="inlineStr">
        <is>
          <t>10259</t>
        </is>
      </c>
      <c r="B1259" s="49" t="inlineStr">
        <is>
          <t>35350</t>
        </is>
      </c>
      <c r="C1259" s="49" t="inlineStr">
        <is>
          <t>2×5×5×7×101</t>
        </is>
      </c>
      <c r="D1259" s="49" t="inlineStr">
        <is>
          <t>2·5·7</t>
        </is>
      </c>
      <c r="E1259" s="49" t="inlineStr"/>
      <c r="F1259" s="49" t="inlineStr"/>
    </row>
    <row r="1260" ht="13" customHeight="1">
      <c r="A1260" s="51" t="inlineStr">
        <is>
          <t>10267</t>
        </is>
      </c>
      <c r="B1260" s="51" t="inlineStr">
        <is>
          <t>29868</t>
        </is>
      </c>
      <c r="C1260" s="51" t="inlineStr">
        <is>
          <t>2×2×3×19×131</t>
        </is>
      </c>
      <c r="D1260" s="51" t="inlineStr">
        <is>
          <t>2·3·19</t>
        </is>
      </c>
      <c r="E1260" s="51" t="inlineStr"/>
      <c r="F1260" s="51" t="inlineStr"/>
    </row>
    <row r="1261" ht="13" customHeight="1">
      <c r="A1261" s="43" t="inlineStr">
        <is>
          <t>10271</t>
        </is>
      </c>
      <c r="B1261" s="43" t="inlineStr">
        <is>
          <t>31075</t>
        </is>
      </c>
      <c r="C1261" s="43" t="inlineStr">
        <is>
          <t>5×5×11×113</t>
        </is>
      </c>
      <c r="D1261" s="43" t="inlineStr">
        <is>
          <t>5·11</t>
        </is>
      </c>
      <c r="E1261" s="43" t="inlineStr"/>
      <c r="F1261" s="43" t="inlineStr"/>
    </row>
    <row r="1262" ht="13" customHeight="1">
      <c r="A1262" s="45" t="inlineStr">
        <is>
          <t>10273</t>
        </is>
      </c>
      <c r="B1262" s="45" t="inlineStr">
        <is>
          <t>10034</t>
        </is>
      </c>
      <c r="C1262" s="45" t="inlineStr">
        <is>
          <t>2×29×173</t>
        </is>
      </c>
      <c r="D1262" s="45" t="inlineStr">
        <is>
          <t>2</t>
        </is>
      </c>
      <c r="E1262" s="45" t="inlineStr"/>
      <c r="F1262" s="45" t="inlineStr"/>
    </row>
    <row r="1263" ht="13" customHeight="1">
      <c r="A1263" s="49" t="inlineStr">
        <is>
          <t>10289</t>
        </is>
      </c>
      <c r="B1263" s="49" t="inlineStr">
        <is>
          <t>35402</t>
        </is>
      </c>
      <c r="C1263" s="49" t="inlineStr">
        <is>
          <t>2×31×571</t>
        </is>
      </c>
      <c r="D1263" s="49" t="inlineStr">
        <is>
          <t>2</t>
        </is>
      </c>
      <c r="E1263" s="49" t="inlineStr"/>
      <c r="F1263" s="49" t="inlineStr"/>
    </row>
    <row r="1264" ht="13" customHeight="1">
      <c r="A1264" s="45" t="inlineStr">
        <is>
          <t>10301</t>
        </is>
      </c>
      <c r="B1264" s="45" t="inlineStr">
        <is>
          <t>9051</t>
        </is>
      </c>
      <c r="C1264" s="45" t="inlineStr">
        <is>
          <t>3×7×431</t>
        </is>
      </c>
      <c r="D1264" s="45" t="inlineStr">
        <is>
          <t>3·7</t>
        </is>
      </c>
      <c r="E1264" s="45" t="inlineStr"/>
      <c r="F1264" s="45" t="inlineStr"/>
    </row>
    <row r="1265" ht="13" customHeight="1">
      <c r="A1265" s="49" t="inlineStr">
        <is>
          <t>10303</t>
        </is>
      </c>
      <c r="B1265" s="49" t="inlineStr">
        <is>
          <t>4305</t>
        </is>
      </c>
      <c r="C1265" s="49" t="inlineStr">
        <is>
          <t>3×5×7×41</t>
        </is>
      </c>
      <c r="D1265" s="49" t="inlineStr">
        <is>
          <t>3·5·7</t>
        </is>
      </c>
      <c r="E1265" s="49" t="inlineStr"/>
      <c r="F1265" s="49" t="inlineStr"/>
    </row>
    <row r="1266" ht="13" customHeight="1">
      <c r="A1266" s="45" t="inlineStr">
        <is>
          <t>10313</t>
        </is>
      </c>
      <c r="B1266" s="45" t="inlineStr">
        <is>
          <t>38751</t>
        </is>
      </c>
      <c r="C1266" s="45" t="inlineStr">
        <is>
          <t>3×12917</t>
        </is>
      </c>
      <c r="D1266" s="45" t="inlineStr">
        <is>
          <t>3</t>
        </is>
      </c>
      <c r="E1266" s="45" t="inlineStr"/>
      <c r="F1266" s="45" t="inlineStr"/>
    </row>
    <row r="1267" ht="13" customHeight="1">
      <c r="A1267" s="49" t="inlineStr">
        <is>
          <t>10321</t>
        </is>
      </c>
      <c r="B1267" s="49" t="inlineStr">
        <is>
          <t>13914</t>
        </is>
      </c>
      <c r="C1267" s="49" t="inlineStr">
        <is>
          <t>2×3×3×773</t>
        </is>
      </c>
      <c r="D1267" s="49" t="inlineStr">
        <is>
          <t>2·3</t>
        </is>
      </c>
      <c r="E1267" s="49" t="inlineStr"/>
      <c r="F1267" s="49" t="inlineStr"/>
    </row>
    <row r="1268" ht="13" customHeight="1">
      <c r="A1268" s="45" t="inlineStr">
        <is>
          <t>10331</t>
        </is>
      </c>
      <c r="B1268" s="45" t="inlineStr">
        <is>
          <t>9864</t>
        </is>
      </c>
      <c r="C1268" s="45" t="inlineStr">
        <is>
          <t>2×2×2×3×3×137</t>
        </is>
      </c>
      <c r="D1268" s="45" t="inlineStr">
        <is>
          <t>2·3</t>
        </is>
      </c>
      <c r="E1268" s="45" t="inlineStr"/>
      <c r="F1268" s="45" t="inlineStr"/>
    </row>
    <row r="1269" ht="13" customHeight="1">
      <c r="A1269" s="50" t="inlineStr">
        <is>
          <t>10333</t>
        </is>
      </c>
      <c r="B1269" s="50" t="inlineStr">
        <is>
          <t>33911</t>
        </is>
      </c>
      <c r="C1269" s="50" t="inlineStr">
        <is>
          <t>33911</t>
        </is>
      </c>
      <c r="D1269" s="50" t="inlineStr">
        <is>
          <t>—</t>
        </is>
      </c>
      <c r="E1269" s="50" t="inlineStr"/>
      <c r="F1269" s="50" t="inlineStr"/>
    </row>
    <row r="1270" ht="13" customHeight="1">
      <c r="A1270" s="50" t="inlineStr">
        <is>
          <t>10337</t>
        </is>
      </c>
      <c r="B1270" s="50" t="inlineStr">
        <is>
          <t>16981</t>
        </is>
      </c>
      <c r="C1270" s="50" t="inlineStr">
        <is>
          <t>16981</t>
        </is>
      </c>
      <c r="D1270" s="50" t="inlineStr">
        <is>
          <t>—</t>
        </is>
      </c>
      <c r="E1270" s="50" t="inlineStr"/>
      <c r="F1270" s="50" t="inlineStr"/>
    </row>
    <row r="1271" ht="13" customHeight="1">
      <c r="A1271" s="49" t="inlineStr">
        <is>
          <t>10343</t>
        </is>
      </c>
      <c r="B1271" s="49" t="inlineStr">
        <is>
          <t>17397</t>
        </is>
      </c>
      <c r="C1271" s="49" t="inlineStr">
        <is>
          <t>3×3×1933</t>
        </is>
      </c>
      <c r="D1271" s="49" t="inlineStr">
        <is>
          <t>3</t>
        </is>
      </c>
      <c r="E1271" s="49" t="inlineStr"/>
      <c r="F1271" s="49" t="inlineStr"/>
    </row>
    <row r="1272" ht="13" customHeight="1">
      <c r="A1272" s="45" t="inlineStr">
        <is>
          <t>10357</t>
        </is>
      </c>
      <c r="B1272" s="45" t="inlineStr">
        <is>
          <t>34484</t>
        </is>
      </c>
      <c r="C1272" s="45" t="inlineStr">
        <is>
          <t>2×2×37×233</t>
        </is>
      </c>
      <c r="D1272" s="45" t="inlineStr">
        <is>
          <t>2</t>
        </is>
      </c>
      <c r="E1272" s="45" t="inlineStr"/>
      <c r="F1272" s="45" t="inlineStr"/>
    </row>
    <row r="1273" ht="13" customHeight="1">
      <c r="A1273" s="49" t="inlineStr">
        <is>
          <t>10369</t>
        </is>
      </c>
      <c r="B1273" s="49" t="inlineStr">
        <is>
          <t>3633</t>
        </is>
      </c>
      <c r="C1273" s="49" t="inlineStr">
        <is>
          <t>3×7×173</t>
        </is>
      </c>
      <c r="D1273" s="49" t="inlineStr">
        <is>
          <t>3·7</t>
        </is>
      </c>
      <c r="E1273" s="49" t="inlineStr"/>
      <c r="F1273" s="49" t="inlineStr"/>
    </row>
    <row r="1274" ht="13" customHeight="1">
      <c r="A1274" s="45" t="inlineStr">
        <is>
          <t>10391</t>
        </is>
      </c>
      <c r="B1274" s="45" t="inlineStr">
        <is>
          <t>11240</t>
        </is>
      </c>
      <c r="C1274" s="45" t="inlineStr">
        <is>
          <t>2×2×2×5×281</t>
        </is>
      </c>
      <c r="D1274" s="45" t="inlineStr">
        <is>
          <t>2·5</t>
        </is>
      </c>
      <c r="E1274" s="45" t="inlineStr"/>
      <c r="F1274" s="45" t="inlineStr"/>
    </row>
    <row r="1275" ht="13" customHeight="1">
      <c r="A1275" s="49" t="inlineStr">
        <is>
          <t>10399</t>
        </is>
      </c>
      <c r="B1275" s="49" t="inlineStr">
        <is>
          <t>12725</t>
        </is>
      </c>
      <c r="C1275" s="49" t="inlineStr">
        <is>
          <t>5×5×509</t>
        </is>
      </c>
      <c r="D1275" s="49" t="inlineStr">
        <is>
          <t>5</t>
        </is>
      </c>
      <c r="E1275" s="49" t="inlineStr"/>
      <c r="F1275" s="49" t="inlineStr"/>
    </row>
    <row r="1276" ht="13" customHeight="1">
      <c r="A1276" s="45" t="inlineStr">
        <is>
          <t>10427</t>
        </is>
      </c>
      <c r="B1276" s="45" t="inlineStr">
        <is>
          <t>33435</t>
        </is>
      </c>
      <c r="C1276" s="45" t="inlineStr">
        <is>
          <t>3×3×5×743</t>
        </is>
      </c>
      <c r="D1276" s="45" t="inlineStr">
        <is>
          <t>3·5</t>
        </is>
      </c>
      <c r="E1276" s="45" t="inlineStr"/>
      <c r="F1276" s="45" t="inlineStr"/>
    </row>
    <row r="1277" ht="13" customHeight="1">
      <c r="A1277" s="49" t="inlineStr">
        <is>
          <t>10429</t>
        </is>
      </c>
      <c r="B1277" s="49" t="inlineStr">
        <is>
          <t>31099</t>
        </is>
      </c>
      <c r="C1277" s="49" t="inlineStr">
        <is>
          <t>137×227</t>
        </is>
      </c>
      <c r="D1277" s="49" t="inlineStr">
        <is>
          <t>—</t>
        </is>
      </c>
      <c r="E1277" s="49" t="inlineStr"/>
      <c r="F1277" s="49" t="inlineStr"/>
    </row>
    <row r="1278" ht="13" customHeight="1">
      <c r="A1278" s="41" t="inlineStr">
        <is>
          <t>10433</t>
        </is>
      </c>
      <c r="B1278" s="41" t="inlineStr">
        <is>
          <t>16601</t>
        </is>
      </c>
      <c r="C1278" s="41" t="inlineStr">
        <is>
          <t>13×1277</t>
        </is>
      </c>
      <c r="D1278" s="41" t="inlineStr">
        <is>
          <t>13</t>
        </is>
      </c>
      <c r="E1278" s="41" t="inlineStr"/>
      <c r="F1278" s="41" t="inlineStr"/>
    </row>
    <row r="1279" ht="13" customHeight="1">
      <c r="A1279" s="49" t="inlineStr">
        <is>
          <t>10453</t>
        </is>
      </c>
      <c r="B1279" s="49" t="inlineStr">
        <is>
          <t>13340</t>
        </is>
      </c>
      <c r="C1279" s="49" t="inlineStr">
        <is>
          <t>2×2×5×23×29</t>
        </is>
      </c>
      <c r="D1279" s="49" t="inlineStr">
        <is>
          <t>2·5</t>
        </is>
      </c>
      <c r="E1279" s="49" t="inlineStr"/>
      <c r="F1279" s="49" t="inlineStr"/>
    </row>
    <row r="1280" ht="13" customHeight="1">
      <c r="A1280" s="51" t="inlineStr">
        <is>
          <t>10457</t>
        </is>
      </c>
      <c r="B1280" s="51" t="inlineStr">
        <is>
          <t>29583</t>
        </is>
      </c>
      <c r="C1280" s="51" t="inlineStr">
        <is>
          <t>3×3×19×173</t>
        </is>
      </c>
      <c r="D1280" s="51" t="inlineStr">
        <is>
          <t>3·19</t>
        </is>
      </c>
      <c r="E1280" s="51" t="inlineStr"/>
      <c r="F1280" s="51" t="inlineStr"/>
    </row>
    <row r="1281" ht="13" customHeight="1">
      <c r="A1281" s="51" t="inlineStr">
        <is>
          <t>10459</t>
        </is>
      </c>
      <c r="B1281" s="51" t="inlineStr">
        <is>
          <t>38551</t>
        </is>
      </c>
      <c r="C1281" s="51" t="inlineStr">
        <is>
          <t>19×2029</t>
        </is>
      </c>
      <c r="D1281" s="51" t="inlineStr">
        <is>
          <t>19</t>
        </is>
      </c>
      <c r="E1281" s="51" t="inlineStr"/>
      <c r="F1281" s="51" t="inlineStr"/>
    </row>
    <row r="1282" ht="13" customHeight="1">
      <c r="A1282" s="45" t="inlineStr">
        <is>
          <t>10463</t>
        </is>
      </c>
      <c r="B1282" s="45" t="inlineStr">
        <is>
          <t>4039</t>
        </is>
      </c>
      <c r="C1282" s="45" t="inlineStr">
        <is>
          <t>7×577</t>
        </is>
      </c>
      <c r="D1282" s="45" t="inlineStr">
        <is>
          <t>7</t>
        </is>
      </c>
      <c r="E1282" s="45" t="inlineStr"/>
      <c r="F1282" s="45" t="inlineStr"/>
    </row>
    <row r="1283" ht="13" customHeight="1">
      <c r="A1283" s="49" t="inlineStr">
        <is>
          <t>10477</t>
        </is>
      </c>
      <c r="B1283" s="49" t="inlineStr">
        <is>
          <t>17448</t>
        </is>
      </c>
      <c r="C1283" s="49" t="inlineStr">
        <is>
          <t>2×2×2×3×727</t>
        </is>
      </c>
      <c r="D1283" s="49" t="inlineStr">
        <is>
          <t>2·3</t>
        </is>
      </c>
      <c r="E1283" s="49" t="inlineStr"/>
      <c r="F1283" s="49" t="inlineStr"/>
    </row>
    <row r="1284" ht="13" customHeight="1">
      <c r="A1284" s="45" t="inlineStr">
        <is>
          <t>10487</t>
        </is>
      </c>
      <c r="B1284" s="45" t="inlineStr">
        <is>
          <t>43583</t>
        </is>
      </c>
      <c r="C1284" s="45" t="inlineStr">
        <is>
          <t>41×1063</t>
        </is>
      </c>
      <c r="D1284" s="45" t="inlineStr">
        <is>
          <t>—</t>
        </is>
      </c>
      <c r="E1284" s="45" t="inlineStr"/>
      <c r="F1284" s="45" t="inlineStr"/>
    </row>
    <row r="1285" ht="13" customHeight="1">
      <c r="A1285" s="49" t="inlineStr">
        <is>
          <t>10499</t>
        </is>
      </c>
      <c r="B1285" s="49" t="inlineStr">
        <is>
          <t>14558</t>
        </is>
      </c>
      <c r="C1285" s="49" t="inlineStr">
        <is>
          <t>2×29×251</t>
        </is>
      </c>
      <c r="D1285" s="49" t="inlineStr">
        <is>
          <t>2</t>
        </is>
      </c>
      <c r="E1285" s="49" t="inlineStr"/>
      <c r="F1285" s="49" t="inlineStr"/>
    </row>
    <row r="1286" ht="13" customHeight="1">
      <c r="A1286" s="41" t="inlineStr">
        <is>
          <t>10501</t>
        </is>
      </c>
      <c r="B1286" s="41" t="inlineStr">
        <is>
          <t>247</t>
        </is>
      </c>
      <c r="C1286" s="41" t="inlineStr">
        <is>
          <t>13×19</t>
        </is>
      </c>
      <c r="D1286" s="41" t="inlineStr">
        <is>
          <t>13·19</t>
        </is>
      </c>
      <c r="E1286" s="41" t="inlineStr"/>
      <c r="F1286" s="41" t="inlineStr"/>
    </row>
    <row r="1287" ht="13" customHeight="1">
      <c r="A1287" s="50" t="inlineStr">
        <is>
          <t>10513</t>
        </is>
      </c>
      <c r="B1287" s="50" t="inlineStr">
        <is>
          <t>8969</t>
        </is>
      </c>
      <c r="C1287" s="50" t="inlineStr">
        <is>
          <t>8969</t>
        </is>
      </c>
      <c r="D1287" s="50" t="inlineStr">
        <is>
          <t>—</t>
        </is>
      </c>
      <c r="E1287" s="50" t="inlineStr"/>
      <c r="F1287" s="50" t="inlineStr"/>
    </row>
    <row r="1288" ht="13" customHeight="1">
      <c r="A1288" s="41" t="inlineStr">
        <is>
          <t>10529</t>
        </is>
      </c>
      <c r="B1288" s="41" t="inlineStr">
        <is>
          <t>3451</t>
        </is>
      </c>
      <c r="C1288" s="41" t="inlineStr">
        <is>
          <t>7×17×29</t>
        </is>
      </c>
      <c r="D1288" s="41" t="inlineStr">
        <is>
          <t>7·17</t>
        </is>
      </c>
      <c r="E1288" s="41" t="inlineStr"/>
      <c r="F1288" s="41" t="inlineStr"/>
    </row>
    <row r="1289" ht="13" customHeight="1">
      <c r="A1289" s="41" t="inlineStr">
        <is>
          <t>10531</t>
        </is>
      </c>
      <c r="B1289" s="41" t="inlineStr">
        <is>
          <t>3679</t>
        </is>
      </c>
      <c r="C1289" s="41" t="inlineStr">
        <is>
          <t>13×283</t>
        </is>
      </c>
      <c r="D1289" s="41" t="inlineStr">
        <is>
          <t>13</t>
        </is>
      </c>
      <c r="E1289" s="41" t="inlineStr"/>
      <c r="F1289" s="41" t="inlineStr"/>
    </row>
    <row r="1290" ht="13" customHeight="1">
      <c r="A1290" s="43" t="inlineStr">
        <is>
          <t>10559</t>
        </is>
      </c>
      <c r="B1290" s="43" t="inlineStr">
        <is>
          <t>31845</t>
        </is>
      </c>
      <c r="C1290" s="43" t="inlineStr">
        <is>
          <t>3×5×11×193</t>
        </is>
      </c>
      <c r="D1290" s="43" t="inlineStr">
        <is>
          <t>3·5·11</t>
        </is>
      </c>
      <c r="E1290" s="43" t="inlineStr"/>
      <c r="F1290" s="43" t="inlineStr"/>
    </row>
    <row r="1291" ht="13" customHeight="1">
      <c r="A1291" s="49" t="inlineStr">
        <is>
          <t>10567</t>
        </is>
      </c>
      <c r="B1291" s="49" t="inlineStr">
        <is>
          <t>32121</t>
        </is>
      </c>
      <c r="C1291" s="49" t="inlineStr">
        <is>
          <t>3×3×43×83</t>
        </is>
      </c>
      <c r="D1291" s="49" t="inlineStr">
        <is>
          <t>3</t>
        </is>
      </c>
      <c r="E1291" s="49" t="inlineStr"/>
      <c r="F1291" s="49" t="inlineStr"/>
    </row>
    <row r="1292" ht="13" customHeight="1">
      <c r="A1292" s="50" t="inlineStr">
        <is>
          <t>10589</t>
        </is>
      </c>
      <c r="B1292" s="50" t="inlineStr">
        <is>
          <t>2347</t>
        </is>
      </c>
      <c r="C1292" s="50" t="inlineStr">
        <is>
          <t>2347</t>
        </is>
      </c>
      <c r="D1292" s="50" t="inlineStr">
        <is>
          <t>—</t>
        </is>
      </c>
      <c r="E1292" s="50" t="inlineStr"/>
      <c r="F1292" s="50" t="inlineStr"/>
    </row>
    <row r="1293" ht="13" customHeight="1">
      <c r="A1293" s="43" t="inlineStr">
        <is>
          <t>10597</t>
        </is>
      </c>
      <c r="B1293" s="43" t="inlineStr">
        <is>
          <t>41382</t>
        </is>
      </c>
      <c r="C1293" s="43" t="inlineStr">
        <is>
          <t>2×3×3×11×11×19</t>
        </is>
      </c>
      <c r="D1293" s="43" t="inlineStr">
        <is>
          <t>2·3·11·19</t>
        </is>
      </c>
      <c r="E1293" s="43" t="inlineStr"/>
      <c r="F1293" s="43" t="inlineStr"/>
    </row>
    <row r="1294" ht="13" customHeight="1">
      <c r="A1294" s="43" t="inlineStr">
        <is>
          <t>10601</t>
        </is>
      </c>
      <c r="B1294" s="43" t="inlineStr">
        <is>
          <t>38434</t>
        </is>
      </c>
      <c r="C1294" s="43" t="inlineStr">
        <is>
          <t>2×11×1747</t>
        </is>
      </c>
      <c r="D1294" s="43" t="inlineStr">
        <is>
          <t>2·11</t>
        </is>
      </c>
      <c r="E1294" s="43" t="inlineStr"/>
      <c r="F1294" s="43" t="inlineStr"/>
    </row>
    <row r="1295" ht="13" customHeight="1">
      <c r="A1295" s="41" t="inlineStr">
        <is>
          <t>10607</t>
        </is>
      </c>
      <c r="B1295" s="41" t="inlineStr">
        <is>
          <t>10556</t>
        </is>
      </c>
      <c r="C1295" s="41" t="inlineStr">
        <is>
          <t>2×2×7×13×29</t>
        </is>
      </c>
      <c r="D1295" s="41" t="inlineStr">
        <is>
          <t>2·7·13</t>
        </is>
      </c>
      <c r="E1295" s="41" t="inlineStr"/>
      <c r="F1295" s="41" t="inlineStr"/>
    </row>
    <row r="1296" ht="13" customHeight="1">
      <c r="A1296" s="45" t="inlineStr">
        <is>
          <t>10613</t>
        </is>
      </c>
      <c r="B1296" s="45" t="inlineStr">
        <is>
          <t>26934</t>
        </is>
      </c>
      <c r="C1296" s="45" t="inlineStr">
        <is>
          <t>2×3×67×67</t>
        </is>
      </c>
      <c r="D1296" s="45" t="inlineStr">
        <is>
          <t>2·3</t>
        </is>
      </c>
      <c r="E1296" s="45" t="inlineStr"/>
      <c r="F1296" s="45" t="inlineStr"/>
    </row>
    <row r="1297" ht="13" customHeight="1">
      <c r="A1297" s="41" t="inlineStr">
        <is>
          <t>10627</t>
        </is>
      </c>
      <c r="B1297" s="41" t="inlineStr">
        <is>
          <t>26690</t>
        </is>
      </c>
      <c r="C1297" s="41" t="inlineStr">
        <is>
          <t>2×5×17×157</t>
        </is>
      </c>
      <c r="D1297" s="41" t="inlineStr">
        <is>
          <t>2·5·17</t>
        </is>
      </c>
      <c r="E1297" s="41" t="inlineStr"/>
      <c r="F1297" s="41" t="inlineStr"/>
    </row>
    <row r="1298" ht="13" customHeight="1">
      <c r="A1298" s="41" t="inlineStr">
        <is>
          <t>10631</t>
        </is>
      </c>
      <c r="B1298" s="41" t="inlineStr">
        <is>
          <t>29068</t>
        </is>
      </c>
      <c r="C1298" s="41" t="inlineStr">
        <is>
          <t>2×2×13×13×43</t>
        </is>
      </c>
      <c r="D1298" s="41" t="inlineStr">
        <is>
          <t>2·13</t>
        </is>
      </c>
      <c r="E1298" s="41" t="inlineStr"/>
      <c r="F1298" s="41" t="inlineStr"/>
    </row>
    <row r="1299" ht="13" customHeight="1">
      <c r="A1299" s="50" t="inlineStr">
        <is>
          <t>10639</t>
        </is>
      </c>
      <c r="B1299" s="50" t="inlineStr">
        <is>
          <t>30119</t>
        </is>
      </c>
      <c r="C1299" s="50" t="inlineStr">
        <is>
          <t>30119</t>
        </is>
      </c>
      <c r="D1299" s="50" t="inlineStr">
        <is>
          <t>—</t>
        </is>
      </c>
      <c r="E1299" s="50" t="inlineStr"/>
      <c r="F1299" s="50" t="inlineStr"/>
    </row>
    <row r="1300" ht="13" customHeight="1">
      <c r="A1300" s="45" t="inlineStr">
        <is>
          <t>10651</t>
        </is>
      </c>
      <c r="B1300" s="45" t="inlineStr">
        <is>
          <t>406</t>
        </is>
      </c>
      <c r="C1300" s="45" t="inlineStr">
        <is>
          <t>2×7×29</t>
        </is>
      </c>
      <c r="D1300" s="45" t="inlineStr">
        <is>
          <t>2·7</t>
        </is>
      </c>
      <c r="E1300" s="45" t="inlineStr"/>
      <c r="F1300" s="45" t="inlineStr"/>
    </row>
    <row r="1301" ht="13" customHeight="1">
      <c r="A1301" s="49" t="inlineStr">
        <is>
          <t>10657</t>
        </is>
      </c>
      <c r="B1301" s="49" t="inlineStr">
        <is>
          <t>13176</t>
        </is>
      </c>
      <c r="C1301" s="49" t="inlineStr">
        <is>
          <t>2×2×2×3×3×3×61</t>
        </is>
      </c>
      <c r="D1301" s="49" t="inlineStr">
        <is>
          <t>2·3</t>
        </is>
      </c>
      <c r="E1301" s="49" t="inlineStr"/>
      <c r="F1301" s="49" t="inlineStr"/>
    </row>
    <row r="1302" ht="13" customHeight="1">
      <c r="A1302" s="45" t="inlineStr">
        <is>
          <t>10663</t>
        </is>
      </c>
      <c r="B1302" s="45" t="inlineStr">
        <is>
          <t>12315</t>
        </is>
      </c>
      <c r="C1302" s="45" t="inlineStr">
        <is>
          <t>3×5×821</t>
        </is>
      </c>
      <c r="D1302" s="45" t="inlineStr">
        <is>
          <t>3·5</t>
        </is>
      </c>
      <c r="E1302" s="45" t="inlineStr"/>
      <c r="F1302" s="45" t="inlineStr"/>
    </row>
    <row r="1303" ht="13" customHeight="1">
      <c r="A1303" s="49" t="inlineStr">
        <is>
          <t>10667</t>
        </is>
      </c>
      <c r="B1303" s="49" t="inlineStr">
        <is>
          <t>36700</t>
        </is>
      </c>
      <c r="C1303" s="49" t="inlineStr">
        <is>
          <t>2×2×5×5×367</t>
        </is>
      </c>
      <c r="D1303" s="49" t="inlineStr">
        <is>
          <t>2·5</t>
        </is>
      </c>
      <c r="E1303" s="49" t="inlineStr"/>
      <c r="F1303" s="49" t="inlineStr"/>
    </row>
    <row r="1304" ht="13" customHeight="1">
      <c r="A1304" s="45" t="inlineStr">
        <is>
          <t>10687</t>
        </is>
      </c>
      <c r="B1304" s="45" t="inlineStr">
        <is>
          <t>33404</t>
        </is>
      </c>
      <c r="C1304" s="45" t="inlineStr">
        <is>
          <t>2×2×7×1193</t>
        </is>
      </c>
      <c r="D1304" s="45" t="inlineStr">
        <is>
          <t>2·7</t>
        </is>
      </c>
      <c r="E1304" s="45" t="inlineStr"/>
      <c r="F1304" s="45" t="inlineStr"/>
    </row>
    <row r="1305" ht="13" customHeight="1">
      <c r="A1305" s="49" t="inlineStr">
        <is>
          <t>10691</t>
        </is>
      </c>
      <c r="B1305" s="49" t="inlineStr">
        <is>
          <t>13925</t>
        </is>
      </c>
      <c r="C1305" s="49" t="inlineStr">
        <is>
          <t>5×5×557</t>
        </is>
      </c>
      <c r="D1305" s="49" t="inlineStr">
        <is>
          <t>5</t>
        </is>
      </c>
      <c r="E1305" s="49" t="inlineStr"/>
      <c r="F1305" s="49" t="inlineStr"/>
    </row>
    <row r="1306" ht="13" customHeight="1">
      <c r="A1306" s="50" t="inlineStr">
        <is>
          <t>10709</t>
        </is>
      </c>
      <c r="B1306" s="50" t="inlineStr">
        <is>
          <t>33181</t>
        </is>
      </c>
      <c r="C1306" s="50" t="inlineStr">
        <is>
          <t>33181</t>
        </is>
      </c>
      <c r="D1306" s="50" t="inlineStr">
        <is>
          <t>—</t>
        </is>
      </c>
      <c r="E1306" s="50" t="inlineStr"/>
      <c r="F1306" s="50" t="inlineStr"/>
    </row>
    <row r="1307" ht="13" customHeight="1">
      <c r="A1307" s="49" t="inlineStr">
        <is>
          <t>10711</t>
        </is>
      </c>
      <c r="B1307" s="49" t="inlineStr">
        <is>
          <t>10492</t>
        </is>
      </c>
      <c r="C1307" s="49" t="inlineStr">
        <is>
          <t>2×2×43×61</t>
        </is>
      </c>
      <c r="D1307" s="49" t="inlineStr">
        <is>
          <t>2</t>
        </is>
      </c>
      <c r="E1307" s="49" t="inlineStr"/>
      <c r="F1307" s="49" t="inlineStr"/>
    </row>
    <row r="1308" ht="13" customHeight="1">
      <c r="A1308" s="43" t="inlineStr">
        <is>
          <t>10723</t>
        </is>
      </c>
      <c r="B1308" s="43" t="inlineStr">
        <is>
          <t>17050</t>
        </is>
      </c>
      <c r="C1308" s="43" t="inlineStr">
        <is>
          <t>2×5×5×11×31</t>
        </is>
      </c>
      <c r="D1308" s="43" t="inlineStr">
        <is>
          <t>2·5·11</t>
        </is>
      </c>
      <c r="E1308" s="43" t="inlineStr"/>
      <c r="F1308" s="43" t="inlineStr"/>
    </row>
    <row r="1309" ht="13" customHeight="1">
      <c r="A1309" s="49" t="inlineStr">
        <is>
          <t>10729</t>
        </is>
      </c>
      <c r="B1309" s="49" t="inlineStr">
        <is>
          <t>36310</t>
        </is>
      </c>
      <c r="C1309" s="49" t="inlineStr">
        <is>
          <t>2×5×3631</t>
        </is>
      </c>
      <c r="D1309" s="49" t="inlineStr">
        <is>
          <t>2·5</t>
        </is>
      </c>
      <c r="E1309" s="49" t="inlineStr"/>
      <c r="F1309" s="49" t="inlineStr"/>
    </row>
    <row r="1310" ht="13" customHeight="1">
      <c r="A1310" s="41" t="inlineStr">
        <is>
          <t>10733</t>
        </is>
      </c>
      <c r="B1310" s="41" t="inlineStr">
        <is>
          <t>4953</t>
        </is>
      </c>
      <c r="C1310" s="41" t="inlineStr">
        <is>
          <t>3×13×127</t>
        </is>
      </c>
      <c r="D1310" s="41" t="inlineStr">
        <is>
          <t>3·13</t>
        </is>
      </c>
      <c r="E1310" s="41" t="inlineStr"/>
      <c r="F1310" s="41" t="inlineStr"/>
    </row>
    <row r="1311" ht="13" customHeight="1">
      <c r="A1311" s="50" t="inlineStr">
        <is>
          <t>10739</t>
        </is>
      </c>
      <c r="B1311" s="50" t="inlineStr">
        <is>
          <t>30133</t>
        </is>
      </c>
      <c r="C1311" s="50" t="inlineStr">
        <is>
          <t>30133</t>
        </is>
      </c>
      <c r="D1311" s="50" t="inlineStr">
        <is>
          <t>—</t>
        </is>
      </c>
      <c r="E1311" s="50" t="inlineStr"/>
      <c r="F1311" s="50" t="inlineStr"/>
    </row>
    <row r="1312" ht="13" customHeight="1">
      <c r="A1312" s="45" t="inlineStr">
        <is>
          <t>10753</t>
        </is>
      </c>
      <c r="B1312" s="45" t="inlineStr">
        <is>
          <t>22232</t>
        </is>
      </c>
      <c r="C1312" s="45" t="inlineStr">
        <is>
          <t>2×2×2×7×397</t>
        </is>
      </c>
      <c r="D1312" s="45" t="inlineStr">
        <is>
          <t>2·7</t>
        </is>
      </c>
      <c r="E1312" s="45" t="inlineStr"/>
      <c r="F1312" s="45" t="inlineStr"/>
    </row>
    <row r="1313" ht="13" customHeight="1">
      <c r="A1313" s="41" t="inlineStr">
        <is>
          <t>10771</t>
        </is>
      </c>
      <c r="B1313" s="41" t="inlineStr">
        <is>
          <t>11518</t>
        </is>
      </c>
      <c r="C1313" s="41" t="inlineStr">
        <is>
          <t>2×13×443</t>
        </is>
      </c>
      <c r="D1313" s="41" t="inlineStr">
        <is>
          <t>2·13</t>
        </is>
      </c>
      <c r="E1313" s="41" t="inlineStr"/>
      <c r="F1313" s="41" t="inlineStr"/>
    </row>
    <row r="1314" ht="13" customHeight="1">
      <c r="A1314" s="50" t="inlineStr">
        <is>
          <t>10781</t>
        </is>
      </c>
      <c r="B1314" s="50" t="inlineStr">
        <is>
          <t>43271</t>
        </is>
      </c>
      <c r="C1314" s="50" t="inlineStr">
        <is>
          <t>43271</t>
        </is>
      </c>
      <c r="D1314" s="50" t="inlineStr">
        <is>
          <t>—</t>
        </is>
      </c>
      <c r="E1314" s="50" t="inlineStr"/>
      <c r="F1314" s="50" t="inlineStr"/>
    </row>
    <row r="1315" ht="13" customHeight="1">
      <c r="A1315" s="49" t="inlineStr">
        <is>
          <t>10789</t>
        </is>
      </c>
      <c r="B1315" s="49" t="inlineStr">
        <is>
          <t>15646</t>
        </is>
      </c>
      <c r="C1315" s="49" t="inlineStr">
        <is>
          <t>2×7823</t>
        </is>
      </c>
      <c r="D1315" s="49" t="inlineStr">
        <is>
          <t>2</t>
        </is>
      </c>
      <c r="E1315" s="49" t="inlineStr"/>
      <c r="F1315" s="49" t="inlineStr"/>
    </row>
    <row r="1316" ht="13" customHeight="1">
      <c r="A1316" s="45" t="inlineStr">
        <is>
          <t>10799</t>
        </is>
      </c>
      <c r="B1316" s="45" t="inlineStr">
        <is>
          <t>34218</t>
        </is>
      </c>
      <c r="C1316" s="45" t="inlineStr">
        <is>
          <t>2×3×3×1901</t>
        </is>
      </c>
      <c r="D1316" s="45" t="inlineStr">
        <is>
          <t>2·3</t>
        </is>
      </c>
      <c r="E1316" s="45" t="inlineStr"/>
      <c r="F1316" s="45" t="inlineStr"/>
    </row>
    <row r="1317" ht="13" customHeight="1">
      <c r="A1317" s="43" t="inlineStr">
        <is>
          <t>10831</t>
        </is>
      </c>
      <c r="B1317" s="43" t="inlineStr">
        <is>
          <t>39820</t>
        </is>
      </c>
      <c r="C1317" s="43" t="inlineStr">
        <is>
          <t>2×2×5×11×181</t>
        </is>
      </c>
      <c r="D1317" s="43" t="inlineStr">
        <is>
          <t>2·5·11</t>
        </is>
      </c>
      <c r="E1317" s="43" t="inlineStr"/>
      <c r="F1317" s="43" t="inlineStr"/>
    </row>
    <row r="1318" ht="13" customHeight="1">
      <c r="A1318" s="45" t="inlineStr">
        <is>
          <t>10837</t>
        </is>
      </c>
      <c r="B1318" s="45" t="inlineStr">
        <is>
          <t>2989</t>
        </is>
      </c>
      <c r="C1318" s="45" t="inlineStr">
        <is>
          <t>7×7×61</t>
        </is>
      </c>
      <c r="D1318" s="45" t="inlineStr">
        <is>
          <t>7</t>
        </is>
      </c>
      <c r="E1318" s="45" t="inlineStr"/>
      <c r="F1318" s="45" t="inlineStr"/>
    </row>
    <row r="1319" ht="13" customHeight="1">
      <c r="A1319" s="50" t="inlineStr">
        <is>
          <t>10847</t>
        </is>
      </c>
      <c r="B1319" s="50" t="inlineStr">
        <is>
          <t>383</t>
        </is>
      </c>
      <c r="C1319" s="50" t="inlineStr">
        <is>
          <t>383</t>
        </is>
      </c>
      <c r="D1319" s="50" t="inlineStr">
        <is>
          <t>—</t>
        </is>
      </c>
      <c r="E1319" s="50" t="inlineStr"/>
      <c r="F1319" s="50" t="inlineStr"/>
    </row>
    <row r="1320" ht="13" customHeight="1">
      <c r="A1320" s="45" t="inlineStr">
        <is>
          <t>10853</t>
        </is>
      </c>
      <c r="B1320" s="45" t="inlineStr">
        <is>
          <t>19126</t>
        </is>
      </c>
      <c r="C1320" s="45" t="inlineStr">
        <is>
          <t>2×73×131</t>
        </is>
      </c>
      <c r="D1320" s="45" t="inlineStr">
        <is>
          <t>2</t>
        </is>
      </c>
      <c r="E1320" s="45" t="inlineStr"/>
      <c r="F1320" s="45" t="inlineStr"/>
    </row>
    <row r="1321" ht="13" customHeight="1">
      <c r="A1321" s="49" t="inlineStr">
        <is>
          <t>10859</t>
        </is>
      </c>
      <c r="B1321" s="49" t="inlineStr">
        <is>
          <t>2712</t>
        </is>
      </c>
      <c r="C1321" s="49" t="inlineStr">
        <is>
          <t>2×2×2×3×113</t>
        </is>
      </c>
      <c r="D1321" s="49" t="inlineStr">
        <is>
          <t>2·3</t>
        </is>
      </c>
      <c r="E1321" s="49" t="inlineStr"/>
      <c r="F1321" s="49" t="inlineStr"/>
    </row>
    <row r="1322" ht="13" customHeight="1">
      <c r="A1322" s="45" t="inlineStr">
        <is>
          <t>10861</t>
        </is>
      </c>
      <c r="B1322" s="45" t="inlineStr">
        <is>
          <t>17060</t>
        </is>
      </c>
      <c r="C1322" s="45" t="inlineStr">
        <is>
          <t>2×2×5×853</t>
        </is>
      </c>
      <c r="D1322" s="45" t="inlineStr">
        <is>
          <t>2·5</t>
        </is>
      </c>
      <c r="E1322" s="45" t="inlineStr"/>
      <c r="F1322" s="45" t="inlineStr"/>
    </row>
    <row r="1323" ht="13" customHeight="1">
      <c r="A1323" s="51" t="inlineStr">
        <is>
          <t>10867</t>
        </is>
      </c>
      <c r="B1323" s="51" t="inlineStr">
        <is>
          <t>7087</t>
        </is>
      </c>
      <c r="C1323" s="51" t="inlineStr">
        <is>
          <t>19×373</t>
        </is>
      </c>
      <c r="D1323" s="51" t="inlineStr">
        <is>
          <t>19</t>
        </is>
      </c>
      <c r="E1323" s="51" t="inlineStr"/>
      <c r="F1323" s="51" t="inlineStr"/>
    </row>
    <row r="1324" ht="13" customHeight="1">
      <c r="A1324" s="43" t="inlineStr">
        <is>
          <t>10883</t>
        </is>
      </c>
      <c r="B1324" s="43" t="inlineStr">
        <is>
          <t>42933</t>
        </is>
      </c>
      <c r="C1324" s="43" t="inlineStr">
        <is>
          <t>3×11×1301</t>
        </is>
      </c>
      <c r="D1324" s="43" t="inlineStr">
        <is>
          <t>3·11</t>
        </is>
      </c>
      <c r="E1324" s="43" t="inlineStr"/>
      <c r="F1324" s="43" t="inlineStr"/>
    </row>
    <row r="1325" ht="13" customHeight="1">
      <c r="A1325" s="49" t="inlineStr">
        <is>
          <t>10889</t>
        </is>
      </c>
      <c r="B1325" s="49" t="inlineStr">
        <is>
          <t>7544</t>
        </is>
      </c>
      <c r="C1325" s="49" t="inlineStr">
        <is>
          <t>2×2×2×23×41</t>
        </is>
      </c>
      <c r="D1325" s="49" t="inlineStr">
        <is>
          <t>2</t>
        </is>
      </c>
      <c r="E1325" s="49" t="inlineStr"/>
      <c r="F1325" s="49" t="inlineStr"/>
    </row>
    <row r="1326" ht="13" customHeight="1">
      <c r="A1326" s="45" t="inlineStr">
        <is>
          <t>10891</t>
        </is>
      </c>
      <c r="B1326" s="45" t="inlineStr">
        <is>
          <t>38226</t>
        </is>
      </c>
      <c r="C1326" s="45" t="inlineStr">
        <is>
          <t>2×3×23×277</t>
        </is>
      </c>
      <c r="D1326" s="45" t="inlineStr">
        <is>
          <t>2·3</t>
        </is>
      </c>
      <c r="E1326" s="45" t="inlineStr"/>
      <c r="F1326" s="45" t="inlineStr"/>
    </row>
    <row r="1327" ht="13" customHeight="1">
      <c r="A1327" s="41" t="inlineStr">
        <is>
          <t>10903</t>
        </is>
      </c>
      <c r="B1327" s="41" t="inlineStr">
        <is>
          <t>6461</t>
        </is>
      </c>
      <c r="C1327" s="41" t="inlineStr">
        <is>
          <t>7×13×71</t>
        </is>
      </c>
      <c r="D1327" s="41" t="inlineStr">
        <is>
          <t>7·13</t>
        </is>
      </c>
      <c r="E1327" s="41" t="inlineStr"/>
      <c r="F1327" s="41" t="inlineStr"/>
    </row>
    <row r="1328" ht="13" customHeight="1">
      <c r="A1328" s="45" t="inlineStr">
        <is>
          <t>10909</t>
        </is>
      </c>
      <c r="B1328" s="45" t="inlineStr">
        <is>
          <t>12723</t>
        </is>
      </c>
      <c r="C1328" s="45" t="inlineStr">
        <is>
          <t>3×4241</t>
        </is>
      </c>
      <c r="D1328" s="45" t="inlineStr">
        <is>
          <t>3</t>
        </is>
      </c>
      <c r="E1328" s="45" t="inlineStr"/>
      <c r="F1328" s="45" t="inlineStr"/>
    </row>
    <row r="1329" ht="13" customHeight="1">
      <c r="A1329" s="49" t="inlineStr">
        <is>
          <t>10937</t>
        </is>
      </c>
      <c r="B1329" s="49" t="inlineStr">
        <is>
          <t>404</t>
        </is>
      </c>
      <c r="C1329" s="49" t="inlineStr">
        <is>
          <t>2×2×101</t>
        </is>
      </c>
      <c r="D1329" s="49" t="inlineStr">
        <is>
          <t>2</t>
        </is>
      </c>
      <c r="E1329" s="49" t="inlineStr"/>
      <c r="F1329" s="49" t="inlineStr"/>
    </row>
    <row r="1330" ht="13" customHeight="1">
      <c r="A1330" s="51" t="inlineStr">
        <is>
          <t>10939</t>
        </is>
      </c>
      <c r="B1330" s="51" t="inlineStr">
        <is>
          <t>29526</t>
        </is>
      </c>
      <c r="C1330" s="51" t="inlineStr">
        <is>
          <t>2×3×7×19×37</t>
        </is>
      </c>
      <c r="D1330" s="51" t="inlineStr">
        <is>
          <t>2·3·7·19</t>
        </is>
      </c>
      <c r="E1330" s="51" t="inlineStr"/>
      <c r="F1330" s="51" t="inlineStr"/>
    </row>
    <row r="1331" ht="13" customHeight="1">
      <c r="A1331" s="49" t="inlineStr">
        <is>
          <t>10949</t>
        </is>
      </c>
      <c r="B1331" s="49" t="inlineStr">
        <is>
          <t>26742</t>
        </is>
      </c>
      <c r="C1331" s="49" t="inlineStr">
        <is>
          <t>2×3×4457</t>
        </is>
      </c>
      <c r="D1331" s="49" t="inlineStr">
        <is>
          <t>2·3</t>
        </is>
      </c>
      <c r="E1331" s="49" t="inlineStr"/>
      <c r="F1331" s="49" t="inlineStr"/>
    </row>
    <row r="1332" ht="13" customHeight="1">
      <c r="A1332" s="45" t="inlineStr">
        <is>
          <t>10957</t>
        </is>
      </c>
      <c r="B1332" s="45" t="inlineStr">
        <is>
          <t>39818</t>
        </is>
      </c>
      <c r="C1332" s="45" t="inlineStr">
        <is>
          <t>2×43×463</t>
        </is>
      </c>
      <c r="D1332" s="45" t="inlineStr">
        <is>
          <t>2</t>
        </is>
      </c>
      <c r="E1332" s="45" t="inlineStr"/>
      <c r="F1332" s="45" t="inlineStr"/>
    </row>
    <row r="1333" ht="13" customHeight="1">
      <c r="A1333" s="49" t="inlineStr">
        <is>
          <t>10973</t>
        </is>
      </c>
      <c r="B1333" s="49" t="inlineStr">
        <is>
          <t>24810</t>
        </is>
      </c>
      <c r="C1333" s="49" t="inlineStr">
        <is>
          <t>2×3×5×827</t>
        </is>
      </c>
      <c r="D1333" s="49" t="inlineStr">
        <is>
          <t>2·3·5</t>
        </is>
      </c>
      <c r="E1333" s="49" t="inlineStr"/>
      <c r="F1333" s="49" t="inlineStr"/>
    </row>
    <row r="1334" ht="13" customHeight="1">
      <c r="A1334" s="45" t="inlineStr">
        <is>
          <t>10979</t>
        </is>
      </c>
      <c r="B1334" s="45" t="inlineStr">
        <is>
          <t>34236</t>
        </is>
      </c>
      <c r="C1334" s="45" t="inlineStr">
        <is>
          <t>2×2×3×3×3×317</t>
        </is>
      </c>
      <c r="D1334" s="45" t="inlineStr">
        <is>
          <t>2·3</t>
        </is>
      </c>
      <c r="E1334" s="45" t="inlineStr"/>
      <c r="F1334" s="45" t="inlineStr"/>
    </row>
    <row r="1335" ht="13" customHeight="1">
      <c r="A1335" s="49" t="inlineStr">
        <is>
          <t>10987</t>
        </is>
      </c>
      <c r="B1335" s="49" t="inlineStr">
        <is>
          <t>22030</t>
        </is>
      </c>
      <c r="C1335" s="49" t="inlineStr">
        <is>
          <t>2×5×2203</t>
        </is>
      </c>
      <c r="D1335" s="49" t="inlineStr">
        <is>
          <t>2·5</t>
        </is>
      </c>
      <c r="E1335" s="49" t="inlineStr"/>
      <c r="F1335" s="49" t="inlineStr"/>
    </row>
    <row r="1336" ht="13" customHeight="1">
      <c r="A1336" s="51" t="inlineStr">
        <is>
          <t>10993</t>
        </is>
      </c>
      <c r="B1336" s="51" t="inlineStr">
        <is>
          <t>24814</t>
        </is>
      </c>
      <c r="C1336" s="51" t="inlineStr">
        <is>
          <t>2×19×653</t>
        </is>
      </c>
      <c r="D1336" s="51" t="inlineStr">
        <is>
          <t>2·19</t>
        </is>
      </c>
      <c r="E1336" s="51" t="inlineStr"/>
      <c r="F1336" s="51" t="inlineStr"/>
    </row>
    <row r="1337" ht="13" customHeight="1">
      <c r="A1337" s="41" t="inlineStr">
        <is>
          <t>11003</t>
        </is>
      </c>
      <c r="B1337" s="41" t="inlineStr">
        <is>
          <t>15742</t>
        </is>
      </c>
      <c r="C1337" s="41" t="inlineStr">
        <is>
          <t>2×17×463</t>
        </is>
      </c>
      <c r="D1337" s="41" t="inlineStr">
        <is>
          <t>2·17</t>
        </is>
      </c>
      <c r="E1337" s="41" t="inlineStr"/>
      <c r="F1337" s="41" t="inlineStr"/>
    </row>
    <row r="1338" ht="13" customHeight="1">
      <c r="A1338" s="45" t="inlineStr">
        <is>
          <t>11027</t>
        </is>
      </c>
      <c r="B1338" s="45" t="inlineStr">
        <is>
          <t>21465</t>
        </is>
      </c>
      <c r="C1338" s="45" t="inlineStr">
        <is>
          <t>3×3×3×3×5×53</t>
        </is>
      </c>
      <c r="D1338" s="45" t="inlineStr">
        <is>
          <t>3·5</t>
        </is>
      </c>
      <c r="E1338" s="45" t="inlineStr"/>
      <c r="F1338" s="45" t="inlineStr"/>
    </row>
    <row r="1339" ht="13" customHeight="1">
      <c r="A1339" s="41" t="inlineStr">
        <is>
          <t>11047</t>
        </is>
      </c>
      <c r="B1339" s="41" t="inlineStr">
        <is>
          <t>42224</t>
        </is>
      </c>
      <c r="C1339" s="41" t="inlineStr">
        <is>
          <t>2×2×2×2×7×13×29</t>
        </is>
      </c>
      <c r="D1339" s="41" t="inlineStr">
        <is>
          <t>2·7·13</t>
        </is>
      </c>
      <c r="E1339" s="41" t="inlineStr"/>
      <c r="F1339" s="41" t="inlineStr"/>
    </row>
    <row r="1340" ht="13" customHeight="1">
      <c r="A1340" s="45" t="inlineStr">
        <is>
          <t>11057</t>
        </is>
      </c>
      <c r="B1340" s="45" t="inlineStr">
        <is>
          <t>8488</t>
        </is>
      </c>
      <c r="C1340" s="45" t="inlineStr">
        <is>
          <t>2×2×2×1061</t>
        </is>
      </c>
      <c r="D1340" s="45" t="inlineStr">
        <is>
          <t>2</t>
        </is>
      </c>
      <c r="E1340" s="45" t="inlineStr"/>
      <c r="F1340" s="45" t="inlineStr"/>
    </row>
    <row r="1341" ht="13" customHeight="1">
      <c r="A1341" s="49" t="inlineStr">
        <is>
          <t>11059</t>
        </is>
      </c>
      <c r="B1341" s="49" t="inlineStr">
        <is>
          <t>32517</t>
        </is>
      </c>
      <c r="C1341" s="49" t="inlineStr">
        <is>
          <t>3×3×3613</t>
        </is>
      </c>
      <c r="D1341" s="49" t="inlineStr">
        <is>
          <t>3</t>
        </is>
      </c>
      <c r="E1341" s="49" t="inlineStr"/>
      <c r="F1341" s="49" t="inlineStr"/>
    </row>
    <row r="1342" ht="13" customHeight="1">
      <c r="A1342" s="51" t="inlineStr">
        <is>
          <t>11069</t>
        </is>
      </c>
      <c r="B1342" s="51" t="inlineStr">
        <is>
          <t>18050</t>
        </is>
      </c>
      <c r="C1342" s="51" t="inlineStr">
        <is>
          <t>2×5×5×19×19</t>
        </is>
      </c>
      <c r="D1342" s="51" t="inlineStr">
        <is>
          <t>2·5·19</t>
        </is>
      </c>
      <c r="E1342" s="51" t="inlineStr"/>
      <c r="F1342" s="51" t="inlineStr"/>
    </row>
    <row r="1343" ht="13" customHeight="1">
      <c r="A1343" s="49" t="inlineStr">
        <is>
          <t>11071</t>
        </is>
      </c>
      <c r="B1343" s="49" t="inlineStr">
        <is>
          <t>29673</t>
        </is>
      </c>
      <c r="C1343" s="49" t="inlineStr">
        <is>
          <t>3×3×3×7×157</t>
        </is>
      </c>
      <c r="D1343" s="49" t="inlineStr">
        <is>
          <t>3·7</t>
        </is>
      </c>
      <c r="E1343" s="49" t="inlineStr"/>
      <c r="F1343" s="49" t="inlineStr"/>
    </row>
    <row r="1344" ht="13" customHeight="1">
      <c r="A1344" s="43" t="inlineStr">
        <is>
          <t>11083</t>
        </is>
      </c>
      <c r="B1344" s="43" t="inlineStr">
        <is>
          <t>10934</t>
        </is>
      </c>
      <c r="C1344" s="43" t="inlineStr">
        <is>
          <t>2×7×11×71</t>
        </is>
      </c>
      <c r="D1344" s="43" t="inlineStr">
        <is>
          <t>2·7·11</t>
        </is>
      </c>
      <c r="E1344" s="43" t="inlineStr"/>
      <c r="F1344" s="43" t="inlineStr"/>
    </row>
    <row r="1345" ht="13" customHeight="1">
      <c r="A1345" s="49" t="inlineStr">
        <is>
          <t>11087</t>
        </is>
      </c>
      <c r="B1345" s="49" t="inlineStr">
        <is>
          <t>18218</t>
        </is>
      </c>
      <c r="C1345" s="49" t="inlineStr">
        <is>
          <t>2×9109</t>
        </is>
      </c>
      <c r="D1345" s="49" t="inlineStr">
        <is>
          <t>2</t>
        </is>
      </c>
      <c r="E1345" s="49" t="inlineStr"/>
      <c r="F1345" s="49" t="inlineStr"/>
    </row>
    <row r="1346" ht="13" customHeight="1">
      <c r="A1346" s="45" t="inlineStr">
        <is>
          <t>11093</t>
        </is>
      </c>
      <c r="B1346" s="45" t="inlineStr">
        <is>
          <t>19120</t>
        </is>
      </c>
      <c r="C1346" s="45" t="inlineStr">
        <is>
          <t>2×2×2×2×5×239</t>
        </is>
      </c>
      <c r="D1346" s="45" t="inlineStr">
        <is>
          <t>2·5</t>
        </is>
      </c>
      <c r="E1346" s="45" t="inlineStr"/>
      <c r="F1346" s="45" t="inlineStr"/>
    </row>
    <row r="1347" ht="13" customHeight="1">
      <c r="A1347" s="43" t="inlineStr">
        <is>
          <t>11113</t>
        </is>
      </c>
      <c r="B1347" s="43" t="inlineStr">
        <is>
          <t>25421</t>
        </is>
      </c>
      <c r="C1347" s="43" t="inlineStr">
        <is>
          <t>11×2311</t>
        </is>
      </c>
      <c r="D1347" s="43" t="inlineStr">
        <is>
          <t>11</t>
        </is>
      </c>
      <c r="E1347" s="43" t="inlineStr"/>
      <c r="F1347" s="43" t="inlineStr"/>
    </row>
    <row r="1348" ht="13" customHeight="1">
      <c r="A1348" s="45" t="inlineStr">
        <is>
          <t>11117</t>
        </is>
      </c>
      <c r="B1348" s="45" t="inlineStr">
        <is>
          <t>10585</t>
        </is>
      </c>
      <c r="C1348" s="45" t="inlineStr">
        <is>
          <t>5×29×73</t>
        </is>
      </c>
      <c r="D1348" s="45" t="inlineStr">
        <is>
          <t>5</t>
        </is>
      </c>
      <c r="E1348" s="45" t="inlineStr"/>
      <c r="F1348" s="45" t="inlineStr"/>
    </row>
    <row r="1349" ht="13" customHeight="1">
      <c r="A1349" s="49" t="inlineStr">
        <is>
          <t>11119</t>
        </is>
      </c>
      <c r="B1349" s="49" t="inlineStr">
        <is>
          <t>31598</t>
        </is>
      </c>
      <c r="C1349" s="49" t="inlineStr">
        <is>
          <t>2×7×37×61</t>
        </is>
      </c>
      <c r="D1349" s="49" t="inlineStr">
        <is>
          <t>2·7</t>
        </is>
      </c>
      <c r="E1349" s="49" t="inlineStr"/>
      <c r="F1349" s="49" t="inlineStr"/>
    </row>
    <row r="1350" ht="13" customHeight="1">
      <c r="A1350" s="45" t="inlineStr">
        <is>
          <t>11131</t>
        </is>
      </c>
      <c r="B1350" s="45" t="inlineStr">
        <is>
          <t>28469</t>
        </is>
      </c>
      <c r="C1350" s="45" t="inlineStr">
        <is>
          <t>7×7×7×83</t>
        </is>
      </c>
      <c r="D1350" s="45" t="inlineStr">
        <is>
          <t>7</t>
        </is>
      </c>
      <c r="E1350" s="45" t="inlineStr"/>
      <c r="F1350" s="45" t="inlineStr"/>
    </row>
    <row r="1351" ht="13" customHeight="1">
      <c r="A1351" s="51" t="inlineStr">
        <is>
          <t>11149</t>
        </is>
      </c>
      <c r="B1351" s="51" t="inlineStr">
        <is>
          <t>11799</t>
        </is>
      </c>
      <c r="C1351" s="51" t="inlineStr">
        <is>
          <t>3×3×3×19×23</t>
        </is>
      </c>
      <c r="D1351" s="51" t="inlineStr">
        <is>
          <t>3·19</t>
        </is>
      </c>
      <c r="E1351" s="51" t="inlineStr"/>
      <c r="F1351" s="51" t="inlineStr"/>
    </row>
    <row r="1352" ht="13" customHeight="1">
      <c r="A1352" s="45" t="inlineStr">
        <is>
          <t>11159</t>
        </is>
      </c>
      <c r="B1352" s="45" t="inlineStr">
        <is>
          <t>21772</t>
        </is>
      </c>
      <c r="C1352" s="45" t="inlineStr">
        <is>
          <t>2×2×5443</t>
        </is>
      </c>
      <c r="D1352" s="45" t="inlineStr">
        <is>
          <t>2</t>
        </is>
      </c>
      <c r="E1352" s="45" t="inlineStr"/>
      <c r="F1352" s="45" t="inlineStr"/>
    </row>
    <row r="1353" ht="13" customHeight="1">
      <c r="A1353" s="49" t="inlineStr">
        <is>
          <t>11161</t>
        </is>
      </c>
      <c r="B1353" s="49" t="inlineStr">
        <is>
          <t>37008</t>
        </is>
      </c>
      <c r="C1353" s="49" t="inlineStr">
        <is>
          <t>2×2×2×2×3×3×257</t>
        </is>
      </c>
      <c r="D1353" s="49" t="inlineStr">
        <is>
          <t>2·3</t>
        </is>
      </c>
      <c r="E1353" s="49" t="inlineStr"/>
      <c r="F1353" s="49" t="inlineStr"/>
    </row>
    <row r="1354" ht="13" customHeight="1">
      <c r="A1354" s="45" t="inlineStr">
        <is>
          <t>11171</t>
        </is>
      </c>
      <c r="B1354" s="45" t="inlineStr">
        <is>
          <t>2815</t>
        </is>
      </c>
      <c r="C1354" s="45" t="inlineStr">
        <is>
          <t>5×563</t>
        </is>
      </c>
      <c r="D1354" s="45" t="inlineStr">
        <is>
          <t>5</t>
        </is>
      </c>
      <c r="E1354" s="45" t="inlineStr"/>
      <c r="F1354" s="45" t="inlineStr"/>
    </row>
    <row r="1355" ht="13" customHeight="1">
      <c r="A1355" s="49" t="inlineStr">
        <is>
          <t>11173</t>
        </is>
      </c>
      <c r="B1355" s="49" t="inlineStr">
        <is>
          <t>25407</t>
        </is>
      </c>
      <c r="C1355" s="49" t="inlineStr">
        <is>
          <t>3×3×3×941</t>
        </is>
      </c>
      <c r="D1355" s="49" t="inlineStr">
        <is>
          <t>3</t>
        </is>
      </c>
      <c r="E1355" s="49" t="inlineStr"/>
      <c r="F1355" s="49" t="inlineStr"/>
    </row>
    <row r="1356" ht="13" customHeight="1">
      <c r="A1356" s="45" t="inlineStr">
        <is>
          <t>11177</t>
        </is>
      </c>
      <c r="B1356" s="45" t="inlineStr">
        <is>
          <t>18630</t>
        </is>
      </c>
      <c r="C1356" s="45" t="inlineStr">
        <is>
          <t>2×3×3×3×3×5×23</t>
        </is>
      </c>
      <c r="D1356" s="45" t="inlineStr">
        <is>
          <t>2·3·5</t>
        </is>
      </c>
      <c r="E1356" s="45" t="inlineStr"/>
      <c r="F1356" s="45" t="inlineStr"/>
    </row>
    <row r="1357" ht="13" customHeight="1">
      <c r="A1357" s="49" t="inlineStr">
        <is>
          <t>11197</t>
        </is>
      </c>
      <c r="B1357" s="49" t="inlineStr">
        <is>
          <t>29877</t>
        </is>
      </c>
      <c r="C1357" s="49" t="inlineStr">
        <is>
          <t>3×23×433</t>
        </is>
      </c>
      <c r="D1357" s="49" t="inlineStr">
        <is>
          <t>3</t>
        </is>
      </c>
      <c r="E1357" s="49" t="inlineStr"/>
      <c r="F1357" s="49" t="inlineStr"/>
    </row>
    <row r="1358" ht="13" customHeight="1">
      <c r="A1358" s="45" t="inlineStr">
        <is>
          <t>11213</t>
        </is>
      </c>
      <c r="B1358" s="45" t="inlineStr">
        <is>
          <t>31998</t>
        </is>
      </c>
      <c r="C1358" s="45" t="inlineStr">
        <is>
          <t>2×3×5333</t>
        </is>
      </c>
      <c r="D1358" s="45" t="inlineStr">
        <is>
          <t>2·3</t>
        </is>
      </c>
      <c r="E1358" s="45" t="inlineStr"/>
      <c r="F1358" s="45" t="inlineStr"/>
    </row>
    <row r="1359" ht="13" customHeight="1">
      <c r="A1359" s="49" t="inlineStr">
        <is>
          <t>11239</t>
        </is>
      </c>
      <c r="B1359" s="49" t="inlineStr">
        <is>
          <t>42629</t>
        </is>
      </c>
      <c r="C1359" s="49" t="inlineStr">
        <is>
          <t>47×907</t>
        </is>
      </c>
      <c r="D1359" s="49" t="inlineStr">
        <is>
          <t>—</t>
        </is>
      </c>
      <c r="E1359" s="49" t="inlineStr"/>
      <c r="F1359" s="49" t="inlineStr"/>
    </row>
    <row r="1360" ht="13" customHeight="1">
      <c r="A1360" s="45" t="inlineStr">
        <is>
          <t>11243</t>
        </is>
      </c>
      <c r="B1360" s="45" t="inlineStr">
        <is>
          <t>10078</t>
        </is>
      </c>
      <c r="C1360" s="45" t="inlineStr">
        <is>
          <t>2×5039</t>
        </is>
      </c>
      <c r="D1360" s="45" t="inlineStr">
        <is>
          <t>2</t>
        </is>
      </c>
      <c r="E1360" s="45" t="inlineStr"/>
      <c r="F1360" s="45" t="inlineStr"/>
    </row>
    <row r="1361" ht="13" customHeight="1">
      <c r="A1361" s="49" t="inlineStr">
        <is>
          <t>11251</t>
        </is>
      </c>
      <c r="B1361" s="49" t="inlineStr">
        <is>
          <t>32748</t>
        </is>
      </c>
      <c r="C1361" s="49" t="inlineStr">
        <is>
          <t>2×2×3×2729</t>
        </is>
      </c>
      <c r="D1361" s="49" t="inlineStr">
        <is>
          <t>2·3</t>
        </is>
      </c>
      <c r="E1361" s="49" t="inlineStr"/>
      <c r="F1361" s="49" t="inlineStr"/>
    </row>
    <row r="1362" ht="13" customHeight="1">
      <c r="A1362" s="45" t="inlineStr">
        <is>
          <t>11257</t>
        </is>
      </c>
      <c r="B1362" s="45" t="inlineStr">
        <is>
          <t>9846</t>
        </is>
      </c>
      <c r="C1362" s="45" t="inlineStr">
        <is>
          <t>2×3×3×547</t>
        </is>
      </c>
      <c r="D1362" s="45" t="inlineStr">
        <is>
          <t>2·3</t>
        </is>
      </c>
      <c r="E1362" s="45" t="inlineStr"/>
      <c r="F1362" s="45" t="inlineStr"/>
    </row>
    <row r="1363" ht="13" customHeight="1">
      <c r="A1363" s="43" t="inlineStr">
        <is>
          <t>11261</t>
        </is>
      </c>
      <c r="B1363" s="43" t="inlineStr">
        <is>
          <t>28523</t>
        </is>
      </c>
      <c r="C1363" s="43" t="inlineStr">
        <is>
          <t>11×2593</t>
        </is>
      </c>
      <c r="D1363" s="43" t="inlineStr">
        <is>
          <t>11</t>
        </is>
      </c>
      <c r="E1363" s="43" t="inlineStr"/>
      <c r="F1363" s="43" t="inlineStr"/>
    </row>
    <row r="1364" ht="13" customHeight="1">
      <c r="A1364" s="45" t="inlineStr">
        <is>
          <t>11273</t>
        </is>
      </c>
      <c r="B1364" s="45" t="inlineStr">
        <is>
          <t>15303</t>
        </is>
      </c>
      <c r="C1364" s="45" t="inlineStr">
        <is>
          <t>3×5101</t>
        </is>
      </c>
      <c r="D1364" s="45" t="inlineStr">
        <is>
          <t>3</t>
        </is>
      </c>
      <c r="E1364" s="45" t="inlineStr"/>
      <c r="F1364" s="45" t="inlineStr"/>
    </row>
    <row r="1365" ht="13" customHeight="1">
      <c r="A1365" s="41" t="inlineStr">
        <is>
          <t>11279</t>
        </is>
      </c>
      <c r="B1365" s="41" t="inlineStr">
        <is>
          <t>20358</t>
        </is>
      </c>
      <c r="C1365" s="41" t="inlineStr">
        <is>
          <t>2×3×3×3×13×29</t>
        </is>
      </c>
      <c r="D1365" s="41" t="inlineStr">
        <is>
          <t>2·3·13</t>
        </is>
      </c>
      <c r="E1365" s="41" t="inlineStr"/>
      <c r="F1365" s="41" t="inlineStr"/>
    </row>
    <row r="1366" ht="13" customHeight="1">
      <c r="A1366" s="45" t="inlineStr">
        <is>
          <t>11287</t>
        </is>
      </c>
      <c r="B1366" s="45" t="inlineStr">
        <is>
          <t>35784</t>
        </is>
      </c>
      <c r="C1366" s="45" t="inlineStr">
        <is>
          <t>2×2×2×3×3×7×71</t>
        </is>
      </c>
      <c r="D1366" s="45" t="inlineStr">
        <is>
          <t>2·3·7</t>
        </is>
      </c>
      <c r="E1366" s="45" t="inlineStr"/>
      <c r="F1366" s="45" t="inlineStr"/>
    </row>
    <row r="1367" ht="13" customHeight="1">
      <c r="A1367" s="50" t="inlineStr">
        <is>
          <t>11299</t>
        </is>
      </c>
      <c r="B1367" s="50" t="inlineStr">
        <is>
          <t>26387</t>
        </is>
      </c>
      <c r="C1367" s="50" t="inlineStr">
        <is>
          <t>26387</t>
        </is>
      </c>
      <c r="D1367" s="50" t="inlineStr">
        <is>
          <t>—</t>
        </is>
      </c>
      <c r="E1367" s="50" t="inlineStr"/>
      <c r="F1367" s="50" t="inlineStr"/>
    </row>
    <row r="1368" ht="13" customHeight="1">
      <c r="A1368" s="45" t="inlineStr">
        <is>
          <t>11311</t>
        </is>
      </c>
      <c r="B1368" s="45" t="inlineStr">
        <is>
          <t>23918</t>
        </is>
      </c>
      <c r="C1368" s="45" t="inlineStr">
        <is>
          <t>2×11959</t>
        </is>
      </c>
      <c r="D1368" s="45" t="inlineStr">
        <is>
          <t>2</t>
        </is>
      </c>
      <c r="E1368" s="45" t="inlineStr"/>
      <c r="F1368" s="45" t="inlineStr"/>
    </row>
    <row r="1369" ht="13" customHeight="1">
      <c r="A1369" s="49" t="inlineStr">
        <is>
          <t>11317</t>
        </is>
      </c>
      <c r="B1369" s="49" t="inlineStr">
        <is>
          <t>8013</t>
        </is>
      </c>
      <c r="C1369" s="49" t="inlineStr">
        <is>
          <t>3×2671</t>
        </is>
      </c>
      <c r="D1369" s="49" t="inlineStr">
        <is>
          <t>3</t>
        </is>
      </c>
      <c r="E1369" s="49" t="inlineStr"/>
      <c r="F1369" s="49" t="inlineStr"/>
    </row>
    <row r="1370" ht="13" customHeight="1">
      <c r="A1370" s="45" t="inlineStr">
        <is>
          <t>11321</t>
        </is>
      </c>
      <c r="B1370" s="45" t="inlineStr">
        <is>
          <t>34740</t>
        </is>
      </c>
      <c r="C1370" s="45" t="inlineStr">
        <is>
          <t>2×2×3×3×5×193</t>
        </is>
      </c>
      <c r="D1370" s="45" t="inlineStr">
        <is>
          <t>2·3·5</t>
        </is>
      </c>
      <c r="E1370" s="45" t="inlineStr"/>
      <c r="F1370" s="45" t="inlineStr"/>
    </row>
    <row r="1371" ht="13" customHeight="1">
      <c r="A1371" s="49" t="inlineStr">
        <is>
          <t>11329</t>
        </is>
      </c>
      <c r="B1371" s="49" t="inlineStr">
        <is>
          <t>31456</t>
        </is>
      </c>
      <c r="C1371" s="49" t="inlineStr">
        <is>
          <t>2×2×2×2×2×983</t>
        </is>
      </c>
      <c r="D1371" s="49" t="inlineStr">
        <is>
          <t>2</t>
        </is>
      </c>
      <c r="E1371" s="49" t="inlineStr"/>
      <c r="F1371" s="49" t="inlineStr"/>
    </row>
    <row r="1372" ht="13" customHeight="1">
      <c r="A1372" s="45" t="inlineStr">
        <is>
          <t>11351</t>
        </is>
      </c>
      <c r="B1372" s="45" t="inlineStr">
        <is>
          <t>8604</t>
        </is>
      </c>
      <c r="C1372" s="45" t="inlineStr">
        <is>
          <t>2×2×3×3×239</t>
        </is>
      </c>
      <c r="D1372" s="45" t="inlineStr">
        <is>
          <t>2·3</t>
        </is>
      </c>
      <c r="E1372" s="45" t="inlineStr"/>
      <c r="F1372" s="45" t="inlineStr"/>
    </row>
    <row r="1373" ht="13" customHeight="1">
      <c r="A1373" s="49" t="inlineStr">
        <is>
          <t>11353</t>
        </is>
      </c>
      <c r="B1373" s="49" t="inlineStr">
        <is>
          <t>28958</t>
        </is>
      </c>
      <c r="C1373" s="49" t="inlineStr">
        <is>
          <t>2×14479</t>
        </is>
      </c>
      <c r="D1373" s="49" t="inlineStr">
        <is>
          <t>2</t>
        </is>
      </c>
      <c r="E1373" s="49" t="inlineStr"/>
      <c r="F1373" s="49" t="inlineStr"/>
    </row>
    <row r="1374" ht="13" customHeight="1">
      <c r="A1374" s="41" t="inlineStr">
        <is>
          <t>11369</t>
        </is>
      </c>
      <c r="B1374" s="41" t="inlineStr">
        <is>
          <t>18564</t>
        </is>
      </c>
      <c r="C1374" s="41" t="inlineStr">
        <is>
          <t>2×2×3×7×13×17</t>
        </is>
      </c>
      <c r="D1374" s="41" t="inlineStr">
        <is>
          <t>2·3·7·13·17</t>
        </is>
      </c>
      <c r="E1374" s="41" t="inlineStr"/>
      <c r="F1374" s="41" t="inlineStr"/>
    </row>
    <row r="1375" ht="13" customHeight="1">
      <c r="A1375" s="43" t="inlineStr">
        <is>
          <t>11383</t>
        </is>
      </c>
      <c r="B1375" s="43" t="inlineStr">
        <is>
          <t>30690</t>
        </is>
      </c>
      <c r="C1375" s="43" t="inlineStr">
        <is>
          <t>2×3×3×5×11×31</t>
        </is>
      </c>
      <c r="D1375" s="43" t="inlineStr">
        <is>
          <t>2·3·5·11</t>
        </is>
      </c>
      <c r="E1375" s="43" t="inlineStr"/>
      <c r="F1375" s="43" t="inlineStr"/>
    </row>
    <row r="1376" ht="13" customHeight="1">
      <c r="A1376" s="45" t="inlineStr">
        <is>
          <t>11393</t>
        </is>
      </c>
      <c r="B1376" s="45" t="inlineStr">
        <is>
          <t>32092</t>
        </is>
      </c>
      <c r="C1376" s="45" t="inlineStr">
        <is>
          <t>2×2×71×113</t>
        </is>
      </c>
      <c r="D1376" s="45" t="inlineStr">
        <is>
          <t>2</t>
        </is>
      </c>
      <c r="E1376" s="45" t="inlineStr"/>
      <c r="F1376" s="45" t="inlineStr"/>
    </row>
    <row r="1377" ht="13" customHeight="1">
      <c r="A1377" s="49" t="inlineStr">
        <is>
          <t>11399</t>
        </is>
      </c>
      <c r="B1377" s="49" t="inlineStr">
        <is>
          <t>28583</t>
        </is>
      </c>
      <c r="C1377" s="49" t="inlineStr">
        <is>
          <t>101×283</t>
        </is>
      </c>
      <c r="D1377" s="49" t="inlineStr">
        <is>
          <t>—</t>
        </is>
      </c>
      <c r="E1377" s="49" t="inlineStr"/>
      <c r="F1377" s="49" t="inlineStr"/>
    </row>
    <row r="1378" ht="13" customHeight="1">
      <c r="A1378" s="39" t="inlineStr">
        <is>
          <t>11411</t>
        </is>
      </c>
      <c r="B1378" s="39" t="inlineStr">
        <is>
          <t>42336</t>
        </is>
      </c>
      <c r="C1378" s="39" t="inlineStr">
        <is>
          <t>2×2×2×2×2×3×3×3×7×7</t>
        </is>
      </c>
      <c r="D1378" s="39" t="inlineStr">
        <is>
          <t>2·3·7</t>
        </is>
      </c>
      <c r="E1378" s="39" t="inlineStr"/>
      <c r="F1378" s="39" t="inlineStr"/>
    </row>
    <row r="1379" ht="13" customHeight="1">
      <c r="A1379" s="49" t="inlineStr">
        <is>
          <t>11423</t>
        </is>
      </c>
      <c r="B1379" s="49" t="inlineStr">
        <is>
          <t>39934</t>
        </is>
      </c>
      <c r="C1379" s="49" t="inlineStr">
        <is>
          <t>2×41×487</t>
        </is>
      </c>
      <c r="D1379" s="49" t="inlineStr">
        <is>
          <t>2</t>
        </is>
      </c>
      <c r="E1379" s="49" t="inlineStr"/>
      <c r="F1379" s="49" t="inlineStr"/>
    </row>
    <row r="1380" ht="13" customHeight="1">
      <c r="A1380" s="41" t="inlineStr">
        <is>
          <t>11437</t>
        </is>
      </c>
      <c r="B1380" s="41" t="inlineStr">
        <is>
          <t>40053</t>
        </is>
      </c>
      <c r="C1380" s="41" t="inlineStr">
        <is>
          <t>3×13×13×79</t>
        </is>
      </c>
      <c r="D1380" s="41" t="inlineStr">
        <is>
          <t>3·13</t>
        </is>
      </c>
      <c r="E1380" s="41" t="inlineStr"/>
      <c r="F1380" s="41" t="inlineStr"/>
    </row>
    <row r="1381" ht="13" customHeight="1">
      <c r="A1381" s="41" t="inlineStr">
        <is>
          <t>11443</t>
        </is>
      </c>
      <c r="B1381" s="41" t="inlineStr">
        <is>
          <t>39442</t>
        </is>
      </c>
      <c r="C1381" s="41" t="inlineStr">
        <is>
          <t>2×13×37×41</t>
        </is>
      </c>
      <c r="D1381" s="41" t="inlineStr">
        <is>
          <t>2·13</t>
        </is>
      </c>
      <c r="E1381" s="41" t="inlineStr"/>
      <c r="F1381" s="41" t="inlineStr"/>
    </row>
    <row r="1382" ht="13" customHeight="1">
      <c r="A1382" s="50" t="inlineStr">
        <is>
          <t>11447</t>
        </is>
      </c>
      <c r="B1382" s="50" t="inlineStr">
        <is>
          <t>3793</t>
        </is>
      </c>
      <c r="C1382" s="50" t="inlineStr">
        <is>
          <t>3793</t>
        </is>
      </c>
      <c r="D1382" s="50" t="inlineStr">
        <is>
          <t>—</t>
        </is>
      </c>
      <c r="E1382" s="50" t="inlineStr"/>
      <c r="F1382" s="50" t="inlineStr"/>
    </row>
    <row r="1383" ht="13" customHeight="1">
      <c r="A1383" s="41" t="inlineStr">
        <is>
          <t>11467</t>
        </is>
      </c>
      <c r="B1383" s="41" t="inlineStr">
        <is>
          <t>39247</t>
        </is>
      </c>
      <c r="C1383" s="41" t="inlineStr">
        <is>
          <t>13×3019</t>
        </is>
      </c>
      <c r="D1383" s="41" t="inlineStr">
        <is>
          <t>13</t>
        </is>
      </c>
      <c r="E1383" s="41" t="inlineStr"/>
      <c r="F1383" s="41" t="inlineStr"/>
    </row>
    <row r="1384" ht="13" customHeight="1">
      <c r="A1384" s="43" t="inlineStr">
        <is>
          <t>11471</t>
        </is>
      </c>
      <c r="B1384" s="43" t="inlineStr">
        <is>
          <t>24519</t>
        </is>
      </c>
      <c r="C1384" s="43" t="inlineStr">
        <is>
          <t>3×11×743</t>
        </is>
      </c>
      <c r="D1384" s="43" t="inlineStr">
        <is>
          <t>3·11</t>
        </is>
      </c>
      <c r="E1384" s="43" t="inlineStr"/>
      <c r="F1384" s="43" t="inlineStr"/>
    </row>
    <row r="1385" ht="13" customHeight="1">
      <c r="A1385" s="49" t="inlineStr">
        <is>
          <t>11483</t>
        </is>
      </c>
      <c r="B1385" s="49" t="inlineStr">
        <is>
          <t>3483</t>
        </is>
      </c>
      <c r="C1385" s="49" t="inlineStr">
        <is>
          <t>3×3×3×3×43</t>
        </is>
      </c>
      <c r="D1385" s="49" t="inlineStr">
        <is>
          <t>3</t>
        </is>
      </c>
      <c r="E1385" s="49" t="inlineStr"/>
      <c r="F1385" s="49" t="inlineStr"/>
    </row>
    <row r="1386" ht="13" customHeight="1">
      <c r="A1386" s="50" t="inlineStr">
        <is>
          <t>11489</t>
        </is>
      </c>
      <c r="B1386" s="50" t="inlineStr">
        <is>
          <t>17027</t>
        </is>
      </c>
      <c r="C1386" s="50" t="inlineStr">
        <is>
          <t>17027</t>
        </is>
      </c>
      <c r="D1386" s="50" t="inlineStr">
        <is>
          <t>—</t>
        </is>
      </c>
      <c r="E1386" s="50" t="inlineStr"/>
      <c r="F1386" s="50" t="inlineStr"/>
    </row>
    <row r="1387" ht="13" customHeight="1">
      <c r="A1387" s="49" t="inlineStr">
        <is>
          <t>11491</t>
        </is>
      </c>
      <c r="B1387" s="49" t="inlineStr">
        <is>
          <t>25645</t>
        </is>
      </c>
      <c r="C1387" s="49" t="inlineStr">
        <is>
          <t>5×23×223</t>
        </is>
      </c>
      <c r="D1387" s="49" t="inlineStr">
        <is>
          <t>5</t>
        </is>
      </c>
      <c r="E1387" s="49" t="inlineStr"/>
      <c r="F1387" s="49" t="inlineStr"/>
    </row>
    <row r="1388" ht="13" customHeight="1">
      <c r="A1388" s="45" t="inlineStr">
        <is>
          <t>11497</t>
        </is>
      </c>
      <c r="B1388" s="45" t="inlineStr">
        <is>
          <t>42265</t>
        </is>
      </c>
      <c r="C1388" s="45" t="inlineStr">
        <is>
          <t>5×79×107</t>
        </is>
      </c>
      <c r="D1388" s="45" t="inlineStr">
        <is>
          <t>5</t>
        </is>
      </c>
      <c r="E1388" s="45" t="inlineStr"/>
      <c r="F1388" s="45" t="inlineStr"/>
    </row>
    <row r="1389" ht="13" customHeight="1">
      <c r="A1389" s="49" t="inlineStr">
        <is>
          <t>11503</t>
        </is>
      </c>
      <c r="B1389" s="49" t="inlineStr">
        <is>
          <t>8897</t>
        </is>
      </c>
      <c r="C1389" s="49" t="inlineStr">
        <is>
          <t>7×31×41</t>
        </is>
      </c>
      <c r="D1389" s="49" t="inlineStr">
        <is>
          <t>7</t>
        </is>
      </c>
      <c r="E1389" s="49" t="inlineStr"/>
      <c r="F1389" s="49" t="inlineStr"/>
    </row>
    <row r="1390" ht="13" customHeight="1">
      <c r="A1390" s="51" t="inlineStr">
        <is>
          <t>11519</t>
        </is>
      </c>
      <c r="B1390" s="51" t="inlineStr">
        <is>
          <t>29735</t>
        </is>
      </c>
      <c r="C1390" s="51" t="inlineStr">
        <is>
          <t>5×19×313</t>
        </is>
      </c>
      <c r="D1390" s="51" t="inlineStr">
        <is>
          <t>5·19</t>
        </is>
      </c>
      <c r="E1390" s="51" t="inlineStr"/>
      <c r="F1390" s="51" t="inlineStr"/>
    </row>
    <row r="1391" ht="13" customHeight="1">
      <c r="A1391" s="49" t="inlineStr">
        <is>
          <t>11527</t>
        </is>
      </c>
      <c r="B1391" s="49" t="inlineStr">
        <is>
          <t>19538</t>
        </is>
      </c>
      <c r="C1391" s="49" t="inlineStr">
        <is>
          <t>2×9769</t>
        </is>
      </c>
      <c r="D1391" s="49" t="inlineStr">
        <is>
          <t>2</t>
        </is>
      </c>
      <c r="E1391" s="49" t="inlineStr"/>
      <c r="F1391" s="49" t="inlineStr"/>
    </row>
    <row r="1392" ht="13" customHeight="1">
      <c r="A1392" s="45" t="inlineStr">
        <is>
          <t>11549</t>
        </is>
      </c>
      <c r="B1392" s="45" t="inlineStr">
        <is>
          <t>31402</t>
        </is>
      </c>
      <c r="C1392" s="45" t="inlineStr">
        <is>
          <t>2×7×2243</t>
        </is>
      </c>
      <c r="D1392" s="45" t="inlineStr">
        <is>
          <t>2·7</t>
        </is>
      </c>
      <c r="E1392" s="45" t="inlineStr"/>
      <c r="F1392" s="45" t="inlineStr"/>
    </row>
    <row r="1393" ht="13" customHeight="1">
      <c r="A1393" s="49" t="inlineStr">
        <is>
          <t>11551</t>
        </is>
      </c>
      <c r="B1393" s="49" t="inlineStr">
        <is>
          <t>27327</t>
        </is>
      </c>
      <c r="C1393" s="49" t="inlineStr">
        <is>
          <t>3×9109</t>
        </is>
      </c>
      <c r="D1393" s="49" t="inlineStr">
        <is>
          <t>3</t>
        </is>
      </c>
      <c r="E1393" s="49" t="inlineStr"/>
      <c r="F1393" s="49" t="inlineStr"/>
    </row>
    <row r="1394" ht="13" customHeight="1">
      <c r="A1394" s="45" t="inlineStr">
        <is>
          <t>11579</t>
        </is>
      </c>
      <c r="B1394" s="45" t="inlineStr">
        <is>
          <t>7456</t>
        </is>
      </c>
      <c r="C1394" s="45" t="inlineStr">
        <is>
          <t>2×2×2×2×2×233</t>
        </is>
      </c>
      <c r="D1394" s="45" t="inlineStr">
        <is>
          <t>2</t>
        </is>
      </c>
      <c r="E1394" s="45" t="inlineStr"/>
      <c r="F1394" s="45" t="inlineStr"/>
    </row>
    <row r="1395" ht="13" customHeight="1">
      <c r="A1395" s="49" t="inlineStr">
        <is>
          <t>11587</t>
        </is>
      </c>
      <c r="B1395" s="49" t="inlineStr">
        <is>
          <t>41892</t>
        </is>
      </c>
      <c r="C1395" s="49" t="inlineStr">
        <is>
          <t>2×2×3×3491</t>
        </is>
      </c>
      <c r="D1395" s="49" t="inlineStr">
        <is>
          <t>2·3</t>
        </is>
      </c>
      <c r="E1395" s="49" t="inlineStr"/>
      <c r="F1395" s="49" t="inlineStr"/>
    </row>
    <row r="1396" ht="13" customHeight="1">
      <c r="A1396" s="45" t="inlineStr">
        <is>
          <t>11593</t>
        </is>
      </c>
      <c r="B1396" s="45" t="inlineStr">
        <is>
          <t>33729</t>
        </is>
      </c>
      <c r="C1396" s="45" t="inlineStr">
        <is>
          <t>3×11243</t>
        </is>
      </c>
      <c r="D1396" s="45" t="inlineStr">
        <is>
          <t>3</t>
        </is>
      </c>
      <c r="E1396" s="45" t="inlineStr"/>
      <c r="F1396" s="45" t="inlineStr"/>
    </row>
    <row r="1397" ht="13" customHeight="1">
      <c r="A1397" s="43" t="inlineStr">
        <is>
          <t>11597</t>
        </is>
      </c>
      <c r="B1397" s="43" t="inlineStr">
        <is>
          <t>23639</t>
        </is>
      </c>
      <c r="C1397" s="43" t="inlineStr">
        <is>
          <t>7×11×307</t>
        </is>
      </c>
      <c r="D1397" s="43" t="inlineStr">
        <is>
          <t>7·11</t>
        </is>
      </c>
      <c r="E1397" s="43" t="inlineStr"/>
      <c r="F1397" s="43" t="inlineStr"/>
    </row>
    <row r="1398" ht="13" customHeight="1">
      <c r="A1398" s="45" t="inlineStr">
        <is>
          <t>11617</t>
        </is>
      </c>
      <c r="B1398" s="45" t="inlineStr">
        <is>
          <t>32847</t>
        </is>
      </c>
      <c r="C1398" s="45" t="inlineStr">
        <is>
          <t>3×10949</t>
        </is>
      </c>
      <c r="D1398" s="45" t="inlineStr">
        <is>
          <t>3</t>
        </is>
      </c>
      <c r="E1398" s="45" t="inlineStr"/>
      <c r="F1398" s="45" t="inlineStr"/>
    </row>
    <row r="1399" ht="13" customHeight="1">
      <c r="A1399" s="49" t="inlineStr">
        <is>
          <t>11621</t>
        </is>
      </c>
      <c r="B1399" s="49" t="inlineStr">
        <is>
          <t>9193</t>
        </is>
      </c>
      <c r="C1399" s="49" t="inlineStr">
        <is>
          <t>29×317</t>
        </is>
      </c>
      <c r="D1399" s="49" t="inlineStr">
        <is>
          <t>—</t>
        </is>
      </c>
      <c r="E1399" s="49" t="inlineStr"/>
      <c r="F1399" s="49" t="inlineStr"/>
    </row>
    <row r="1400" ht="13" customHeight="1">
      <c r="A1400" s="41" t="inlineStr">
        <is>
          <t>11633</t>
        </is>
      </c>
      <c r="B1400" s="41" t="inlineStr">
        <is>
          <t>26724</t>
        </is>
      </c>
      <c r="C1400" s="41" t="inlineStr">
        <is>
          <t>2×2×3×17×131</t>
        </is>
      </c>
      <c r="D1400" s="41" t="inlineStr">
        <is>
          <t>2·3·17</t>
        </is>
      </c>
      <c r="E1400" s="41" t="inlineStr"/>
      <c r="F1400" s="41" t="inlineStr"/>
    </row>
    <row r="1401" ht="13" customHeight="1">
      <c r="A1401" s="49" t="inlineStr">
        <is>
          <t>11657</t>
        </is>
      </c>
      <c r="B1401" s="49" t="inlineStr">
        <is>
          <t>26008</t>
        </is>
      </c>
      <c r="C1401" s="49" t="inlineStr">
        <is>
          <t>2×2×2×3251</t>
        </is>
      </c>
      <c r="D1401" s="49" t="inlineStr">
        <is>
          <t>2</t>
        </is>
      </c>
      <c r="E1401" s="49" t="inlineStr"/>
      <c r="F1401" s="49" t="inlineStr"/>
    </row>
    <row r="1402" ht="13" customHeight="1">
      <c r="A1402" s="39" t="inlineStr">
        <is>
          <t>11677</t>
        </is>
      </c>
      <c r="B1402" s="39" t="inlineStr">
        <is>
          <t>43008</t>
        </is>
      </c>
      <c r="C1402" s="39" t="inlineStr">
        <is>
          <t>2×2×2×2×2×2×2×2×2×2×2×3×7</t>
        </is>
      </c>
      <c r="D1402" s="39" t="inlineStr">
        <is>
          <t>2·3·7</t>
        </is>
      </c>
      <c r="E1402" s="39" t="inlineStr"/>
      <c r="F1402" s="39" t="inlineStr"/>
    </row>
    <row r="1403" ht="13" customHeight="1">
      <c r="A1403" s="41" t="inlineStr">
        <is>
          <t>11681</t>
        </is>
      </c>
      <c r="B1403" s="41" t="inlineStr">
        <is>
          <t>2912</t>
        </is>
      </c>
      <c r="C1403" s="41" t="inlineStr">
        <is>
          <t>2×2×2×2×2×7×13</t>
        </is>
      </c>
      <c r="D1403" s="41" t="inlineStr">
        <is>
          <t>2·7·13</t>
        </is>
      </c>
      <c r="E1403" s="41" t="inlineStr"/>
      <c r="F1403" s="41" t="inlineStr"/>
    </row>
    <row r="1404" ht="13" customHeight="1">
      <c r="A1404" s="45" t="inlineStr">
        <is>
          <t>11689</t>
        </is>
      </c>
      <c r="B1404" s="45" t="inlineStr">
        <is>
          <t>36297</t>
        </is>
      </c>
      <c r="C1404" s="45" t="inlineStr">
        <is>
          <t>3×3×37×109</t>
        </is>
      </c>
      <c r="D1404" s="45" t="inlineStr">
        <is>
          <t>3</t>
        </is>
      </c>
      <c r="E1404" s="45" t="inlineStr"/>
      <c r="F1404" s="45" t="inlineStr"/>
    </row>
    <row r="1405" ht="13" customHeight="1">
      <c r="A1405" s="43" t="inlineStr">
        <is>
          <t>11699</t>
        </is>
      </c>
      <c r="B1405" s="43" t="inlineStr">
        <is>
          <t>32813</t>
        </is>
      </c>
      <c r="C1405" s="43" t="inlineStr">
        <is>
          <t>11×19×157</t>
        </is>
      </c>
      <c r="D1405" s="43" t="inlineStr">
        <is>
          <t>11·19</t>
        </is>
      </c>
      <c r="E1405" s="43" t="inlineStr"/>
      <c r="F1405" s="43" t="inlineStr"/>
    </row>
    <row r="1406" ht="13" customHeight="1">
      <c r="A1406" s="41" t="inlineStr">
        <is>
          <t>11701</t>
        </is>
      </c>
      <c r="B1406" s="41" t="inlineStr">
        <is>
          <t>25298</t>
        </is>
      </c>
      <c r="C1406" s="41" t="inlineStr">
        <is>
          <t>2×7×13×139</t>
        </is>
      </c>
      <c r="D1406" s="41" t="inlineStr">
        <is>
          <t>2·7·13</t>
        </is>
      </c>
      <c r="E1406" s="41" t="inlineStr"/>
      <c r="F1406" s="41" t="inlineStr"/>
    </row>
    <row r="1407" ht="13" customHeight="1">
      <c r="A1407" s="49" t="inlineStr">
        <is>
          <t>11717</t>
        </is>
      </c>
      <c r="B1407" s="49" t="inlineStr">
        <is>
          <t>2059</t>
        </is>
      </c>
      <c r="C1407" s="49" t="inlineStr">
        <is>
          <t>29×71</t>
        </is>
      </c>
      <c r="D1407" s="49" t="inlineStr">
        <is>
          <t>—</t>
        </is>
      </c>
      <c r="E1407" s="49" t="inlineStr"/>
      <c r="F1407" s="49" t="inlineStr"/>
    </row>
    <row r="1408" ht="13" customHeight="1">
      <c r="A1408" s="45" t="inlineStr">
        <is>
          <t>11719</t>
        </is>
      </c>
      <c r="B1408" s="45" t="inlineStr">
        <is>
          <t>24448</t>
        </is>
      </c>
      <c r="C1408" s="45" t="inlineStr">
        <is>
          <t>2×2×2×2×2×2×2×191</t>
        </is>
      </c>
      <c r="D1408" s="45" t="inlineStr">
        <is>
          <t>2</t>
        </is>
      </c>
      <c r="E1408" s="45" t="inlineStr"/>
      <c r="F1408" s="45" t="inlineStr"/>
    </row>
    <row r="1409" ht="13" customHeight="1">
      <c r="A1409" s="49" t="inlineStr">
        <is>
          <t>11731</t>
        </is>
      </c>
      <c r="B1409" s="49" t="inlineStr">
        <is>
          <t>8490</t>
        </is>
      </c>
      <c r="C1409" s="49" t="inlineStr">
        <is>
          <t>2×3×5×283</t>
        </is>
      </c>
      <c r="D1409" s="49" t="inlineStr">
        <is>
          <t>2·3·5</t>
        </is>
      </c>
      <c r="E1409" s="49" t="inlineStr"/>
      <c r="F1409" s="49" t="inlineStr"/>
    </row>
    <row r="1410" ht="13" customHeight="1">
      <c r="A1410" s="41" t="inlineStr">
        <is>
          <t>11743</t>
        </is>
      </c>
      <c r="B1410" s="41" t="inlineStr">
        <is>
          <t>42466</t>
        </is>
      </c>
      <c r="C1410" s="41" t="inlineStr">
        <is>
          <t>2×17×1249</t>
        </is>
      </c>
      <c r="D1410" s="41" t="inlineStr">
        <is>
          <t>2·17</t>
        </is>
      </c>
      <c r="E1410" s="41" t="inlineStr"/>
      <c r="F1410" s="41" t="inlineStr"/>
    </row>
    <row r="1411" ht="13" customHeight="1">
      <c r="A1411" s="43" t="inlineStr">
        <is>
          <t>11777</t>
        </is>
      </c>
      <c r="B1411" s="43" t="inlineStr">
        <is>
          <t>18040</t>
        </is>
      </c>
      <c r="C1411" s="43" t="inlineStr">
        <is>
          <t>2×2×2×5×11×41</t>
        </is>
      </c>
      <c r="D1411" s="43" t="inlineStr">
        <is>
          <t>2·5·11</t>
        </is>
      </c>
      <c r="E1411" s="43" t="inlineStr"/>
      <c r="F1411" s="43" t="inlineStr"/>
    </row>
    <row r="1412" ht="13" customHeight="1">
      <c r="A1412" s="41" t="inlineStr">
        <is>
          <t>11779</t>
        </is>
      </c>
      <c r="B1412" s="41" t="inlineStr">
        <is>
          <t>30838</t>
        </is>
      </c>
      <c r="C1412" s="41" t="inlineStr">
        <is>
          <t>2×17×907</t>
        </is>
      </c>
      <c r="D1412" s="41" t="inlineStr">
        <is>
          <t>2·17</t>
        </is>
      </c>
      <c r="E1412" s="41" t="inlineStr"/>
      <c r="F1412" s="41" t="inlineStr"/>
    </row>
    <row r="1413" ht="13" customHeight="1">
      <c r="A1413" s="41" t="inlineStr">
        <is>
          <t>11783</t>
        </is>
      </c>
      <c r="B1413" s="41" t="inlineStr">
        <is>
          <t>29699</t>
        </is>
      </c>
      <c r="C1413" s="41" t="inlineStr">
        <is>
          <t>17×1747</t>
        </is>
      </c>
      <c r="D1413" s="41" t="inlineStr">
        <is>
          <t>17</t>
        </is>
      </c>
      <c r="E1413" s="41" t="inlineStr"/>
      <c r="F1413" s="41" t="inlineStr"/>
    </row>
    <row r="1414" ht="13" customHeight="1">
      <c r="A1414" s="50" t="inlineStr">
        <is>
          <t>11789</t>
        </is>
      </c>
      <c r="B1414" s="50" t="inlineStr">
        <is>
          <t>2521</t>
        </is>
      </c>
      <c r="C1414" s="50" t="inlineStr">
        <is>
          <t>2521</t>
        </is>
      </c>
      <c r="D1414" s="50" t="inlineStr">
        <is>
          <t>—</t>
        </is>
      </c>
      <c r="E1414" s="50" t="inlineStr"/>
      <c r="F1414" s="50" t="inlineStr"/>
    </row>
    <row r="1415" ht="13" customHeight="1">
      <c r="A1415" s="43" t="inlineStr">
        <is>
          <t>11801</t>
        </is>
      </c>
      <c r="B1415" s="43" t="inlineStr">
        <is>
          <t>19360</t>
        </is>
      </c>
      <c r="C1415" s="43" t="inlineStr">
        <is>
          <t>2×2×2×2×2×5×11×11</t>
        </is>
      </c>
      <c r="D1415" s="43" t="inlineStr">
        <is>
          <t>2·5·11</t>
        </is>
      </c>
      <c r="E1415" s="43" t="inlineStr"/>
      <c r="F1415" s="43" t="inlineStr"/>
    </row>
    <row r="1416" ht="13" customHeight="1">
      <c r="A1416" s="45" t="inlineStr">
        <is>
          <t>11807</t>
        </is>
      </c>
      <c r="B1416" s="45" t="inlineStr">
        <is>
          <t>20190</t>
        </is>
      </c>
      <c r="C1416" s="45" t="inlineStr">
        <is>
          <t>2×3×5×673</t>
        </is>
      </c>
      <c r="D1416" s="45" t="inlineStr">
        <is>
          <t>2·3·5</t>
        </is>
      </c>
      <c r="E1416" s="45" t="inlineStr"/>
      <c r="F1416" s="45" t="inlineStr"/>
    </row>
    <row r="1417" ht="13" customHeight="1">
      <c r="A1417" s="49" t="inlineStr">
        <is>
          <t>11813</t>
        </is>
      </c>
      <c r="B1417" s="49" t="inlineStr">
        <is>
          <t>27745</t>
        </is>
      </c>
      <c r="C1417" s="49" t="inlineStr">
        <is>
          <t>5×31×179</t>
        </is>
      </c>
      <c r="D1417" s="49" t="inlineStr">
        <is>
          <t>5</t>
        </is>
      </c>
      <c r="E1417" s="49" t="inlineStr"/>
      <c r="F1417" s="49" t="inlineStr"/>
    </row>
    <row r="1418" ht="13" customHeight="1">
      <c r="A1418" s="50" t="inlineStr">
        <is>
          <t>11821</t>
        </is>
      </c>
      <c r="B1418" s="50" t="inlineStr">
        <is>
          <t>23747</t>
        </is>
      </c>
      <c r="C1418" s="50" t="inlineStr">
        <is>
          <t>23747</t>
        </is>
      </c>
      <c r="D1418" s="50" t="inlineStr">
        <is>
          <t>—</t>
        </is>
      </c>
      <c r="E1418" s="50" t="inlineStr"/>
      <c r="F1418" s="50" t="inlineStr"/>
    </row>
    <row r="1419" ht="13" customHeight="1">
      <c r="A1419" s="50" t="inlineStr">
        <is>
          <t>11827</t>
        </is>
      </c>
      <c r="B1419" s="50" t="inlineStr">
        <is>
          <t>29921</t>
        </is>
      </c>
      <c r="C1419" s="50" t="inlineStr">
        <is>
          <t>29921</t>
        </is>
      </c>
      <c r="D1419" s="50" t="inlineStr">
        <is>
          <t>—</t>
        </is>
      </c>
      <c r="E1419" s="50" t="inlineStr"/>
      <c r="F1419" s="50" t="inlineStr"/>
    </row>
    <row r="1420" ht="13" customHeight="1">
      <c r="A1420" s="41" t="inlineStr">
        <is>
          <t>11831</t>
        </is>
      </c>
      <c r="B1420" s="41" t="inlineStr">
        <is>
          <t>13975</t>
        </is>
      </c>
      <c r="C1420" s="41" t="inlineStr">
        <is>
          <t>5×5×13×43</t>
        </is>
      </c>
      <c r="D1420" s="41" t="inlineStr">
        <is>
          <t>5·13</t>
        </is>
      </c>
      <c r="E1420" s="41" t="inlineStr"/>
      <c r="F1420" s="41" t="inlineStr"/>
    </row>
    <row r="1421" ht="13" customHeight="1">
      <c r="A1421" s="49" t="inlineStr">
        <is>
          <t>11833</t>
        </is>
      </c>
      <c r="B1421" s="49" t="inlineStr">
        <is>
          <t>42587</t>
        </is>
      </c>
      <c r="C1421" s="49" t="inlineStr">
        <is>
          <t>37×1151</t>
        </is>
      </c>
      <c r="D1421" s="49" t="inlineStr">
        <is>
          <t>—</t>
        </is>
      </c>
      <c r="E1421" s="49" t="inlineStr"/>
      <c r="F1421" s="49" t="inlineStr"/>
    </row>
    <row r="1422" ht="13" customHeight="1">
      <c r="A1422" s="45" t="inlineStr">
        <is>
          <t>11839</t>
        </is>
      </c>
      <c r="B1422" s="45" t="inlineStr">
        <is>
          <t>18052</t>
        </is>
      </c>
      <c r="C1422" s="45" t="inlineStr">
        <is>
          <t>2×2×4513</t>
        </is>
      </c>
      <c r="D1422" s="45" t="inlineStr">
        <is>
          <t>2</t>
        </is>
      </c>
      <c r="E1422" s="45" t="inlineStr"/>
      <c r="F1422" s="45" t="inlineStr"/>
    </row>
    <row r="1423" ht="13" customHeight="1">
      <c r="A1423" s="43" t="inlineStr">
        <is>
          <t>11863</t>
        </is>
      </c>
      <c r="B1423" s="43" t="inlineStr">
        <is>
          <t>22770</t>
        </is>
      </c>
      <c r="C1423" s="43" t="inlineStr">
        <is>
          <t>2×3×3×5×11×23</t>
        </is>
      </c>
      <c r="D1423" s="43" t="inlineStr">
        <is>
          <t>2·3·5·11</t>
        </is>
      </c>
      <c r="E1423" s="43" t="inlineStr"/>
      <c r="F1423" s="43" t="inlineStr"/>
    </row>
    <row r="1424" ht="13" customHeight="1">
      <c r="A1424" s="45" t="inlineStr">
        <is>
          <t>11867</t>
        </is>
      </c>
      <c r="B1424" s="45" t="inlineStr">
        <is>
          <t>33854</t>
        </is>
      </c>
      <c r="C1424" s="45" t="inlineStr">
        <is>
          <t>2×16927</t>
        </is>
      </c>
      <c r="D1424" s="45" t="inlineStr">
        <is>
          <t>2</t>
        </is>
      </c>
      <c r="E1424" s="45" t="inlineStr"/>
      <c r="F1424" s="45" t="inlineStr"/>
    </row>
    <row r="1425" ht="13" customHeight="1">
      <c r="A1425" s="41" t="inlineStr">
        <is>
          <t>11887</t>
        </is>
      </c>
      <c r="B1425" s="41" t="inlineStr">
        <is>
          <t>20735</t>
        </is>
      </c>
      <c r="C1425" s="41" t="inlineStr">
        <is>
          <t>5×11×13×29</t>
        </is>
      </c>
      <c r="D1425" s="41" t="inlineStr">
        <is>
          <t>5·11·13</t>
        </is>
      </c>
      <c r="E1425" s="41" t="inlineStr"/>
      <c r="F1425" s="41" t="inlineStr"/>
    </row>
    <row r="1426" ht="13" customHeight="1">
      <c r="A1426" s="51" t="inlineStr">
        <is>
          <t>11897</t>
        </is>
      </c>
      <c r="B1426" s="51" t="inlineStr">
        <is>
          <t>19741</t>
        </is>
      </c>
      <c r="C1426" s="51" t="inlineStr">
        <is>
          <t>19×1039</t>
        </is>
      </c>
      <c r="D1426" s="51" t="inlineStr">
        <is>
          <t>19</t>
        </is>
      </c>
      <c r="E1426" s="51" t="inlineStr"/>
      <c r="F1426" s="51" t="inlineStr"/>
    </row>
    <row r="1427" ht="13" customHeight="1">
      <c r="A1427" s="49" t="inlineStr">
        <is>
          <t>11903</t>
        </is>
      </c>
      <c r="B1427" s="49" t="inlineStr">
        <is>
          <t>20564</t>
        </is>
      </c>
      <c r="C1427" s="49" t="inlineStr">
        <is>
          <t>2×2×53×97</t>
        </is>
      </c>
      <c r="D1427" s="49" t="inlineStr">
        <is>
          <t>2</t>
        </is>
      </c>
      <c r="E1427" s="49" t="inlineStr"/>
      <c r="F1427" s="49" t="inlineStr"/>
    </row>
    <row r="1428" ht="13" customHeight="1">
      <c r="A1428" s="50" t="inlineStr">
        <is>
          <t>11909</t>
        </is>
      </c>
      <c r="B1428" s="50" t="inlineStr">
        <is>
          <t>19697</t>
        </is>
      </c>
      <c r="C1428" s="50" t="inlineStr">
        <is>
          <t>19697</t>
        </is>
      </c>
      <c r="D1428" s="50" t="inlineStr">
        <is>
          <t>—</t>
        </is>
      </c>
      <c r="E1428" s="50" t="inlineStr"/>
      <c r="F1428" s="50" t="inlineStr"/>
    </row>
    <row r="1429" ht="13" customHeight="1">
      <c r="A1429" s="49" t="inlineStr">
        <is>
          <t>11923</t>
        </is>
      </c>
      <c r="B1429" s="49" t="inlineStr">
        <is>
          <t>17995</t>
        </is>
      </c>
      <c r="C1429" s="49" t="inlineStr">
        <is>
          <t>5×59×61</t>
        </is>
      </c>
      <c r="D1429" s="49" t="inlineStr">
        <is>
          <t>5</t>
        </is>
      </c>
      <c r="E1429" s="49" t="inlineStr"/>
      <c r="F1429" s="49" t="inlineStr"/>
    </row>
    <row r="1430" ht="13" customHeight="1">
      <c r="A1430" s="45" t="inlineStr">
        <is>
          <t>11927</t>
        </is>
      </c>
      <c r="B1430" s="45" t="inlineStr">
        <is>
          <t>43764</t>
        </is>
      </c>
      <c r="C1430" s="45" t="inlineStr">
        <is>
          <t>2×2×3×7×521</t>
        </is>
      </c>
      <c r="D1430" s="45" t="inlineStr">
        <is>
          <t>2·3·7</t>
        </is>
      </c>
      <c r="E1430" s="45" t="inlineStr"/>
      <c r="F1430" s="45" t="inlineStr"/>
    </row>
    <row r="1431" ht="13" customHeight="1">
      <c r="A1431" s="49" t="inlineStr">
        <is>
          <t>11933</t>
        </is>
      </c>
      <c r="B1431" s="49" t="inlineStr">
        <is>
          <t>483</t>
        </is>
      </c>
      <c r="C1431" s="49" t="inlineStr">
        <is>
          <t>3×7×23</t>
        </is>
      </c>
      <c r="D1431" s="49" t="inlineStr">
        <is>
          <t>3·7</t>
        </is>
      </c>
      <c r="E1431" s="49" t="inlineStr"/>
      <c r="F1431" s="49" t="inlineStr"/>
    </row>
    <row r="1432" ht="13" customHeight="1">
      <c r="A1432" s="43" t="inlineStr">
        <is>
          <t>11939</t>
        </is>
      </c>
      <c r="B1432" s="43" t="inlineStr">
        <is>
          <t>7810</t>
        </is>
      </c>
      <c r="C1432" s="43" t="inlineStr">
        <is>
          <t>2×5×11×71</t>
        </is>
      </c>
      <c r="D1432" s="43" t="inlineStr">
        <is>
          <t>2·5·11</t>
        </is>
      </c>
      <c r="E1432" s="43" t="inlineStr"/>
      <c r="F1432" s="43" t="inlineStr"/>
    </row>
    <row r="1433" ht="13" customHeight="1">
      <c r="A1433" s="49" t="inlineStr">
        <is>
          <t>11941</t>
        </is>
      </c>
      <c r="B1433" s="49" t="inlineStr">
        <is>
          <t>10128</t>
        </is>
      </c>
      <c r="C1433" s="49" t="inlineStr">
        <is>
          <t>2×2×2×2×3×211</t>
        </is>
      </c>
      <c r="D1433" s="49" t="inlineStr">
        <is>
          <t>2·3</t>
        </is>
      </c>
      <c r="E1433" s="49" t="inlineStr"/>
      <c r="F1433" s="49" t="inlineStr"/>
    </row>
    <row r="1434" ht="13" customHeight="1">
      <c r="A1434" s="45" t="inlineStr">
        <is>
          <t>11953</t>
        </is>
      </c>
      <c r="B1434" s="45" t="inlineStr">
        <is>
          <t>16006</t>
        </is>
      </c>
      <c r="C1434" s="45" t="inlineStr">
        <is>
          <t>2×53×151</t>
        </is>
      </c>
      <c r="D1434" s="45" t="inlineStr">
        <is>
          <t>2</t>
        </is>
      </c>
      <c r="E1434" s="45" t="inlineStr"/>
      <c r="F1434" s="45" t="inlineStr"/>
    </row>
    <row r="1435" ht="13" customHeight="1">
      <c r="A1435" s="51" t="inlineStr">
        <is>
          <t>11959</t>
        </is>
      </c>
      <c r="B1435" s="51" t="inlineStr">
        <is>
          <t>27208</t>
        </is>
      </c>
      <c r="C1435" s="51" t="inlineStr">
        <is>
          <t>2×2×2×19×179</t>
        </is>
      </c>
      <c r="D1435" s="51" t="inlineStr">
        <is>
          <t>2·19</t>
        </is>
      </c>
      <c r="E1435" s="51" t="inlineStr"/>
      <c r="F1435" s="51" t="inlineStr"/>
    </row>
    <row r="1436" ht="13" customHeight="1">
      <c r="A1436" s="45" t="inlineStr">
        <is>
          <t>11969</t>
        </is>
      </c>
      <c r="B1436" s="45" t="inlineStr">
        <is>
          <t>29080</t>
        </is>
      </c>
      <c r="C1436" s="45" t="inlineStr">
        <is>
          <t>2×2×2×5×727</t>
        </is>
      </c>
      <c r="D1436" s="45" t="inlineStr">
        <is>
          <t>2·5</t>
        </is>
      </c>
      <c r="E1436" s="45" t="inlineStr"/>
      <c r="F1436" s="45" t="inlineStr"/>
    </row>
    <row r="1437" ht="13" customHeight="1">
      <c r="A1437" s="43" t="inlineStr">
        <is>
          <t>11971</t>
        </is>
      </c>
      <c r="B1437" s="43" t="inlineStr">
        <is>
          <t>33154</t>
        </is>
      </c>
      <c r="C1437" s="43" t="inlineStr">
        <is>
          <t>2×11×11×137</t>
        </is>
      </c>
      <c r="D1437" s="43" t="inlineStr">
        <is>
          <t>2·11</t>
        </is>
      </c>
      <c r="E1437" s="43" t="inlineStr"/>
      <c r="F1437" s="43" t="inlineStr"/>
    </row>
    <row r="1438" ht="13" customHeight="1">
      <c r="A1438" s="45" t="inlineStr">
        <is>
          <t>11981</t>
        </is>
      </c>
      <c r="B1438" s="45" t="inlineStr">
        <is>
          <t>30462</t>
        </is>
      </c>
      <c r="C1438" s="45" t="inlineStr">
        <is>
          <t>2×3×5077</t>
        </is>
      </c>
      <c r="D1438" s="45" t="inlineStr">
        <is>
          <t>2·3</t>
        </is>
      </c>
      <c r="E1438" s="45" t="inlineStr"/>
      <c r="F1438" s="45" t="inlineStr"/>
    </row>
    <row r="1439" ht="13" customHeight="1">
      <c r="A1439" s="49" t="inlineStr">
        <is>
          <t>11987</t>
        </is>
      </c>
      <c r="B1439" s="49" t="inlineStr">
        <is>
          <t>14202</t>
        </is>
      </c>
      <c r="C1439" s="49" t="inlineStr">
        <is>
          <t>2×3×3×3×263</t>
        </is>
      </c>
      <c r="D1439" s="49" t="inlineStr">
        <is>
          <t>2·3</t>
        </is>
      </c>
      <c r="E1439" s="49" t="inlineStr"/>
      <c r="F1439" s="49" t="inlineStr"/>
    </row>
    <row r="1440" ht="13" customHeight="1">
      <c r="A1440" s="41" t="inlineStr">
        <is>
          <t>12007</t>
        </is>
      </c>
      <c r="B1440" s="41" t="inlineStr">
        <is>
          <t>36584</t>
        </is>
      </c>
      <c r="C1440" s="41" t="inlineStr">
        <is>
          <t>2×2×2×17×269</t>
        </is>
      </c>
      <c r="D1440" s="41" t="inlineStr">
        <is>
          <t>2·17</t>
        </is>
      </c>
      <c r="E1440" s="41" t="inlineStr"/>
      <c r="F1440" s="41" t="inlineStr"/>
    </row>
    <row r="1441" ht="13" customHeight="1">
      <c r="A1441" s="41" t="inlineStr">
        <is>
          <t>12011</t>
        </is>
      </c>
      <c r="B1441" s="41" t="inlineStr">
        <is>
          <t>32890</t>
        </is>
      </c>
      <c r="C1441" s="41" t="inlineStr">
        <is>
          <t>2×5×11×13×23</t>
        </is>
      </c>
      <c r="D1441" s="41" t="inlineStr">
        <is>
          <t>2·5·11·13</t>
        </is>
      </c>
      <c r="E1441" s="41" t="inlineStr"/>
      <c r="F1441" s="41" t="inlineStr"/>
    </row>
    <row r="1442" ht="13" customHeight="1">
      <c r="A1442" s="45" t="inlineStr">
        <is>
          <t>12037</t>
        </is>
      </c>
      <c r="B1442" s="45" t="inlineStr">
        <is>
          <t>38824</t>
        </is>
      </c>
      <c r="C1442" s="45" t="inlineStr">
        <is>
          <t>2×2×2×23×211</t>
        </is>
      </c>
      <c r="D1442" s="45" t="inlineStr">
        <is>
          <t>2</t>
        </is>
      </c>
      <c r="E1442" s="45" t="inlineStr"/>
      <c r="F1442" s="45" t="inlineStr"/>
    </row>
    <row r="1443" ht="13" customHeight="1">
      <c r="A1443" s="43" t="inlineStr">
        <is>
          <t>12041</t>
        </is>
      </c>
      <c r="B1443" s="43" t="inlineStr">
        <is>
          <t>29106</t>
        </is>
      </c>
      <c r="C1443" s="43" t="inlineStr">
        <is>
          <t>2×3×3×3×7×7×11</t>
        </is>
      </c>
      <c r="D1443" s="43" t="inlineStr">
        <is>
          <t>2·3·7·11</t>
        </is>
      </c>
      <c r="E1443" s="43" t="inlineStr"/>
      <c r="F1443" s="43" t="inlineStr"/>
    </row>
    <row r="1444" ht="13" customHeight="1">
      <c r="A1444" s="45" t="inlineStr">
        <is>
          <t>12043</t>
        </is>
      </c>
      <c r="B1444" s="45" t="inlineStr">
        <is>
          <t>17770</t>
        </is>
      </c>
      <c r="C1444" s="45" t="inlineStr">
        <is>
          <t>2×5×1777</t>
        </is>
      </c>
      <c r="D1444" s="45" t="inlineStr">
        <is>
          <t>2·5</t>
        </is>
      </c>
      <c r="E1444" s="45" t="inlineStr"/>
      <c r="F1444" s="45" t="inlineStr"/>
    </row>
    <row r="1445" ht="13" customHeight="1">
      <c r="A1445" s="49" t="inlineStr">
        <is>
          <t>12049</t>
        </is>
      </c>
      <c r="B1445" s="49" t="inlineStr">
        <is>
          <t>26226</t>
        </is>
      </c>
      <c r="C1445" s="49" t="inlineStr">
        <is>
          <t>2×3×3×31×47</t>
        </is>
      </c>
      <c r="D1445" s="49" t="inlineStr">
        <is>
          <t>2·3</t>
        </is>
      </c>
      <c r="E1445" s="49" t="inlineStr"/>
      <c r="F1445" s="49" t="inlineStr"/>
    </row>
    <row r="1446" ht="13" customHeight="1">
      <c r="A1446" s="45" t="inlineStr">
        <is>
          <t>12071</t>
        </is>
      </c>
      <c r="B1446" s="45" t="inlineStr">
        <is>
          <t>34576</t>
        </is>
      </c>
      <c r="C1446" s="45" t="inlineStr">
        <is>
          <t>2×2×2×2×2161</t>
        </is>
      </c>
      <c r="D1446" s="45" t="inlineStr">
        <is>
          <t>2</t>
        </is>
      </c>
      <c r="E1446" s="45" t="inlineStr"/>
      <c r="F1446" s="45" t="inlineStr"/>
    </row>
    <row r="1447" ht="13" customHeight="1">
      <c r="A1447" s="50" t="inlineStr">
        <is>
          <t>12073</t>
        </is>
      </c>
      <c r="B1447" s="50" t="inlineStr">
        <is>
          <t>30707</t>
        </is>
      </c>
      <c r="C1447" s="50" t="inlineStr">
        <is>
          <t>30707</t>
        </is>
      </c>
      <c r="D1447" s="50" t="inlineStr">
        <is>
          <t>—</t>
        </is>
      </c>
      <c r="E1447" s="50" t="inlineStr"/>
      <c r="F1447" s="50" t="inlineStr"/>
    </row>
    <row r="1448" ht="13" customHeight="1">
      <c r="A1448" s="50" t="inlineStr">
        <is>
          <t>12097</t>
        </is>
      </c>
      <c r="B1448" s="50" t="inlineStr">
        <is>
          <t>22859</t>
        </is>
      </c>
      <c r="C1448" s="50" t="inlineStr">
        <is>
          <t>22859</t>
        </is>
      </c>
      <c r="D1448" s="50" t="inlineStr">
        <is>
          <t>—</t>
        </is>
      </c>
      <c r="E1448" s="50" t="inlineStr"/>
      <c r="F1448" s="50" t="inlineStr"/>
    </row>
    <row r="1449" ht="13" customHeight="1">
      <c r="A1449" s="41" t="inlineStr">
        <is>
          <t>12101</t>
        </is>
      </c>
      <c r="B1449" s="41" t="inlineStr">
        <is>
          <t>20007</t>
        </is>
      </c>
      <c r="C1449" s="41" t="inlineStr">
        <is>
          <t>3×3×3×3×13×19</t>
        </is>
      </c>
      <c r="D1449" s="41" t="inlineStr">
        <is>
          <t>3·13·19</t>
        </is>
      </c>
      <c r="E1449" s="41" t="inlineStr"/>
      <c r="F1449" s="41" t="inlineStr"/>
    </row>
    <row r="1450" ht="13" customHeight="1">
      <c r="A1450" s="45" t="inlineStr">
        <is>
          <t>12107</t>
        </is>
      </c>
      <c r="B1450" s="45" t="inlineStr">
        <is>
          <t>12564</t>
        </is>
      </c>
      <c r="C1450" s="45" t="inlineStr">
        <is>
          <t>2×2×3×3×349</t>
        </is>
      </c>
      <c r="D1450" s="45" t="inlineStr">
        <is>
          <t>2·3</t>
        </is>
      </c>
      <c r="E1450" s="45" t="inlineStr"/>
      <c r="F1450" s="45" t="inlineStr"/>
    </row>
    <row r="1451" ht="13" customHeight="1">
      <c r="A1451" s="49" t="inlineStr">
        <is>
          <t>12109</t>
        </is>
      </c>
      <c r="B1451" s="49" t="inlineStr">
        <is>
          <t>42495</t>
        </is>
      </c>
      <c r="C1451" s="49" t="inlineStr">
        <is>
          <t>3×5×2833</t>
        </is>
      </c>
      <c r="D1451" s="49" t="inlineStr">
        <is>
          <t>3·5</t>
        </is>
      </c>
      <c r="E1451" s="49" t="inlineStr"/>
      <c r="F1451" s="49" t="inlineStr"/>
    </row>
    <row r="1452" ht="13" customHeight="1">
      <c r="A1452" s="45" t="inlineStr">
        <is>
          <t>12113</t>
        </is>
      </c>
      <c r="B1452" s="45" t="inlineStr">
        <is>
          <t>39277</t>
        </is>
      </c>
      <c r="C1452" s="45" t="inlineStr">
        <is>
          <t>7×31×181</t>
        </is>
      </c>
      <c r="D1452" s="45" t="inlineStr">
        <is>
          <t>7</t>
        </is>
      </c>
      <c r="E1452" s="45" t="inlineStr"/>
      <c r="F1452" s="45" t="inlineStr"/>
    </row>
    <row r="1453" ht="13" customHeight="1">
      <c r="A1453" s="50" t="inlineStr">
        <is>
          <t>12119</t>
        </is>
      </c>
      <c r="B1453" s="50" t="inlineStr">
        <is>
          <t>5501</t>
        </is>
      </c>
      <c r="C1453" s="50" t="inlineStr">
        <is>
          <t>5501</t>
        </is>
      </c>
      <c r="D1453" s="50" t="inlineStr">
        <is>
          <t>—</t>
        </is>
      </c>
      <c r="E1453" s="50" t="inlineStr"/>
      <c r="F1453" s="50" t="inlineStr"/>
    </row>
    <row r="1454" ht="13" customHeight="1">
      <c r="A1454" s="45" t="inlineStr">
        <is>
          <t>12143</t>
        </is>
      </c>
      <c r="B1454" s="45" t="inlineStr">
        <is>
          <t>8314</t>
        </is>
      </c>
      <c r="C1454" s="45" t="inlineStr">
        <is>
          <t>2×4157</t>
        </is>
      </c>
      <c r="D1454" s="45" t="inlineStr">
        <is>
          <t>2</t>
        </is>
      </c>
      <c r="E1454" s="45" t="inlineStr"/>
      <c r="F1454" s="45" t="inlineStr"/>
    </row>
    <row r="1455" ht="13" customHeight="1">
      <c r="A1455" s="41" t="inlineStr">
        <is>
          <t>12149</t>
        </is>
      </c>
      <c r="B1455" s="41" t="inlineStr">
        <is>
          <t>34580</t>
        </is>
      </c>
      <c r="C1455" s="41" t="inlineStr">
        <is>
          <t>2×2×5×7×13×19</t>
        </is>
      </c>
      <c r="D1455" s="41" t="inlineStr">
        <is>
          <t>2·5·7·13·19</t>
        </is>
      </c>
      <c r="E1455" s="41" t="inlineStr"/>
      <c r="F1455" s="41" t="inlineStr"/>
    </row>
    <row r="1456" ht="13" customHeight="1">
      <c r="A1456" s="50" t="inlineStr">
        <is>
          <t>12157</t>
        </is>
      </c>
      <c r="B1456" s="50" t="inlineStr">
        <is>
          <t>31729</t>
        </is>
      </c>
      <c r="C1456" s="50" t="inlineStr">
        <is>
          <t>31729</t>
        </is>
      </c>
      <c r="D1456" s="50" t="inlineStr">
        <is>
          <t>—</t>
        </is>
      </c>
      <c r="E1456" s="50" t="inlineStr"/>
      <c r="F1456" s="50" t="inlineStr"/>
    </row>
    <row r="1457" ht="13" customHeight="1">
      <c r="A1457" s="49" t="inlineStr">
        <is>
          <t>12161</t>
        </is>
      </c>
      <c r="B1457" s="49" t="inlineStr">
        <is>
          <t>28042</t>
        </is>
      </c>
      <c r="C1457" s="49" t="inlineStr">
        <is>
          <t>2×7×2003</t>
        </is>
      </c>
      <c r="D1457" s="49" t="inlineStr">
        <is>
          <t>2·7</t>
        </is>
      </c>
      <c r="E1457" s="49" t="inlineStr"/>
      <c r="F1457" s="49" t="inlineStr"/>
    </row>
    <row r="1458" ht="13" customHeight="1">
      <c r="A1458" s="45" t="inlineStr">
        <is>
          <t>12163</t>
        </is>
      </c>
      <c r="B1458" s="45" t="inlineStr">
        <is>
          <t>30798</t>
        </is>
      </c>
      <c r="C1458" s="45" t="inlineStr">
        <is>
          <t>2×3×3×29×59</t>
        </is>
      </c>
      <c r="D1458" s="45" t="inlineStr">
        <is>
          <t>2·3</t>
        </is>
      </c>
      <c r="E1458" s="45" t="inlineStr"/>
      <c r="F1458" s="45" t="inlineStr"/>
    </row>
    <row r="1459" ht="13" customHeight="1">
      <c r="A1459" s="49" t="inlineStr">
        <is>
          <t>12197</t>
        </is>
      </c>
      <c r="B1459" s="49" t="inlineStr">
        <is>
          <t>29482</t>
        </is>
      </c>
      <c r="C1459" s="49" t="inlineStr">
        <is>
          <t>2×14741</t>
        </is>
      </c>
      <c r="D1459" s="49" t="inlineStr">
        <is>
          <t>2</t>
        </is>
      </c>
      <c r="E1459" s="49" t="inlineStr"/>
      <c r="F1459" s="49" t="inlineStr"/>
    </row>
    <row r="1460" ht="13" customHeight="1">
      <c r="A1460" s="45" t="inlineStr">
        <is>
          <t>12203</t>
        </is>
      </c>
      <c r="B1460" s="45" t="inlineStr">
        <is>
          <t>29272</t>
        </is>
      </c>
      <c r="C1460" s="45" t="inlineStr">
        <is>
          <t>2×2×2×3659</t>
        </is>
      </c>
      <c r="D1460" s="45" t="inlineStr">
        <is>
          <t>2</t>
        </is>
      </c>
      <c r="E1460" s="45" t="inlineStr"/>
      <c r="F1460" s="45" t="inlineStr"/>
    </row>
    <row r="1461" ht="13" customHeight="1">
      <c r="A1461" s="49" t="inlineStr">
        <is>
          <t>12211</t>
        </is>
      </c>
      <c r="B1461" s="49" t="inlineStr">
        <is>
          <t>35476</t>
        </is>
      </c>
      <c r="C1461" s="49" t="inlineStr">
        <is>
          <t>2×2×7×7×181</t>
        </is>
      </c>
      <c r="D1461" s="49" t="inlineStr">
        <is>
          <t>2·7</t>
        </is>
      </c>
      <c r="E1461" s="49" t="inlineStr"/>
      <c r="F1461" s="49" t="inlineStr"/>
    </row>
    <row r="1462" ht="13" customHeight="1">
      <c r="A1462" s="45" t="inlineStr">
        <is>
          <t>12227</t>
        </is>
      </c>
      <c r="B1462" s="45" t="inlineStr">
        <is>
          <t>8685</t>
        </is>
      </c>
      <c r="C1462" s="45" t="inlineStr">
        <is>
          <t>3×3×5×193</t>
        </is>
      </c>
      <c r="D1462" s="45" t="inlineStr">
        <is>
          <t>3·5</t>
        </is>
      </c>
      <c r="E1462" s="45" t="inlineStr"/>
      <c r="F1462" s="45" t="inlineStr"/>
    </row>
    <row r="1463" ht="13" customHeight="1">
      <c r="A1463" s="49" t="inlineStr">
        <is>
          <t>12239</t>
        </is>
      </c>
      <c r="B1463" s="49" t="inlineStr">
        <is>
          <t>40286</t>
        </is>
      </c>
      <c r="C1463" s="49" t="inlineStr">
        <is>
          <t>2×20143</t>
        </is>
      </c>
      <c r="D1463" s="49" t="inlineStr">
        <is>
          <t>2</t>
        </is>
      </c>
      <c r="E1463" s="49" t="inlineStr"/>
      <c r="F1463" s="49" t="inlineStr"/>
    </row>
    <row r="1464" ht="13" customHeight="1">
      <c r="A1464" s="45" t="inlineStr">
        <is>
          <t>12241</t>
        </is>
      </c>
      <c r="B1464" s="45" t="inlineStr">
        <is>
          <t>22625</t>
        </is>
      </c>
      <c r="C1464" s="45" t="inlineStr">
        <is>
          <t>5×5×5×181</t>
        </is>
      </c>
      <c r="D1464" s="45" t="inlineStr">
        <is>
          <t>5</t>
        </is>
      </c>
      <c r="E1464" s="45" t="inlineStr"/>
      <c r="F1464" s="45" t="inlineStr"/>
    </row>
    <row r="1465" ht="13" customHeight="1">
      <c r="A1465" s="49" t="inlineStr">
        <is>
          <t>12251</t>
        </is>
      </c>
      <c r="B1465" s="49" t="inlineStr">
        <is>
          <t>38314</t>
        </is>
      </c>
      <c r="C1465" s="49" t="inlineStr">
        <is>
          <t>2×19157</t>
        </is>
      </c>
      <c r="D1465" s="49" t="inlineStr">
        <is>
          <t>2</t>
        </is>
      </c>
      <c r="E1465" s="49" t="inlineStr"/>
      <c r="F1465" s="49" t="inlineStr"/>
    </row>
    <row r="1466" ht="13" customHeight="1">
      <c r="A1466" s="51" t="inlineStr">
        <is>
          <t>12253</t>
        </is>
      </c>
      <c r="B1466" s="51" t="inlineStr">
        <is>
          <t>4009</t>
        </is>
      </c>
      <c r="C1466" s="51" t="inlineStr">
        <is>
          <t>19×211</t>
        </is>
      </c>
      <c r="D1466" s="51" t="inlineStr">
        <is>
          <t>19</t>
        </is>
      </c>
      <c r="E1466" s="51" t="inlineStr"/>
      <c r="F1466" s="51" t="inlineStr"/>
    </row>
    <row r="1467" ht="13" customHeight="1">
      <c r="A1467" s="49" t="inlineStr">
        <is>
          <t>12263</t>
        </is>
      </c>
      <c r="B1467" s="49" t="inlineStr">
        <is>
          <t>2436</t>
        </is>
      </c>
      <c r="C1467" s="49" t="inlineStr">
        <is>
          <t>2×2×3×7×29</t>
        </is>
      </c>
      <c r="D1467" s="49" t="inlineStr">
        <is>
          <t>2·3·7</t>
        </is>
      </c>
      <c r="E1467" s="49" t="inlineStr"/>
      <c r="F1467" s="49" t="inlineStr"/>
    </row>
    <row r="1468" ht="13" customHeight="1">
      <c r="A1468" s="45" t="inlineStr">
        <is>
          <t>12269</t>
        </is>
      </c>
      <c r="B1468" s="45" t="inlineStr">
        <is>
          <t>32544</t>
        </is>
      </c>
      <c r="C1468" s="45" t="inlineStr">
        <is>
          <t>2×2×2×2×2×3×3×113</t>
        </is>
      </c>
      <c r="D1468" s="45" t="inlineStr">
        <is>
          <t>2·3</t>
        </is>
      </c>
      <c r="E1468" s="45" t="inlineStr"/>
      <c r="F1468" s="45" t="inlineStr"/>
    </row>
    <row r="1469" ht="13" customHeight="1">
      <c r="A1469" s="49" t="inlineStr">
        <is>
          <t>12277</t>
        </is>
      </c>
      <c r="B1469" s="49" t="inlineStr">
        <is>
          <t>43213</t>
        </is>
      </c>
      <c r="C1469" s="49" t="inlineStr">
        <is>
          <t>79×547</t>
        </is>
      </c>
      <c r="D1469" s="49" t="inlineStr">
        <is>
          <t>—</t>
        </is>
      </c>
      <c r="E1469" s="49" t="inlineStr"/>
      <c r="F1469" s="49" t="inlineStr"/>
    </row>
    <row r="1470" ht="13" customHeight="1">
      <c r="A1470" s="43" t="inlineStr">
        <is>
          <t>12281</t>
        </is>
      </c>
      <c r="B1470" s="43" t="inlineStr">
        <is>
          <t>2585</t>
        </is>
      </c>
      <c r="C1470" s="43" t="inlineStr">
        <is>
          <t>5×11×47</t>
        </is>
      </c>
      <c r="D1470" s="43" t="inlineStr">
        <is>
          <t>5·11</t>
        </is>
      </c>
      <c r="E1470" s="43" t="inlineStr"/>
      <c r="F1470" s="43" t="inlineStr"/>
    </row>
    <row r="1471" ht="13" customHeight="1">
      <c r="A1471" s="49" t="inlineStr">
        <is>
          <t>12289</t>
        </is>
      </c>
      <c r="B1471" s="49" t="inlineStr">
        <is>
          <t>31600</t>
        </is>
      </c>
      <c r="C1471" s="49" t="inlineStr">
        <is>
          <t>2×2×2×2×5×5×79</t>
        </is>
      </c>
      <c r="D1471" s="49" t="inlineStr">
        <is>
          <t>2·5</t>
        </is>
      </c>
      <c r="E1471" s="49" t="inlineStr"/>
      <c r="F1471" s="49" t="inlineStr"/>
    </row>
    <row r="1472" ht="13" customHeight="1">
      <c r="A1472" s="45" t="inlineStr">
        <is>
          <t>12301</t>
        </is>
      </c>
      <c r="B1472" s="45" t="inlineStr">
        <is>
          <t>16331</t>
        </is>
      </c>
      <c r="C1472" s="45" t="inlineStr">
        <is>
          <t>7×2333</t>
        </is>
      </c>
      <c r="D1472" s="45" t="inlineStr">
        <is>
          <t>7</t>
        </is>
      </c>
      <c r="E1472" s="45" t="inlineStr"/>
      <c r="F1472" s="45" t="inlineStr"/>
    </row>
    <row r="1473" ht="13" customHeight="1">
      <c r="A1473" s="49" t="inlineStr">
        <is>
          <t>12323</t>
        </is>
      </c>
      <c r="B1473" s="49" t="inlineStr">
        <is>
          <t>33032</t>
        </is>
      </c>
      <c r="C1473" s="49" t="inlineStr">
        <is>
          <t>2×2×2×4129</t>
        </is>
      </c>
      <c r="D1473" s="49" t="inlineStr">
        <is>
          <t>2</t>
        </is>
      </c>
      <c r="E1473" s="49" t="inlineStr"/>
      <c r="F1473" s="49" t="inlineStr"/>
    </row>
    <row r="1474" ht="13" customHeight="1">
      <c r="A1474" s="45" t="inlineStr">
        <is>
          <t>12329</t>
        </is>
      </c>
      <c r="B1474" s="45" t="inlineStr">
        <is>
          <t>30891</t>
        </is>
      </c>
      <c r="C1474" s="45" t="inlineStr">
        <is>
          <t>3×7×1471</t>
        </is>
      </c>
      <c r="D1474" s="45" t="inlineStr">
        <is>
          <t>3·7</t>
        </is>
      </c>
      <c r="E1474" s="45" t="inlineStr"/>
      <c r="F1474" s="45" t="inlineStr"/>
    </row>
    <row r="1475" ht="13" customHeight="1">
      <c r="A1475" s="49" t="inlineStr">
        <is>
          <t>12343</t>
        </is>
      </c>
      <c r="B1475" s="49" t="inlineStr">
        <is>
          <t>36681</t>
        </is>
      </c>
      <c r="C1475" s="49" t="inlineStr">
        <is>
          <t>3×12227</t>
        </is>
      </c>
      <c r="D1475" s="49" t="inlineStr">
        <is>
          <t>3</t>
        </is>
      </c>
      <c r="E1475" s="49" t="inlineStr"/>
      <c r="F1475" s="49" t="inlineStr"/>
    </row>
    <row r="1476" ht="13" customHeight="1">
      <c r="A1476" s="45" t="inlineStr">
        <is>
          <t>12347</t>
        </is>
      </c>
      <c r="B1476" s="45" t="inlineStr">
        <is>
          <t>27992</t>
        </is>
      </c>
      <c r="C1476" s="45" t="inlineStr">
        <is>
          <t>2×2×2×3499</t>
        </is>
      </c>
      <c r="D1476" s="45" t="inlineStr">
        <is>
          <t>2</t>
        </is>
      </c>
      <c r="E1476" s="45" t="inlineStr"/>
      <c r="F1476" s="45" t="inlineStr"/>
    </row>
    <row r="1477" ht="13" customHeight="1">
      <c r="A1477" s="49" t="inlineStr">
        <is>
          <t>12373</t>
        </is>
      </c>
      <c r="B1477" s="49" t="inlineStr">
        <is>
          <t>16058</t>
        </is>
      </c>
      <c r="C1477" s="49" t="inlineStr">
        <is>
          <t>2×7×31×37</t>
        </is>
      </c>
      <c r="D1477" s="49" t="inlineStr">
        <is>
          <t>2·7</t>
        </is>
      </c>
      <c r="E1477" s="49" t="inlineStr"/>
      <c r="F1477" s="49" t="inlineStr"/>
    </row>
    <row r="1478" ht="13" customHeight="1">
      <c r="A1478" s="45" t="inlineStr">
        <is>
          <t>12377</t>
        </is>
      </c>
      <c r="B1478" s="45" t="inlineStr">
        <is>
          <t>15533</t>
        </is>
      </c>
      <c r="C1478" s="45" t="inlineStr">
        <is>
          <t>7×7×317</t>
        </is>
      </c>
      <c r="D1478" s="45" t="inlineStr">
        <is>
          <t>7</t>
        </is>
      </c>
      <c r="E1478" s="45" t="inlineStr"/>
      <c r="F1478" s="45" t="inlineStr"/>
    </row>
    <row r="1479" ht="13" customHeight="1">
      <c r="A1479" s="49" t="inlineStr">
        <is>
          <t>12379</t>
        </is>
      </c>
      <c r="B1479" s="49" t="inlineStr">
        <is>
          <t>43664</t>
        </is>
      </c>
      <c r="C1479" s="49" t="inlineStr">
        <is>
          <t>2×2×2×2×2729</t>
        </is>
      </c>
      <c r="D1479" s="49" t="inlineStr">
        <is>
          <t>2</t>
        </is>
      </c>
      <c r="E1479" s="49" t="inlineStr"/>
      <c r="F1479" s="49" t="inlineStr"/>
    </row>
    <row r="1480" ht="13" customHeight="1">
      <c r="A1480" s="41" t="inlineStr">
        <is>
          <t>12391</t>
        </is>
      </c>
      <c r="B1480" s="41" t="inlineStr">
        <is>
          <t>26282</t>
        </is>
      </c>
      <c r="C1480" s="41" t="inlineStr">
        <is>
          <t>2×17×773</t>
        </is>
      </c>
      <c r="D1480" s="41" t="inlineStr">
        <is>
          <t>2·17</t>
        </is>
      </c>
      <c r="E1480" s="41" t="inlineStr"/>
      <c r="F1480" s="41" t="inlineStr"/>
    </row>
    <row r="1481" ht="13" customHeight="1">
      <c r="A1481" s="50" t="inlineStr">
        <is>
          <t>12401</t>
        </is>
      </c>
      <c r="B1481" s="50" t="inlineStr">
        <is>
          <t>18439</t>
        </is>
      </c>
      <c r="C1481" s="50" t="inlineStr">
        <is>
          <t>18439</t>
        </is>
      </c>
      <c r="D1481" s="50" t="inlineStr">
        <is>
          <t>—</t>
        </is>
      </c>
      <c r="E1481" s="50" t="inlineStr"/>
      <c r="F1481" s="50" t="inlineStr"/>
    </row>
    <row r="1482" ht="13" customHeight="1">
      <c r="A1482" s="45" t="inlineStr">
        <is>
          <t>12409</t>
        </is>
      </c>
      <c r="B1482" s="45" t="inlineStr">
        <is>
          <t>41830</t>
        </is>
      </c>
      <c r="C1482" s="45" t="inlineStr">
        <is>
          <t>2×5×47×89</t>
        </is>
      </c>
      <c r="D1482" s="45" t="inlineStr">
        <is>
          <t>2·5</t>
        </is>
      </c>
      <c r="E1482" s="45" t="inlineStr"/>
      <c r="F1482" s="45" t="inlineStr"/>
    </row>
    <row r="1483" ht="13" customHeight="1">
      <c r="A1483" s="43" t="inlineStr">
        <is>
          <t>12413</t>
        </is>
      </c>
      <c r="B1483" s="43" t="inlineStr">
        <is>
          <t>2409</t>
        </is>
      </c>
      <c r="C1483" s="43" t="inlineStr">
        <is>
          <t>3×11×73</t>
        </is>
      </c>
      <c r="D1483" s="43" t="inlineStr">
        <is>
          <t>3·11</t>
        </is>
      </c>
      <c r="E1483" s="43" t="inlineStr"/>
      <c r="F1483" s="43" t="inlineStr"/>
    </row>
    <row r="1484" ht="13" customHeight="1">
      <c r="A1484" s="50" t="inlineStr">
        <is>
          <t>12421</t>
        </is>
      </c>
      <c r="B1484" s="50" t="inlineStr">
        <is>
          <t>6277</t>
        </is>
      </c>
      <c r="C1484" s="50" t="inlineStr">
        <is>
          <t>6277</t>
        </is>
      </c>
      <c r="D1484" s="50" t="inlineStr">
        <is>
          <t>—</t>
        </is>
      </c>
      <c r="E1484" s="50" t="inlineStr"/>
      <c r="F1484" s="50" t="inlineStr"/>
    </row>
    <row r="1485" ht="13" customHeight="1">
      <c r="A1485" s="49" t="inlineStr">
        <is>
          <t>12433</t>
        </is>
      </c>
      <c r="B1485" s="49" t="inlineStr">
        <is>
          <t>14721</t>
        </is>
      </c>
      <c r="C1485" s="49" t="inlineStr">
        <is>
          <t>3×7×701</t>
        </is>
      </c>
      <c r="D1485" s="49" t="inlineStr">
        <is>
          <t>3·7</t>
        </is>
      </c>
      <c r="E1485" s="49" t="inlineStr"/>
      <c r="F1485" s="49" t="inlineStr"/>
    </row>
    <row r="1486" ht="13" customHeight="1">
      <c r="A1486" s="41" t="inlineStr">
        <is>
          <t>12437</t>
        </is>
      </c>
      <c r="B1486" s="41" t="inlineStr">
        <is>
          <t>21073</t>
        </is>
      </c>
      <c r="C1486" s="41" t="inlineStr">
        <is>
          <t>13×1621</t>
        </is>
      </c>
      <c r="D1486" s="41" t="inlineStr">
        <is>
          <t>13</t>
        </is>
      </c>
      <c r="E1486" s="41" t="inlineStr"/>
      <c r="F1486" s="41" t="inlineStr"/>
    </row>
    <row r="1487" ht="13" customHeight="1">
      <c r="A1487" s="49" t="inlineStr">
        <is>
          <t>12451</t>
        </is>
      </c>
      <c r="B1487" s="49" t="inlineStr">
        <is>
          <t>3846</t>
        </is>
      </c>
      <c r="C1487" s="49" t="inlineStr">
        <is>
          <t>2×3×641</t>
        </is>
      </c>
      <c r="D1487" s="49" t="inlineStr">
        <is>
          <t>2·3</t>
        </is>
      </c>
      <c r="E1487" s="49" t="inlineStr"/>
      <c r="F1487" s="49" t="inlineStr"/>
    </row>
    <row r="1488" ht="13" customHeight="1">
      <c r="A1488" s="43" t="inlineStr">
        <is>
          <t>12457</t>
        </is>
      </c>
      <c r="B1488" s="43" t="inlineStr">
        <is>
          <t>17281</t>
        </is>
      </c>
      <c r="C1488" s="43" t="inlineStr">
        <is>
          <t>11×1571</t>
        </is>
      </c>
      <c r="D1488" s="43" t="inlineStr">
        <is>
          <t>11</t>
        </is>
      </c>
      <c r="E1488" s="43" t="inlineStr"/>
      <c r="F1488" s="43" t="inlineStr"/>
    </row>
    <row r="1489" ht="13" customHeight="1">
      <c r="A1489" s="41" t="inlineStr">
        <is>
          <t>12473</t>
        </is>
      </c>
      <c r="B1489" s="41" t="inlineStr">
        <is>
          <t>27430</t>
        </is>
      </c>
      <c r="C1489" s="41" t="inlineStr">
        <is>
          <t>2×5×13×211</t>
        </is>
      </c>
      <c r="D1489" s="41" t="inlineStr">
        <is>
          <t>2·5·13</t>
        </is>
      </c>
      <c r="E1489" s="41" t="inlineStr"/>
      <c r="F1489" s="41" t="inlineStr"/>
    </row>
    <row r="1490" ht="13" customHeight="1">
      <c r="A1490" s="45" t="inlineStr">
        <is>
          <t>12479</t>
        </is>
      </c>
      <c r="B1490" s="45" t="inlineStr">
        <is>
          <t>26424</t>
        </is>
      </c>
      <c r="C1490" s="45" t="inlineStr">
        <is>
          <t>2×2×2×3×3×367</t>
        </is>
      </c>
      <c r="D1490" s="45" t="inlineStr">
        <is>
          <t>2·3</t>
        </is>
      </c>
      <c r="E1490" s="45" t="inlineStr"/>
      <c r="F1490" s="45" t="inlineStr"/>
    </row>
    <row r="1491" ht="13" customHeight="1">
      <c r="A1491" s="49" t="inlineStr">
        <is>
          <t>12487</t>
        </is>
      </c>
      <c r="B1491" s="49" t="inlineStr">
        <is>
          <t>6598</t>
        </is>
      </c>
      <c r="C1491" s="49" t="inlineStr">
        <is>
          <t>2×3299</t>
        </is>
      </c>
      <c r="D1491" s="49" t="inlineStr">
        <is>
          <t>2</t>
        </is>
      </c>
      <c r="E1491" s="49" t="inlineStr"/>
      <c r="F1491" s="49" t="inlineStr"/>
    </row>
    <row r="1492" ht="13" customHeight="1">
      <c r="A1492" s="45" t="inlineStr">
        <is>
          <t>12491</t>
        </is>
      </c>
      <c r="B1492" s="45" t="inlineStr">
        <is>
          <t>36591</t>
        </is>
      </c>
      <c r="C1492" s="45" t="inlineStr">
        <is>
          <t>3×12197</t>
        </is>
      </c>
      <c r="D1492" s="45" t="inlineStr">
        <is>
          <t>3</t>
        </is>
      </c>
      <c r="E1492" s="45" t="inlineStr"/>
      <c r="F1492" s="45" t="inlineStr"/>
    </row>
    <row r="1493" ht="13" customHeight="1">
      <c r="A1493" s="43" t="inlineStr">
        <is>
          <t>12497</t>
        </is>
      </c>
      <c r="B1493" s="43" t="inlineStr">
        <is>
          <t>19910</t>
        </is>
      </c>
      <c r="C1493" s="43" t="inlineStr">
        <is>
          <t>2×5×11×181</t>
        </is>
      </c>
      <c r="D1493" s="43" t="inlineStr">
        <is>
          <t>2·5·11</t>
        </is>
      </c>
      <c r="E1493" s="43" t="inlineStr"/>
      <c r="F1493" s="43" t="inlineStr"/>
    </row>
    <row r="1494" ht="13" customHeight="1">
      <c r="A1494" s="50" t="inlineStr">
        <is>
          <t>12503</t>
        </is>
      </c>
      <c r="B1494" s="50" t="inlineStr">
        <is>
          <t>3803</t>
        </is>
      </c>
      <c r="C1494" s="50" t="inlineStr">
        <is>
          <t>3803</t>
        </is>
      </c>
      <c r="D1494" s="50" t="inlineStr">
        <is>
          <t>—</t>
        </is>
      </c>
      <c r="E1494" s="50" t="inlineStr"/>
      <c r="F1494" s="50" t="inlineStr"/>
    </row>
    <row r="1495" ht="13" customHeight="1">
      <c r="A1495" s="49" t="inlineStr">
        <is>
          <t>12511</t>
        </is>
      </c>
      <c r="B1495" s="49" t="inlineStr">
        <is>
          <t>37238</t>
        </is>
      </c>
      <c r="C1495" s="49" t="inlineStr">
        <is>
          <t>2×43×433</t>
        </is>
      </c>
      <c r="D1495" s="49" t="inlineStr">
        <is>
          <t>2</t>
        </is>
      </c>
      <c r="E1495" s="49" t="inlineStr"/>
      <c r="F1495" s="49" t="inlineStr"/>
    </row>
    <row r="1496" ht="13" customHeight="1">
      <c r="A1496" s="45" t="inlineStr">
        <is>
          <t>12517</t>
        </is>
      </c>
      <c r="B1496" s="45" t="inlineStr">
        <is>
          <t>34778</t>
        </is>
      </c>
      <c r="C1496" s="45" t="inlineStr">
        <is>
          <t>2×17389</t>
        </is>
      </c>
      <c r="D1496" s="45" t="inlineStr">
        <is>
          <t>2</t>
        </is>
      </c>
      <c r="E1496" s="45" t="inlineStr"/>
      <c r="F1496" s="45" t="inlineStr"/>
    </row>
    <row r="1497" ht="13" customHeight="1">
      <c r="A1497" s="50" t="inlineStr">
        <is>
          <t>12527</t>
        </is>
      </c>
      <c r="B1497" s="50" t="inlineStr">
        <is>
          <t>32479</t>
        </is>
      </c>
      <c r="C1497" s="50" t="inlineStr">
        <is>
          <t>32479</t>
        </is>
      </c>
      <c r="D1497" s="50" t="inlineStr">
        <is>
          <t>—</t>
        </is>
      </c>
      <c r="E1497" s="50" t="inlineStr"/>
      <c r="F1497" s="50" t="inlineStr"/>
    </row>
    <row r="1498" ht="13" customHeight="1">
      <c r="A1498" s="41" t="inlineStr">
        <is>
          <t>12539</t>
        </is>
      </c>
      <c r="B1498" s="41" t="inlineStr">
        <is>
          <t>28886</t>
        </is>
      </c>
      <c r="C1498" s="41" t="inlineStr">
        <is>
          <t>2×11×13×101</t>
        </is>
      </c>
      <c r="D1498" s="41" t="inlineStr">
        <is>
          <t>2·11·13</t>
        </is>
      </c>
      <c r="E1498" s="41" t="inlineStr"/>
      <c r="F1498" s="41" t="inlineStr"/>
    </row>
    <row r="1499" ht="13" customHeight="1">
      <c r="A1499" s="49" t="inlineStr">
        <is>
          <t>12541</t>
        </is>
      </c>
      <c r="B1499" s="49" t="inlineStr">
        <is>
          <t>33597</t>
        </is>
      </c>
      <c r="C1499" s="49" t="inlineStr">
        <is>
          <t>3×3×3733</t>
        </is>
      </c>
      <c r="D1499" s="49" t="inlineStr">
        <is>
          <t>3</t>
        </is>
      </c>
      <c r="E1499" s="49" t="inlineStr"/>
      <c r="F1499" s="49" t="inlineStr"/>
    </row>
    <row r="1500" ht="13" customHeight="1">
      <c r="A1500" s="50" t="inlineStr">
        <is>
          <t>12547</t>
        </is>
      </c>
      <c r="B1500" s="50" t="inlineStr">
        <is>
          <t>11159</t>
        </is>
      </c>
      <c r="C1500" s="50" t="inlineStr">
        <is>
          <t>11159</t>
        </is>
      </c>
      <c r="D1500" s="50" t="inlineStr">
        <is>
          <t>—</t>
        </is>
      </c>
      <c r="E1500" s="50" t="inlineStr"/>
      <c r="F1500" s="50" t="inlineStr"/>
    </row>
    <row r="1501" ht="13" customHeight="1">
      <c r="A1501" s="49" t="inlineStr">
        <is>
          <t>12553</t>
        </is>
      </c>
      <c r="B1501" s="49" t="inlineStr">
        <is>
          <t>7534</t>
        </is>
      </c>
      <c r="C1501" s="49" t="inlineStr">
        <is>
          <t>2×3767</t>
        </is>
      </c>
      <c r="D1501" s="49" t="inlineStr">
        <is>
          <t>2</t>
        </is>
      </c>
      <c r="E1501" s="49" t="inlineStr"/>
      <c r="F1501" s="49" t="inlineStr"/>
    </row>
    <row r="1502" ht="13" customHeight="1">
      <c r="A1502" s="45" t="inlineStr">
        <is>
          <t>12569</t>
        </is>
      </c>
      <c r="B1502" s="45" t="inlineStr">
        <is>
          <t>28851</t>
        </is>
      </c>
      <c r="C1502" s="45" t="inlineStr">
        <is>
          <t>3×59×163</t>
        </is>
      </c>
      <c r="D1502" s="45" t="inlineStr">
        <is>
          <t>3</t>
        </is>
      </c>
      <c r="E1502" s="45" t="inlineStr"/>
      <c r="F1502" s="45" t="inlineStr"/>
    </row>
    <row r="1503" ht="13" customHeight="1">
      <c r="A1503" s="49" t="inlineStr">
        <is>
          <t>12577</t>
        </is>
      </c>
      <c r="B1503" s="49" t="inlineStr">
        <is>
          <t>9454</t>
        </is>
      </c>
      <c r="C1503" s="49" t="inlineStr">
        <is>
          <t>2×29×163</t>
        </is>
      </c>
      <c r="D1503" s="49" t="inlineStr">
        <is>
          <t>2</t>
        </is>
      </c>
      <c r="E1503" s="49" t="inlineStr"/>
      <c r="F1503" s="49" t="inlineStr"/>
    </row>
    <row r="1504" ht="13" customHeight="1">
      <c r="A1504" s="39" t="inlineStr">
        <is>
          <t>12583</t>
        </is>
      </c>
      <c r="B1504" s="39" t="inlineStr">
        <is>
          <t>12005</t>
        </is>
      </c>
      <c r="C1504" s="39" t="inlineStr">
        <is>
          <t>5×7×7×7×7</t>
        </is>
      </c>
      <c r="D1504" s="39" t="inlineStr">
        <is>
          <t>5·7</t>
        </is>
      </c>
      <c r="E1504" s="39" t="inlineStr"/>
      <c r="F1504" s="39" t="inlineStr"/>
    </row>
    <row r="1505" ht="13" customHeight="1">
      <c r="A1505" s="49" t="inlineStr">
        <is>
          <t>12589</t>
        </is>
      </c>
      <c r="B1505" s="49" t="inlineStr">
        <is>
          <t>27944</t>
        </is>
      </c>
      <c r="C1505" s="49" t="inlineStr">
        <is>
          <t>2×2×2×7×499</t>
        </is>
      </c>
      <c r="D1505" s="49" t="inlineStr">
        <is>
          <t>2·7</t>
        </is>
      </c>
      <c r="E1505" s="49" t="inlineStr"/>
      <c r="F1505" s="49" t="inlineStr"/>
    </row>
    <row r="1506" ht="13" customHeight="1">
      <c r="A1506" s="45" t="inlineStr">
        <is>
          <t>12601</t>
        </is>
      </c>
      <c r="B1506" s="45" t="inlineStr">
        <is>
          <t>43454</t>
        </is>
      </c>
      <c r="C1506" s="45" t="inlineStr">
        <is>
          <t>2×21727</t>
        </is>
      </c>
      <c r="D1506" s="45" t="inlineStr">
        <is>
          <t>2</t>
        </is>
      </c>
      <c r="E1506" s="45" t="inlineStr"/>
      <c r="F1506" s="45" t="inlineStr"/>
    </row>
    <row r="1507" ht="13" customHeight="1">
      <c r="A1507" s="49" t="inlineStr">
        <is>
          <t>12611</t>
        </is>
      </c>
      <c r="B1507" s="49" t="inlineStr">
        <is>
          <t>7120</t>
        </is>
      </c>
      <c r="C1507" s="49" t="inlineStr">
        <is>
          <t>2×2×2×2×5×89</t>
        </is>
      </c>
      <c r="D1507" s="49" t="inlineStr">
        <is>
          <t>2·5</t>
        </is>
      </c>
      <c r="E1507" s="49" t="inlineStr"/>
      <c r="F1507" s="49" t="inlineStr"/>
    </row>
    <row r="1508" ht="13" customHeight="1">
      <c r="A1508" s="45" t="inlineStr">
        <is>
          <t>12613</t>
        </is>
      </c>
      <c r="B1508" s="45" t="inlineStr">
        <is>
          <t>24818</t>
        </is>
      </c>
      <c r="C1508" s="45" t="inlineStr">
        <is>
          <t>2×12409</t>
        </is>
      </c>
      <c r="D1508" s="45" t="inlineStr">
        <is>
          <t>2</t>
        </is>
      </c>
      <c r="E1508" s="45" t="inlineStr"/>
      <c r="F1508" s="45" t="inlineStr"/>
    </row>
    <row r="1509" ht="13" customHeight="1">
      <c r="A1509" s="49" t="inlineStr">
        <is>
          <t>12619</t>
        </is>
      </c>
      <c r="B1509" s="49" t="inlineStr">
        <is>
          <t>22965</t>
        </is>
      </c>
      <c r="C1509" s="49" t="inlineStr">
        <is>
          <t>3×5×1531</t>
        </is>
      </c>
      <c r="D1509" s="49" t="inlineStr">
        <is>
          <t>3·5</t>
        </is>
      </c>
      <c r="E1509" s="49" t="inlineStr"/>
      <c r="F1509" s="49" t="inlineStr"/>
    </row>
    <row r="1510" ht="13" customHeight="1">
      <c r="A1510" s="45" t="inlineStr">
        <is>
          <t>12637</t>
        </is>
      </c>
      <c r="B1510" s="45" t="inlineStr">
        <is>
          <t>28858</t>
        </is>
      </c>
      <c r="C1510" s="45" t="inlineStr">
        <is>
          <t>2×47×307</t>
        </is>
      </c>
      <c r="D1510" s="45" t="inlineStr">
        <is>
          <t>2</t>
        </is>
      </c>
      <c r="E1510" s="45" t="inlineStr"/>
      <c r="F1510" s="45" t="inlineStr"/>
    </row>
    <row r="1511" ht="13" customHeight="1">
      <c r="A1511" s="43" t="inlineStr">
        <is>
          <t>12641</t>
        </is>
      </c>
      <c r="B1511" s="43" t="inlineStr">
        <is>
          <t>37818</t>
        </is>
      </c>
      <c r="C1511" s="43" t="inlineStr">
        <is>
          <t>2×3×3×11×191</t>
        </is>
      </c>
      <c r="D1511" s="43" t="inlineStr">
        <is>
          <t>2·3·11</t>
        </is>
      </c>
      <c r="E1511" s="43" t="inlineStr"/>
      <c r="F1511" s="43" t="inlineStr"/>
    </row>
    <row r="1512" ht="13" customHeight="1">
      <c r="A1512" s="45" t="inlineStr">
        <is>
          <t>12647</t>
        </is>
      </c>
      <c r="B1512" s="45" t="inlineStr">
        <is>
          <t>39115</t>
        </is>
      </c>
      <c r="C1512" s="45" t="inlineStr">
        <is>
          <t>5×7823</t>
        </is>
      </c>
      <c r="D1512" s="45" t="inlineStr">
        <is>
          <t>5</t>
        </is>
      </c>
      <c r="E1512" s="45" t="inlineStr"/>
      <c r="F1512" s="45" t="inlineStr"/>
    </row>
    <row r="1513" ht="13" customHeight="1">
      <c r="A1513" s="49" t="inlineStr">
        <is>
          <t>12653</t>
        </is>
      </c>
      <c r="B1513" s="49" t="inlineStr">
        <is>
          <t>26569</t>
        </is>
      </c>
      <c r="C1513" s="49" t="inlineStr">
        <is>
          <t>163×163</t>
        </is>
      </c>
      <c r="D1513" s="49" t="inlineStr">
        <is>
          <t>—</t>
        </is>
      </c>
      <c r="E1513" s="49" t="inlineStr"/>
      <c r="F1513" s="49" t="inlineStr"/>
    </row>
    <row r="1514" ht="13" customHeight="1">
      <c r="A1514" s="50" t="inlineStr">
        <is>
          <t>12659</t>
        </is>
      </c>
      <c r="B1514" s="50" t="inlineStr">
        <is>
          <t>39847</t>
        </is>
      </c>
      <c r="C1514" s="50" t="inlineStr">
        <is>
          <t>39847</t>
        </is>
      </c>
      <c r="D1514" s="50" t="inlineStr">
        <is>
          <t>—</t>
        </is>
      </c>
      <c r="E1514" s="50" t="inlineStr"/>
      <c r="F1514" s="50" t="inlineStr"/>
    </row>
    <row r="1515" ht="13" customHeight="1">
      <c r="A1515" s="49" t="inlineStr">
        <is>
          <t>12671</t>
        </is>
      </c>
      <c r="B1515" s="49" t="inlineStr">
        <is>
          <t>31475</t>
        </is>
      </c>
      <c r="C1515" s="49" t="inlineStr">
        <is>
          <t>5×5×1259</t>
        </is>
      </c>
      <c r="D1515" s="49" t="inlineStr">
        <is>
          <t>5</t>
        </is>
      </c>
      <c r="E1515" s="49" t="inlineStr"/>
      <c r="F1515" s="49" t="inlineStr"/>
    </row>
    <row r="1516" ht="13" customHeight="1">
      <c r="A1516" s="41" t="inlineStr">
        <is>
          <t>12689</t>
        </is>
      </c>
      <c r="B1516" s="41" t="inlineStr">
        <is>
          <t>8483</t>
        </is>
      </c>
      <c r="C1516" s="41" t="inlineStr">
        <is>
          <t>17×499</t>
        </is>
      </c>
      <c r="D1516" s="41" t="inlineStr">
        <is>
          <t>17</t>
        </is>
      </c>
      <c r="E1516" s="41" t="inlineStr"/>
      <c r="F1516" s="41" t="inlineStr"/>
    </row>
    <row r="1517" ht="13" customHeight="1">
      <c r="A1517" s="49" t="inlineStr">
        <is>
          <t>12697</t>
        </is>
      </c>
      <c r="B1517" s="49" t="inlineStr">
        <is>
          <t>12962</t>
        </is>
      </c>
      <c r="C1517" s="49" t="inlineStr">
        <is>
          <t>2×6481</t>
        </is>
      </c>
      <c r="D1517" s="49" t="inlineStr">
        <is>
          <t>2</t>
        </is>
      </c>
      <c r="E1517" s="49" t="inlineStr"/>
      <c r="F1517" s="49" t="inlineStr"/>
    </row>
    <row r="1518" ht="13" customHeight="1">
      <c r="A1518" s="50" t="inlineStr">
        <is>
          <t>12703</t>
        </is>
      </c>
      <c r="B1518" s="50" t="inlineStr">
        <is>
          <t>12049</t>
        </is>
      </c>
      <c r="C1518" s="50" t="inlineStr">
        <is>
          <t>12049</t>
        </is>
      </c>
      <c r="D1518" s="50" t="inlineStr">
        <is>
          <t>—</t>
        </is>
      </c>
      <c r="E1518" s="50" t="inlineStr"/>
      <c r="F1518" s="50" t="inlineStr"/>
    </row>
    <row r="1519" ht="13" customHeight="1">
      <c r="A1519" s="49" t="inlineStr">
        <is>
          <t>12713</t>
        </is>
      </c>
      <c r="B1519" s="49" t="inlineStr">
        <is>
          <t>34552</t>
        </is>
      </c>
      <c r="C1519" s="49" t="inlineStr">
        <is>
          <t>2×2×2×7×617</t>
        </is>
      </c>
      <c r="D1519" s="49" t="inlineStr">
        <is>
          <t>2·7</t>
        </is>
      </c>
      <c r="E1519" s="49" t="inlineStr"/>
      <c r="F1519" s="49" t="inlineStr"/>
    </row>
    <row r="1520" ht="13" customHeight="1">
      <c r="A1520" s="45" t="inlineStr">
        <is>
          <t>12721</t>
        </is>
      </c>
      <c r="B1520" s="45" t="inlineStr">
        <is>
          <t>32056</t>
        </is>
      </c>
      <c r="C1520" s="45" t="inlineStr">
        <is>
          <t>2×2×2×4007</t>
        </is>
      </c>
      <c r="D1520" s="45" t="inlineStr">
        <is>
          <t>2</t>
        </is>
      </c>
      <c r="E1520" s="45" t="inlineStr"/>
      <c r="F1520" s="45" t="inlineStr"/>
    </row>
    <row r="1521" ht="13" customHeight="1">
      <c r="A1521" s="39" t="inlineStr">
        <is>
          <t>12739</t>
        </is>
      </c>
      <c r="B1521" s="39" t="inlineStr">
        <is>
          <t>6125</t>
        </is>
      </c>
      <c r="C1521" s="39" t="inlineStr">
        <is>
          <t>5×5×5×7×7</t>
        </is>
      </c>
      <c r="D1521" s="39" t="inlineStr">
        <is>
          <t>5·7</t>
        </is>
      </c>
      <c r="E1521" s="39" t="inlineStr"/>
      <c r="F1521" s="39" t="inlineStr"/>
    </row>
    <row r="1522" ht="13" customHeight="1">
      <c r="A1522" s="45" t="inlineStr">
        <is>
          <t>12743</t>
        </is>
      </c>
      <c r="B1522" s="45" t="inlineStr">
        <is>
          <t>20952</t>
        </is>
      </c>
      <c r="C1522" s="45" t="inlineStr">
        <is>
          <t>2×2×2×3×3×3×97</t>
        </is>
      </c>
      <c r="D1522" s="45" t="inlineStr">
        <is>
          <t>2·3</t>
        </is>
      </c>
      <c r="E1522" s="45" t="inlineStr"/>
      <c r="F1522" s="45" t="inlineStr"/>
    </row>
    <row r="1523" ht="13" customHeight="1">
      <c r="A1523" s="49" t="inlineStr">
        <is>
          <t>12757</t>
        </is>
      </c>
      <c r="B1523" s="49" t="inlineStr">
        <is>
          <t>2817</t>
        </is>
      </c>
      <c r="C1523" s="49" t="inlineStr">
        <is>
          <t>3×3×313</t>
        </is>
      </c>
      <c r="D1523" s="49" t="inlineStr">
        <is>
          <t>3</t>
        </is>
      </c>
      <c r="E1523" s="49" t="inlineStr"/>
      <c r="F1523" s="49" t="inlineStr"/>
    </row>
    <row r="1524" ht="13" customHeight="1">
      <c r="A1524" s="45" t="inlineStr">
        <is>
          <t>12763</t>
        </is>
      </c>
      <c r="B1524" s="45" t="inlineStr">
        <is>
          <t>38877</t>
        </is>
      </c>
      <c r="C1524" s="45" t="inlineStr">
        <is>
          <t>3×12959</t>
        </is>
      </c>
      <c r="D1524" s="45" t="inlineStr">
        <is>
          <t>3</t>
        </is>
      </c>
      <c r="E1524" s="45" t="inlineStr"/>
      <c r="F1524" s="45" t="inlineStr"/>
    </row>
    <row r="1525" ht="13" customHeight="1">
      <c r="A1525" s="49" t="inlineStr">
        <is>
          <t>12781</t>
        </is>
      </c>
      <c r="B1525" s="49" t="inlineStr">
        <is>
          <t>17275</t>
        </is>
      </c>
      <c r="C1525" s="49" t="inlineStr">
        <is>
          <t>5×5×691</t>
        </is>
      </c>
      <c r="D1525" s="49" t="inlineStr">
        <is>
          <t>5</t>
        </is>
      </c>
      <c r="E1525" s="49" t="inlineStr"/>
      <c r="F1525" s="49" t="inlineStr"/>
    </row>
    <row r="1526" ht="13" customHeight="1">
      <c r="A1526" s="41" t="inlineStr">
        <is>
          <t>12791</t>
        </is>
      </c>
      <c r="B1526" s="41" t="inlineStr">
        <is>
          <t>13728</t>
        </is>
      </c>
      <c r="C1526" s="41" t="inlineStr">
        <is>
          <t>2×2×2×2×2×3×11×13</t>
        </is>
      </c>
      <c r="D1526" s="41" t="inlineStr">
        <is>
          <t>2·3·11·13</t>
        </is>
      </c>
      <c r="E1526" s="41" t="inlineStr"/>
      <c r="F1526" s="41" t="inlineStr"/>
    </row>
    <row r="1527" ht="13" customHeight="1">
      <c r="A1527" s="49" t="inlineStr">
        <is>
          <t>12799</t>
        </is>
      </c>
      <c r="B1527" s="49" t="inlineStr">
        <is>
          <t>13146</t>
        </is>
      </c>
      <c r="C1527" s="49" t="inlineStr">
        <is>
          <t>2×3×7×313</t>
        </is>
      </c>
      <c r="D1527" s="49" t="inlineStr">
        <is>
          <t>2·3·7</t>
        </is>
      </c>
      <c r="E1527" s="49" t="inlineStr"/>
      <c r="F1527" s="49" t="inlineStr"/>
    </row>
    <row r="1528" ht="13" customHeight="1">
      <c r="A1528" s="43" t="inlineStr">
        <is>
          <t>12809</t>
        </is>
      </c>
      <c r="B1528" s="43" t="inlineStr">
        <is>
          <t>21571</t>
        </is>
      </c>
      <c r="C1528" s="43" t="inlineStr">
        <is>
          <t>11×37×53</t>
        </is>
      </c>
      <c r="D1528" s="43" t="inlineStr">
        <is>
          <t>11</t>
        </is>
      </c>
      <c r="E1528" s="43" t="inlineStr"/>
      <c r="F1528" s="43" t="inlineStr"/>
    </row>
    <row r="1529" ht="13" customHeight="1">
      <c r="A1529" s="49" t="inlineStr">
        <is>
          <t>12821</t>
        </is>
      </c>
      <c r="B1529" s="49" t="inlineStr">
        <is>
          <t>38460</t>
        </is>
      </c>
      <c r="C1529" s="49" t="inlineStr">
        <is>
          <t>2×2×3×5×641</t>
        </is>
      </c>
      <c r="D1529" s="49" t="inlineStr">
        <is>
          <t>2·3·5</t>
        </is>
      </c>
      <c r="E1529" s="49" t="inlineStr"/>
      <c r="F1529" s="49" t="inlineStr"/>
    </row>
    <row r="1530" ht="13" customHeight="1">
      <c r="A1530" s="41" t="inlineStr">
        <is>
          <t>12823</t>
        </is>
      </c>
      <c r="B1530" s="41" t="inlineStr">
        <is>
          <t>43299</t>
        </is>
      </c>
      <c r="C1530" s="41" t="inlineStr">
        <is>
          <t>3×3×17×283</t>
        </is>
      </c>
      <c r="D1530" s="41" t="inlineStr">
        <is>
          <t>3·17</t>
        </is>
      </c>
      <c r="E1530" s="41" t="inlineStr"/>
      <c r="F1530" s="41" t="inlineStr"/>
    </row>
    <row r="1531" ht="13" customHeight="1">
      <c r="A1531" s="49" t="inlineStr">
        <is>
          <t>12829</t>
        </is>
      </c>
      <c r="B1531" s="49" t="inlineStr">
        <is>
          <t>7760</t>
        </is>
      </c>
      <c r="C1531" s="49" t="inlineStr">
        <is>
          <t>2×2×2×2×5×97</t>
        </is>
      </c>
      <c r="D1531" s="49" t="inlineStr">
        <is>
          <t>2·5</t>
        </is>
      </c>
      <c r="E1531" s="49" t="inlineStr"/>
      <c r="F1531" s="49" t="inlineStr"/>
    </row>
    <row r="1532" ht="13" customHeight="1">
      <c r="A1532" s="41" t="inlineStr">
        <is>
          <t>12841</t>
        </is>
      </c>
      <c r="B1532" s="41" t="inlineStr">
        <is>
          <t>17</t>
        </is>
      </c>
      <c r="C1532" s="41" t="inlineStr">
        <is>
          <t>17</t>
        </is>
      </c>
      <c r="D1532" s="41" t="inlineStr">
        <is>
          <t>17</t>
        </is>
      </c>
      <c r="E1532" s="41" t="inlineStr"/>
      <c r="F1532" s="41" t="inlineStr"/>
    </row>
    <row r="1533" ht="13" customHeight="1">
      <c r="A1533" s="49" t="inlineStr">
        <is>
          <t>12853</t>
        </is>
      </c>
      <c r="B1533" s="49" t="inlineStr">
        <is>
          <t>41219</t>
        </is>
      </c>
      <c r="C1533" s="49" t="inlineStr">
        <is>
          <t>47×877</t>
        </is>
      </c>
      <c r="D1533" s="49" t="inlineStr">
        <is>
          <t>—</t>
        </is>
      </c>
      <c r="E1533" s="49" t="inlineStr"/>
      <c r="F1533" s="49" t="inlineStr"/>
    </row>
    <row r="1534" ht="13" customHeight="1">
      <c r="A1534" s="41" t="inlineStr">
        <is>
          <t>12889</t>
        </is>
      </c>
      <c r="B1534" s="41" t="inlineStr">
        <is>
          <t>23562</t>
        </is>
      </c>
      <c r="C1534" s="41" t="inlineStr">
        <is>
          <t>2×3×3×7×11×17</t>
        </is>
      </c>
      <c r="D1534" s="41" t="inlineStr">
        <is>
          <t>2·3·7·11·17</t>
        </is>
      </c>
      <c r="E1534" s="41" t="inlineStr"/>
      <c r="F1534" s="41" t="inlineStr"/>
    </row>
    <row r="1535" ht="13" customHeight="1">
      <c r="A1535" s="49" t="inlineStr">
        <is>
          <t>12893</t>
        </is>
      </c>
      <c r="B1535" s="49" t="inlineStr">
        <is>
          <t>35368</t>
        </is>
      </c>
      <c r="C1535" s="49" t="inlineStr">
        <is>
          <t>2×2×2×4421</t>
        </is>
      </c>
      <c r="D1535" s="49" t="inlineStr">
        <is>
          <t>2</t>
        </is>
      </c>
      <c r="E1535" s="49" t="inlineStr"/>
      <c r="F1535" s="49" t="inlineStr"/>
    </row>
    <row r="1536" ht="13" customHeight="1">
      <c r="A1536" s="45" t="inlineStr">
        <is>
          <t>12899</t>
        </is>
      </c>
      <c r="B1536" s="45" t="inlineStr">
        <is>
          <t>10537</t>
        </is>
      </c>
      <c r="C1536" s="45" t="inlineStr">
        <is>
          <t>41×257</t>
        </is>
      </c>
      <c r="D1536" s="45" t="inlineStr">
        <is>
          <t>—</t>
        </is>
      </c>
      <c r="E1536" s="45" t="inlineStr"/>
      <c r="F1536" s="45" t="inlineStr"/>
    </row>
    <row r="1537" ht="13" customHeight="1">
      <c r="A1537" s="49" t="inlineStr">
        <is>
          <t>12907</t>
        </is>
      </c>
      <c r="B1537" s="49" t="inlineStr">
        <is>
          <t>13938</t>
        </is>
      </c>
      <c r="C1537" s="49" t="inlineStr">
        <is>
          <t>2×3×23×101</t>
        </is>
      </c>
      <c r="D1537" s="49" t="inlineStr">
        <is>
          <t>2·3</t>
        </is>
      </c>
      <c r="E1537" s="49" t="inlineStr"/>
      <c r="F1537" s="49" t="inlineStr"/>
    </row>
    <row r="1538" ht="13" customHeight="1">
      <c r="A1538" s="45" t="inlineStr">
        <is>
          <t>12911</t>
        </is>
      </c>
      <c r="B1538" s="45" t="inlineStr">
        <is>
          <t>42556</t>
        </is>
      </c>
      <c r="C1538" s="45" t="inlineStr">
        <is>
          <t>2×2×10639</t>
        </is>
      </c>
      <c r="D1538" s="45" t="inlineStr">
        <is>
          <t>2</t>
        </is>
      </c>
      <c r="E1538" s="45" t="inlineStr"/>
      <c r="F1538" s="45" t="inlineStr"/>
    </row>
    <row r="1539" ht="13" customHeight="1">
      <c r="A1539" s="49" t="inlineStr">
        <is>
          <t>12917</t>
        </is>
      </c>
      <c r="B1539" s="49" t="inlineStr">
        <is>
          <t>26307</t>
        </is>
      </c>
      <c r="C1539" s="49" t="inlineStr">
        <is>
          <t>3×3×37×79</t>
        </is>
      </c>
      <c r="D1539" s="49" t="inlineStr">
        <is>
          <t>3</t>
        </is>
      </c>
      <c r="E1539" s="49" t="inlineStr"/>
      <c r="F1539" s="49" t="inlineStr"/>
    </row>
    <row r="1540" ht="13" customHeight="1">
      <c r="A1540" s="45" t="inlineStr">
        <is>
          <t>12919</t>
        </is>
      </c>
      <c r="B1540" s="45" t="inlineStr">
        <is>
          <t>16538</t>
        </is>
      </c>
      <c r="C1540" s="45" t="inlineStr">
        <is>
          <t>2×8269</t>
        </is>
      </c>
      <c r="D1540" s="45" t="inlineStr">
        <is>
          <t>2</t>
        </is>
      </c>
      <c r="E1540" s="45" t="inlineStr"/>
      <c r="F1540" s="45" t="inlineStr"/>
    </row>
    <row r="1541" ht="13" customHeight="1">
      <c r="A1541" s="51" t="inlineStr">
        <is>
          <t>12923</t>
        </is>
      </c>
      <c r="B1541" s="51" t="inlineStr">
        <is>
          <t>8379</t>
        </is>
      </c>
      <c r="C1541" s="51" t="inlineStr">
        <is>
          <t>3×3×7×7×19</t>
        </is>
      </c>
      <c r="D1541" s="51" t="inlineStr">
        <is>
          <t>3·7·19</t>
        </is>
      </c>
      <c r="E1541" s="51" t="inlineStr"/>
      <c r="F1541" s="51" t="inlineStr"/>
    </row>
    <row r="1542" ht="13" customHeight="1">
      <c r="A1542" s="45" t="inlineStr">
        <is>
          <t>12941</t>
        </is>
      </c>
      <c r="B1542" s="45" t="inlineStr">
        <is>
          <t>34208</t>
        </is>
      </c>
      <c r="C1542" s="45" t="inlineStr">
        <is>
          <t>2×2×2×2×2×1069</t>
        </is>
      </c>
      <c r="D1542" s="45" t="inlineStr">
        <is>
          <t>2</t>
        </is>
      </c>
      <c r="E1542" s="45" t="inlineStr"/>
      <c r="F1542" s="45" t="inlineStr"/>
    </row>
    <row r="1543" ht="13" customHeight="1">
      <c r="A1543" s="41" t="inlineStr">
        <is>
          <t>12953</t>
        </is>
      </c>
      <c r="B1543" s="41" t="inlineStr">
        <is>
          <t>26000</t>
        </is>
      </c>
      <c r="C1543" s="41" t="inlineStr">
        <is>
          <t>2×2×2×2×5×5×5×13</t>
        </is>
      </c>
      <c r="D1543" s="41" t="inlineStr">
        <is>
          <t>2·5·13</t>
        </is>
      </c>
      <c r="E1543" s="41" t="inlineStr"/>
      <c r="F1543" s="41" t="inlineStr"/>
    </row>
    <row r="1544" ht="13" customHeight="1">
      <c r="A1544" s="45" t="inlineStr">
        <is>
          <t>12959</t>
        </is>
      </c>
      <c r="B1544" s="45" t="inlineStr">
        <is>
          <t>25947</t>
        </is>
      </c>
      <c r="C1544" s="45" t="inlineStr">
        <is>
          <t>3×3×3×31×31</t>
        </is>
      </c>
      <c r="D1544" s="45" t="inlineStr">
        <is>
          <t>3</t>
        </is>
      </c>
      <c r="E1544" s="45" t="inlineStr"/>
      <c r="F1544" s="45" t="inlineStr"/>
    </row>
    <row r="1545" ht="13" customHeight="1">
      <c r="A1545" s="49" t="inlineStr">
        <is>
          <t>12967</t>
        </is>
      </c>
      <c r="B1545" s="49" t="inlineStr">
        <is>
          <t>5173</t>
        </is>
      </c>
      <c r="C1545" s="49" t="inlineStr">
        <is>
          <t>7×739</t>
        </is>
      </c>
      <c r="D1545" s="49" t="inlineStr">
        <is>
          <t>7</t>
        </is>
      </c>
      <c r="E1545" s="49" t="inlineStr"/>
      <c r="F1545" s="49" t="inlineStr"/>
    </row>
    <row r="1546" ht="13" customHeight="1">
      <c r="A1546" s="45" t="inlineStr">
        <is>
          <t>12973</t>
        </is>
      </c>
      <c r="B1546" s="45" t="inlineStr">
        <is>
          <t>4520</t>
        </is>
      </c>
      <c r="C1546" s="45" t="inlineStr">
        <is>
          <t>2×2×2×5×113</t>
        </is>
      </c>
      <c r="D1546" s="45" t="inlineStr">
        <is>
          <t>2·5</t>
        </is>
      </c>
      <c r="E1546" s="45" t="inlineStr"/>
      <c r="F1546" s="45" t="inlineStr"/>
    </row>
    <row r="1547" ht="13" customHeight="1">
      <c r="A1547" s="43" t="inlineStr">
        <is>
          <t>12979</t>
        </is>
      </c>
      <c r="B1547" s="43" t="inlineStr">
        <is>
          <t>9405</t>
        </is>
      </c>
      <c r="C1547" s="43" t="inlineStr">
        <is>
          <t>3×3×5×11×19</t>
        </is>
      </c>
      <c r="D1547" s="43" t="inlineStr">
        <is>
          <t>3·5·11·19</t>
        </is>
      </c>
      <c r="E1547" s="43" t="inlineStr"/>
      <c r="F1547" s="43" t="inlineStr"/>
    </row>
    <row r="1548" ht="13" customHeight="1">
      <c r="A1548" s="51" t="inlineStr">
        <is>
          <t>12983</t>
        </is>
      </c>
      <c r="B1548" s="51" t="inlineStr">
        <is>
          <t>22021</t>
        </is>
      </c>
      <c r="C1548" s="51" t="inlineStr">
        <is>
          <t>19×19×61</t>
        </is>
      </c>
      <c r="D1548" s="51" t="inlineStr">
        <is>
          <t>19</t>
        </is>
      </c>
      <c r="E1548" s="51" t="inlineStr"/>
      <c r="F1548" s="51" t="inlineStr"/>
    </row>
    <row r="1549" ht="13" customHeight="1">
      <c r="A1549" s="50" t="inlineStr">
        <is>
          <t>13001</t>
        </is>
      </c>
      <c r="B1549" s="50" t="inlineStr">
        <is>
          <t>12967</t>
        </is>
      </c>
      <c r="C1549" s="50" t="inlineStr">
        <is>
          <t>12967</t>
        </is>
      </c>
      <c r="D1549" s="50" t="inlineStr">
        <is>
          <t>—</t>
        </is>
      </c>
      <c r="E1549" s="50" t="inlineStr"/>
      <c r="F1549" s="50" t="inlineStr"/>
    </row>
    <row r="1550" ht="13" customHeight="1">
      <c r="A1550" s="45" t="inlineStr">
        <is>
          <t>13003</t>
        </is>
      </c>
      <c r="B1550" s="45" t="inlineStr">
        <is>
          <t>26162</t>
        </is>
      </c>
      <c r="C1550" s="45" t="inlineStr">
        <is>
          <t>2×103×127</t>
        </is>
      </c>
      <c r="D1550" s="45" t="inlineStr">
        <is>
          <t>2</t>
        </is>
      </c>
      <c r="E1550" s="45" t="inlineStr"/>
      <c r="F1550" s="45" t="inlineStr"/>
    </row>
    <row r="1551" ht="13" customHeight="1">
      <c r="A1551" s="49" t="inlineStr">
        <is>
          <t>13007</t>
        </is>
      </c>
      <c r="B1551" s="49" t="inlineStr">
        <is>
          <t>41764</t>
        </is>
      </c>
      <c r="C1551" s="49" t="inlineStr">
        <is>
          <t>2×2×53×197</t>
        </is>
      </c>
      <c r="D1551" s="49" t="inlineStr">
        <is>
          <t>2</t>
        </is>
      </c>
      <c r="E1551" s="49" t="inlineStr"/>
      <c r="F1551" s="49" t="inlineStr"/>
    </row>
    <row r="1552" ht="13" customHeight="1">
      <c r="A1552" s="50" t="inlineStr">
        <is>
          <t>13009</t>
        </is>
      </c>
      <c r="B1552" s="50" t="inlineStr">
        <is>
          <t>7703</t>
        </is>
      </c>
      <c r="C1552" s="50" t="inlineStr">
        <is>
          <t>7703</t>
        </is>
      </c>
      <c r="D1552" s="50" t="inlineStr">
        <is>
          <t>—</t>
        </is>
      </c>
      <c r="E1552" s="50" t="inlineStr"/>
      <c r="F1552" s="50" t="inlineStr"/>
    </row>
    <row r="1553" ht="13" customHeight="1">
      <c r="A1553" s="41" t="inlineStr">
        <is>
          <t>13033</t>
        </is>
      </c>
      <c r="B1553" s="41" t="inlineStr">
        <is>
          <t>28418</t>
        </is>
      </c>
      <c r="C1553" s="41" t="inlineStr">
        <is>
          <t>2×13×1093</t>
        </is>
      </c>
      <c r="D1553" s="41" t="inlineStr">
        <is>
          <t>2·13</t>
        </is>
      </c>
      <c r="E1553" s="41" t="inlineStr"/>
      <c r="F1553" s="41" t="inlineStr"/>
    </row>
    <row r="1554" ht="13" customHeight="1">
      <c r="A1554" s="45" t="inlineStr">
        <is>
          <t>13037</t>
        </is>
      </c>
      <c r="B1554" s="45" t="inlineStr">
        <is>
          <t>2036</t>
        </is>
      </c>
      <c r="C1554" s="45" t="inlineStr">
        <is>
          <t>2×2×509</t>
        </is>
      </c>
      <c r="D1554" s="45" t="inlineStr">
        <is>
          <t>2</t>
        </is>
      </c>
      <c r="E1554" s="45" t="inlineStr"/>
      <c r="F1554" s="45" t="inlineStr"/>
    </row>
    <row r="1555" ht="13" customHeight="1">
      <c r="A1555" s="49" t="inlineStr">
        <is>
          <t>13043</t>
        </is>
      </c>
      <c r="B1555" s="49" t="inlineStr">
        <is>
          <t>15078</t>
        </is>
      </c>
      <c r="C1555" s="49" t="inlineStr">
        <is>
          <t>2×3×7×359</t>
        </is>
      </c>
      <c r="D1555" s="49" t="inlineStr">
        <is>
          <t>2·3·7</t>
        </is>
      </c>
      <c r="E1555" s="49" t="inlineStr"/>
      <c r="F1555" s="49" t="inlineStr"/>
    </row>
    <row r="1556" ht="13" customHeight="1">
      <c r="A1556" s="45" t="inlineStr">
        <is>
          <t>13049</t>
        </is>
      </c>
      <c r="B1556" s="45" t="inlineStr">
        <is>
          <t>4899</t>
        </is>
      </c>
      <c r="C1556" s="45" t="inlineStr">
        <is>
          <t>3×23×71</t>
        </is>
      </c>
      <c r="D1556" s="45" t="inlineStr">
        <is>
          <t>3</t>
        </is>
      </c>
      <c r="E1556" s="45" t="inlineStr"/>
      <c r="F1556" s="45" t="inlineStr"/>
    </row>
    <row r="1557" ht="13" customHeight="1">
      <c r="A1557" s="50" t="inlineStr">
        <is>
          <t>13063</t>
        </is>
      </c>
      <c r="B1557" s="50" t="inlineStr">
        <is>
          <t>14947</t>
        </is>
      </c>
      <c r="C1557" s="50" t="inlineStr">
        <is>
          <t>14947</t>
        </is>
      </c>
      <c r="D1557" s="50" t="inlineStr">
        <is>
          <t>—</t>
        </is>
      </c>
      <c r="E1557" s="50" t="inlineStr"/>
      <c r="F1557" s="50" t="inlineStr"/>
    </row>
    <row r="1558" ht="13" customHeight="1">
      <c r="A1558" s="43" t="inlineStr">
        <is>
          <t>13093</t>
        </is>
      </c>
      <c r="B1558" s="43" t="inlineStr">
        <is>
          <t>847</t>
        </is>
      </c>
      <c r="C1558" s="43" t="inlineStr">
        <is>
          <t>7×11×11</t>
        </is>
      </c>
      <c r="D1558" s="43" t="inlineStr">
        <is>
          <t>7·11</t>
        </is>
      </c>
      <c r="E1558" s="43" t="inlineStr"/>
      <c r="F1558" s="43" t="inlineStr"/>
    </row>
    <row r="1559" ht="13" customHeight="1">
      <c r="A1559" s="49" t="inlineStr">
        <is>
          <t>13099</t>
        </is>
      </c>
      <c r="B1559" s="49" t="inlineStr">
        <is>
          <t>644</t>
        </is>
      </c>
      <c r="C1559" s="49" t="inlineStr">
        <is>
          <t>2×2×7×23</t>
        </is>
      </c>
      <c r="D1559" s="49" t="inlineStr">
        <is>
          <t>2·7</t>
        </is>
      </c>
      <c r="E1559" s="49" t="inlineStr"/>
      <c r="F1559" s="49" t="inlineStr"/>
    </row>
    <row r="1560" ht="13" customHeight="1">
      <c r="A1560" s="41" t="inlineStr">
        <is>
          <t>13103</t>
        </is>
      </c>
      <c r="B1560" s="41" t="inlineStr">
        <is>
          <t>21983</t>
        </is>
      </c>
      <c r="C1560" s="41" t="inlineStr">
        <is>
          <t>13×19×89</t>
        </is>
      </c>
      <c r="D1560" s="41" t="inlineStr">
        <is>
          <t>13·19</t>
        </is>
      </c>
      <c r="E1560" s="41" t="inlineStr"/>
      <c r="F1560" s="41" t="inlineStr"/>
    </row>
    <row r="1561" ht="13" customHeight="1">
      <c r="A1561" s="50" t="inlineStr">
        <is>
          <t>13109</t>
        </is>
      </c>
      <c r="B1561" s="50" t="inlineStr">
        <is>
          <t>39979</t>
        </is>
      </c>
      <c r="C1561" s="50" t="inlineStr">
        <is>
          <t>39979</t>
        </is>
      </c>
      <c r="D1561" s="50" t="inlineStr">
        <is>
          <t>—</t>
        </is>
      </c>
      <c r="E1561" s="50" t="inlineStr"/>
      <c r="F1561" s="50" t="inlineStr"/>
    </row>
    <row r="1562" ht="13" customHeight="1">
      <c r="A1562" s="45" t="inlineStr">
        <is>
          <t>13121</t>
        </is>
      </c>
      <c r="B1562" s="45" t="inlineStr">
        <is>
          <t>19520</t>
        </is>
      </c>
      <c r="C1562" s="45" t="inlineStr">
        <is>
          <t>2×2×2×2×2×2×5×61</t>
        </is>
      </c>
      <c r="D1562" s="45" t="inlineStr">
        <is>
          <t>2·5</t>
        </is>
      </c>
      <c r="E1562" s="45" t="inlineStr"/>
      <c r="F1562" s="45" t="inlineStr"/>
    </row>
    <row r="1563" ht="13" customHeight="1">
      <c r="A1563" s="49" t="inlineStr">
        <is>
          <t>13127</t>
        </is>
      </c>
      <c r="B1563" s="49" t="inlineStr">
        <is>
          <t>35304</t>
        </is>
      </c>
      <c r="C1563" s="49" t="inlineStr">
        <is>
          <t>2×2×2×3×1471</t>
        </is>
      </c>
      <c r="D1563" s="49" t="inlineStr">
        <is>
          <t>2·3</t>
        </is>
      </c>
      <c r="E1563" s="49" t="inlineStr"/>
      <c r="F1563" s="49" t="inlineStr"/>
    </row>
    <row r="1564" ht="13" customHeight="1">
      <c r="A1564" s="45" t="inlineStr">
        <is>
          <t>13147</t>
        </is>
      </c>
      <c r="B1564" s="45" t="inlineStr">
        <is>
          <t>19560</t>
        </is>
      </c>
      <c r="C1564" s="45" t="inlineStr">
        <is>
          <t>2×2×2×3×5×163</t>
        </is>
      </c>
      <c r="D1564" s="45" t="inlineStr">
        <is>
          <t>2·3·5</t>
        </is>
      </c>
      <c r="E1564" s="45" t="inlineStr"/>
      <c r="F1564" s="45" t="inlineStr"/>
    </row>
    <row r="1565" ht="13" customHeight="1">
      <c r="A1565" s="49" t="inlineStr">
        <is>
          <t>13151</t>
        </is>
      </c>
      <c r="B1565" s="49" t="inlineStr">
        <is>
          <t>13586</t>
        </is>
      </c>
      <c r="C1565" s="49" t="inlineStr">
        <is>
          <t>2×6793</t>
        </is>
      </c>
      <c r="D1565" s="49" t="inlineStr">
        <is>
          <t>2</t>
        </is>
      </c>
      <c r="E1565" s="49" t="inlineStr"/>
      <c r="F1565" s="49" t="inlineStr"/>
    </row>
    <row r="1566" ht="13" customHeight="1">
      <c r="A1566" s="45" t="inlineStr">
        <is>
          <t>13159</t>
        </is>
      </c>
      <c r="B1566" s="45" t="inlineStr">
        <is>
          <t>39866</t>
        </is>
      </c>
      <c r="C1566" s="45" t="inlineStr">
        <is>
          <t>2×31×643</t>
        </is>
      </c>
      <c r="D1566" s="45" t="inlineStr">
        <is>
          <t>2</t>
        </is>
      </c>
      <c r="E1566" s="45" t="inlineStr"/>
      <c r="F1566" s="45" t="inlineStr"/>
    </row>
    <row r="1567" ht="13" customHeight="1">
      <c r="A1567" s="49" t="inlineStr">
        <is>
          <t>13163</t>
        </is>
      </c>
      <c r="B1567" s="49" t="inlineStr">
        <is>
          <t>4293</t>
        </is>
      </c>
      <c r="C1567" s="49" t="inlineStr">
        <is>
          <t>3×3×3×3×53</t>
        </is>
      </c>
      <c r="D1567" s="49" t="inlineStr">
        <is>
          <t>3</t>
        </is>
      </c>
      <c r="E1567" s="49" t="inlineStr"/>
      <c r="F1567" s="49" t="inlineStr"/>
    </row>
    <row r="1568" ht="13" customHeight="1">
      <c r="A1568" s="45" t="inlineStr">
        <is>
          <t>13171</t>
        </is>
      </c>
      <c r="B1568" s="45" t="inlineStr">
        <is>
          <t>43819</t>
        </is>
      </c>
      <c r="C1568" s="45" t="inlineStr">
        <is>
          <t>29×1511</t>
        </is>
      </c>
      <c r="D1568" s="45" t="inlineStr">
        <is>
          <t>—</t>
        </is>
      </c>
      <c r="E1568" s="45" t="inlineStr"/>
      <c r="F1568" s="45" t="inlineStr"/>
    </row>
    <row r="1569" ht="13" customHeight="1">
      <c r="A1569" s="50" t="inlineStr">
        <is>
          <t>13177</t>
        </is>
      </c>
      <c r="B1569" s="50" t="inlineStr">
        <is>
          <t>2857</t>
        </is>
      </c>
      <c r="C1569" s="50" t="inlineStr">
        <is>
          <t>2857</t>
        </is>
      </c>
      <c r="D1569" s="50" t="inlineStr">
        <is>
          <t>—</t>
        </is>
      </c>
      <c r="E1569" s="50" t="inlineStr"/>
      <c r="F1569" s="50" t="inlineStr"/>
    </row>
    <row r="1570" ht="13" customHeight="1">
      <c r="A1570" s="43" t="inlineStr">
        <is>
          <t>13183</t>
        </is>
      </c>
      <c r="B1570" s="43" t="inlineStr">
        <is>
          <t>28182</t>
        </is>
      </c>
      <c r="C1570" s="43" t="inlineStr">
        <is>
          <t>2×3×7×11×61</t>
        </is>
      </c>
      <c r="D1570" s="43" t="inlineStr">
        <is>
          <t>2·3·7·11</t>
        </is>
      </c>
      <c r="E1570" s="43" t="inlineStr"/>
      <c r="F1570" s="43" t="inlineStr"/>
    </row>
    <row r="1571" ht="13" customHeight="1">
      <c r="A1571" s="41" t="inlineStr">
        <is>
          <t>13187</t>
        </is>
      </c>
      <c r="B1571" s="41" t="inlineStr">
        <is>
          <t>4459</t>
        </is>
      </c>
      <c r="C1571" s="41" t="inlineStr">
        <is>
          <t>7×7×7×13</t>
        </is>
      </c>
      <c r="D1571" s="41" t="inlineStr">
        <is>
          <t>7·13</t>
        </is>
      </c>
      <c r="E1571" s="41" t="inlineStr"/>
      <c r="F1571" s="41" t="inlineStr"/>
    </row>
    <row r="1572" ht="13" customHeight="1">
      <c r="A1572" s="41" t="inlineStr">
        <is>
          <t>13217</t>
        </is>
      </c>
      <c r="B1572" s="41" t="inlineStr">
        <is>
          <t>13858</t>
        </is>
      </c>
      <c r="C1572" s="41" t="inlineStr">
        <is>
          <t>2×13×13×41</t>
        </is>
      </c>
      <c r="D1572" s="41" t="inlineStr">
        <is>
          <t>2·13</t>
        </is>
      </c>
      <c r="E1572" s="41" t="inlineStr"/>
      <c r="F1572" s="41" t="inlineStr"/>
    </row>
    <row r="1573" ht="13" customHeight="1">
      <c r="A1573" s="41" t="inlineStr">
        <is>
          <t>13219</t>
        </is>
      </c>
      <c r="B1573" s="41" t="inlineStr">
        <is>
          <t>7378</t>
        </is>
      </c>
      <c r="C1573" s="41" t="inlineStr">
        <is>
          <t>2×7×17×31</t>
        </is>
      </c>
      <c r="D1573" s="41" t="inlineStr">
        <is>
          <t>2·7·17</t>
        </is>
      </c>
      <c r="E1573" s="41" t="inlineStr"/>
      <c r="F1573" s="41" t="inlineStr"/>
    </row>
    <row r="1574" ht="13" customHeight="1">
      <c r="A1574" s="45" t="inlineStr">
        <is>
          <t>13229</t>
        </is>
      </c>
      <c r="B1574" s="45" t="inlineStr">
        <is>
          <t>28674</t>
        </is>
      </c>
      <c r="C1574" s="45" t="inlineStr">
        <is>
          <t>2×3×3×3×3×3×59</t>
        </is>
      </c>
      <c r="D1574" s="45" t="inlineStr">
        <is>
          <t>2·3</t>
        </is>
      </c>
      <c r="E1574" s="45" t="inlineStr"/>
      <c r="F1574" s="45" t="inlineStr"/>
    </row>
    <row r="1575" ht="13" customHeight="1">
      <c r="A1575" s="43" t="inlineStr">
        <is>
          <t>13241</t>
        </is>
      </c>
      <c r="B1575" s="43" t="inlineStr">
        <is>
          <t>25069</t>
        </is>
      </c>
      <c r="C1575" s="43" t="inlineStr">
        <is>
          <t>11×43×53</t>
        </is>
      </c>
      <c r="D1575" s="43" t="inlineStr">
        <is>
          <t>11</t>
        </is>
      </c>
      <c r="E1575" s="43" t="inlineStr"/>
      <c r="F1575" s="43" t="inlineStr"/>
    </row>
    <row r="1576" ht="13" customHeight="1">
      <c r="A1576" s="45" t="inlineStr">
        <is>
          <t>13249</t>
        </is>
      </c>
      <c r="B1576" s="45" t="inlineStr">
        <is>
          <t>23457</t>
        </is>
      </c>
      <c r="C1576" s="45" t="inlineStr">
        <is>
          <t>3×7×1117</t>
        </is>
      </c>
      <c r="D1576" s="45" t="inlineStr">
        <is>
          <t>3·7</t>
        </is>
      </c>
      <c r="E1576" s="45" t="inlineStr"/>
      <c r="F1576" s="45" t="inlineStr"/>
    </row>
    <row r="1577" ht="13" customHeight="1">
      <c r="A1577" s="41" t="inlineStr">
        <is>
          <t>13259</t>
        </is>
      </c>
      <c r="B1577" s="41" t="inlineStr">
        <is>
          <t>27560</t>
        </is>
      </c>
      <c r="C1577" s="41" t="inlineStr">
        <is>
          <t>2×2×2×5×13×53</t>
        </is>
      </c>
      <c r="D1577" s="41" t="inlineStr">
        <is>
          <t>2·5·13</t>
        </is>
      </c>
      <c r="E1577" s="41" t="inlineStr"/>
      <c r="F1577" s="41" t="inlineStr"/>
    </row>
    <row r="1578" ht="13" customHeight="1">
      <c r="A1578" s="43" t="inlineStr">
        <is>
          <t>13267</t>
        </is>
      </c>
      <c r="B1578" s="43" t="inlineStr">
        <is>
          <t>40029</t>
        </is>
      </c>
      <c r="C1578" s="43" t="inlineStr">
        <is>
          <t>3×11×1213</t>
        </is>
      </c>
      <c r="D1578" s="43" t="inlineStr">
        <is>
          <t>3·11</t>
        </is>
      </c>
      <c r="E1578" s="43" t="inlineStr"/>
      <c r="F1578" s="43" t="inlineStr"/>
    </row>
    <row r="1579" ht="13" customHeight="1">
      <c r="A1579" s="50" t="inlineStr">
        <is>
          <t>13291</t>
        </is>
      </c>
      <c r="B1579" s="50" t="inlineStr">
        <is>
          <t>21247</t>
        </is>
      </c>
      <c r="C1579" s="50" t="inlineStr">
        <is>
          <t>21247</t>
        </is>
      </c>
      <c r="D1579" s="50" t="inlineStr">
        <is>
          <t>—</t>
        </is>
      </c>
      <c r="E1579" s="50" t="inlineStr"/>
      <c r="F1579" s="50" t="inlineStr"/>
    </row>
    <row r="1580" ht="13" customHeight="1">
      <c r="A1580" s="45" t="inlineStr">
        <is>
          <t>13297</t>
        </is>
      </c>
      <c r="B1580" s="45" t="inlineStr">
        <is>
          <t>39893</t>
        </is>
      </c>
      <c r="C1580" s="45" t="inlineStr">
        <is>
          <t>7×41×139</t>
        </is>
      </c>
      <c r="D1580" s="45" t="inlineStr">
        <is>
          <t>7</t>
        </is>
      </c>
      <c r="E1580" s="45" t="inlineStr"/>
      <c r="F1580" s="45" t="inlineStr"/>
    </row>
    <row r="1581" ht="13" customHeight="1">
      <c r="A1581" s="41" t="inlineStr">
        <is>
          <t>13309</t>
        </is>
      </c>
      <c r="B1581" s="41" t="inlineStr">
        <is>
          <t>1235</t>
        </is>
      </c>
      <c r="C1581" s="41" t="inlineStr">
        <is>
          <t>5×13×19</t>
        </is>
      </c>
      <c r="D1581" s="41" t="inlineStr">
        <is>
          <t>5·13·19</t>
        </is>
      </c>
      <c r="E1581" s="41" t="inlineStr"/>
      <c r="F1581" s="41" t="inlineStr"/>
    </row>
    <row r="1582" ht="13" customHeight="1">
      <c r="A1582" s="41" t="inlineStr">
        <is>
          <t>13313</t>
        </is>
      </c>
      <c r="B1582" s="41" t="inlineStr">
        <is>
          <t>37451</t>
        </is>
      </c>
      <c r="C1582" s="41" t="inlineStr">
        <is>
          <t>17×2203</t>
        </is>
      </c>
      <c r="D1582" s="41" t="inlineStr">
        <is>
          <t>17</t>
        </is>
      </c>
      <c r="E1582" s="41" t="inlineStr"/>
      <c r="F1582" s="41" t="inlineStr"/>
    </row>
    <row r="1583" ht="13" customHeight="1">
      <c r="A1583" s="49" t="inlineStr">
        <is>
          <t>13327</t>
        </is>
      </c>
      <c r="B1583" s="49" t="inlineStr">
        <is>
          <t>444</t>
        </is>
      </c>
      <c r="C1583" s="49" t="inlineStr">
        <is>
          <t>2×2×3×37</t>
        </is>
      </c>
      <c r="D1583" s="49" t="inlineStr">
        <is>
          <t>2·3</t>
        </is>
      </c>
      <c r="E1583" s="49" t="inlineStr"/>
      <c r="F1583" s="49" t="inlineStr"/>
    </row>
    <row r="1584" ht="13" customHeight="1">
      <c r="A1584" s="45" t="inlineStr">
        <is>
          <t>13331</t>
        </is>
      </c>
      <c r="B1584" s="45" t="inlineStr">
        <is>
          <t>15296</t>
        </is>
      </c>
      <c r="C1584" s="45" t="inlineStr">
        <is>
          <t>2×2×2×2×2×2×239</t>
        </is>
      </c>
      <c r="D1584" s="45" t="inlineStr">
        <is>
          <t>2</t>
        </is>
      </c>
      <c r="E1584" s="45" t="inlineStr"/>
      <c r="F1584" s="45" t="inlineStr"/>
    </row>
    <row r="1585" ht="13" customHeight="1">
      <c r="A1585" s="49" t="inlineStr">
        <is>
          <t>13337</t>
        </is>
      </c>
      <c r="B1585" s="49" t="inlineStr">
        <is>
          <t>28497</t>
        </is>
      </c>
      <c r="C1585" s="49" t="inlineStr">
        <is>
          <t>3×7×23×59</t>
        </is>
      </c>
      <c r="D1585" s="49" t="inlineStr">
        <is>
          <t>3·7</t>
        </is>
      </c>
      <c r="E1585" s="49" t="inlineStr"/>
      <c r="F1585" s="49" t="inlineStr"/>
    </row>
    <row r="1586" ht="13" customHeight="1">
      <c r="A1586" s="41" t="inlineStr">
        <is>
          <t>13339</t>
        </is>
      </c>
      <c r="B1586" s="41" t="inlineStr">
        <is>
          <t>3861</t>
        </is>
      </c>
      <c r="C1586" s="41" t="inlineStr">
        <is>
          <t>3×3×3×11×13</t>
        </is>
      </c>
      <c r="D1586" s="41" t="inlineStr">
        <is>
          <t>3·11·13</t>
        </is>
      </c>
      <c r="E1586" s="41" t="inlineStr"/>
      <c r="F1586" s="41" t="inlineStr"/>
    </row>
    <row r="1587" ht="13" customHeight="1">
      <c r="A1587" s="49" t="inlineStr">
        <is>
          <t>13367</t>
        </is>
      </c>
      <c r="B1587" s="49" t="inlineStr">
        <is>
          <t>21232</t>
        </is>
      </c>
      <c r="C1587" s="49" t="inlineStr">
        <is>
          <t>2×2×2×2×1327</t>
        </is>
      </c>
      <c r="D1587" s="49" t="inlineStr">
        <is>
          <t>2</t>
        </is>
      </c>
      <c r="E1587" s="49" t="inlineStr"/>
      <c r="F1587" s="49" t="inlineStr"/>
    </row>
    <row r="1588" ht="13" customHeight="1">
      <c r="A1588" s="45" t="inlineStr">
        <is>
          <t>13381</t>
        </is>
      </c>
      <c r="B1588" s="45" t="inlineStr">
        <is>
          <t>26176</t>
        </is>
      </c>
      <c r="C1588" s="45" t="inlineStr">
        <is>
          <t>2×2×2×2×2×2×409</t>
        </is>
      </c>
      <c r="D1588" s="45" t="inlineStr">
        <is>
          <t>2</t>
        </is>
      </c>
      <c r="E1588" s="45" t="inlineStr"/>
      <c r="F1588" s="45" t="inlineStr"/>
    </row>
    <row r="1589" ht="13" customHeight="1">
      <c r="A1589" s="49" t="inlineStr">
        <is>
          <t>13397</t>
        </is>
      </c>
      <c r="B1589" s="49" t="inlineStr">
        <is>
          <t>20742</t>
        </is>
      </c>
      <c r="C1589" s="49" t="inlineStr">
        <is>
          <t>2×3×3457</t>
        </is>
      </c>
      <c r="D1589" s="49" t="inlineStr">
        <is>
          <t>2·3</t>
        </is>
      </c>
      <c r="E1589" s="49" t="inlineStr"/>
      <c r="F1589" s="49" t="inlineStr"/>
    </row>
    <row r="1590" ht="13" customHeight="1">
      <c r="A1590" s="45" t="inlineStr">
        <is>
          <t>13399</t>
        </is>
      </c>
      <c r="B1590" s="45" t="inlineStr">
        <is>
          <t>25020</t>
        </is>
      </c>
      <c r="C1590" s="45" t="inlineStr">
        <is>
          <t>2×2×3×3×5×139</t>
        </is>
      </c>
      <c r="D1590" s="45" t="inlineStr">
        <is>
          <t>2·3·5</t>
        </is>
      </c>
      <c r="E1590" s="45" t="inlineStr"/>
      <c r="F1590" s="45" t="inlineStr"/>
    </row>
    <row r="1591" ht="13" customHeight="1">
      <c r="A1591" s="49" t="inlineStr">
        <is>
          <t>13411</t>
        </is>
      </c>
      <c r="B1591" s="49" t="inlineStr">
        <is>
          <t>29521</t>
        </is>
      </c>
      <c r="C1591" s="49" t="inlineStr">
        <is>
          <t>53×557</t>
        </is>
      </c>
      <c r="D1591" s="49" t="inlineStr">
        <is>
          <t>—</t>
        </is>
      </c>
      <c r="E1591" s="49" t="inlineStr"/>
      <c r="F1591" s="49" t="inlineStr"/>
    </row>
    <row r="1592" ht="13" customHeight="1">
      <c r="A1592" s="45" t="inlineStr">
        <is>
          <t>13417</t>
        </is>
      </c>
      <c r="B1592" s="45" t="inlineStr">
        <is>
          <t>28466</t>
        </is>
      </c>
      <c r="C1592" s="45" t="inlineStr">
        <is>
          <t>2×43×331</t>
        </is>
      </c>
      <c r="D1592" s="45" t="inlineStr">
        <is>
          <t>2</t>
        </is>
      </c>
      <c r="E1592" s="45" t="inlineStr"/>
      <c r="F1592" s="45" t="inlineStr"/>
    </row>
    <row r="1593" ht="13" customHeight="1">
      <c r="A1593" s="49" t="inlineStr">
        <is>
          <t>13421</t>
        </is>
      </c>
      <c r="B1593" s="49" t="inlineStr">
        <is>
          <t>42626</t>
        </is>
      </c>
      <c r="C1593" s="49" t="inlineStr">
        <is>
          <t>2×21313</t>
        </is>
      </c>
      <c r="D1593" s="49" t="inlineStr">
        <is>
          <t>2</t>
        </is>
      </c>
      <c r="E1593" s="49" t="inlineStr"/>
      <c r="F1593" s="49" t="inlineStr"/>
    </row>
    <row r="1594" ht="13" customHeight="1">
      <c r="A1594" s="45" t="inlineStr">
        <is>
          <t>13441</t>
        </is>
      </c>
      <c r="B1594" s="45" t="inlineStr">
        <is>
          <t>30835</t>
        </is>
      </c>
      <c r="C1594" s="45" t="inlineStr">
        <is>
          <t>5×7×881</t>
        </is>
      </c>
      <c r="D1594" s="45" t="inlineStr">
        <is>
          <t>5·7</t>
        </is>
      </c>
      <c r="E1594" s="45" t="inlineStr"/>
      <c r="F1594" s="45" t="inlineStr"/>
    </row>
    <row r="1595" ht="13" customHeight="1">
      <c r="A1595" s="49" t="inlineStr">
        <is>
          <t>13451</t>
        </is>
      </c>
      <c r="B1595" s="49" t="inlineStr">
        <is>
          <t>26223</t>
        </is>
      </c>
      <c r="C1595" s="49" t="inlineStr">
        <is>
          <t>3×8741</t>
        </is>
      </c>
      <c r="D1595" s="49" t="inlineStr">
        <is>
          <t>3</t>
        </is>
      </c>
      <c r="E1595" s="49" t="inlineStr"/>
      <c r="F1595" s="49" t="inlineStr"/>
    </row>
    <row r="1596" ht="13" customHeight="1">
      <c r="A1596" s="51" t="inlineStr">
        <is>
          <t>13457</t>
        </is>
      </c>
      <c r="B1596" s="51" t="inlineStr">
        <is>
          <t>35473</t>
        </is>
      </c>
      <c r="C1596" s="51" t="inlineStr">
        <is>
          <t>19×1867</t>
        </is>
      </c>
      <c r="D1596" s="51" t="inlineStr">
        <is>
          <t>19</t>
        </is>
      </c>
      <c r="E1596" s="51" t="inlineStr"/>
      <c r="F1596" s="51" t="inlineStr"/>
    </row>
    <row r="1597" ht="13" customHeight="1">
      <c r="A1597" s="41" t="inlineStr">
        <is>
          <t>13463</t>
        </is>
      </c>
      <c r="B1597" s="41" t="inlineStr">
        <is>
          <t>16055</t>
        </is>
      </c>
      <c r="C1597" s="41" t="inlineStr">
        <is>
          <t>5×13×13×19</t>
        </is>
      </c>
      <c r="D1597" s="41" t="inlineStr">
        <is>
          <t>5·13·19</t>
        </is>
      </c>
      <c r="E1597" s="41" t="inlineStr"/>
      <c r="F1597" s="41" t="inlineStr"/>
    </row>
    <row r="1598" ht="13" customHeight="1">
      <c r="A1598" s="50" t="inlineStr">
        <is>
          <t>13469</t>
        </is>
      </c>
      <c r="B1598" s="50" t="inlineStr">
        <is>
          <t>43063</t>
        </is>
      </c>
      <c r="C1598" s="50" t="inlineStr">
        <is>
          <t>43063</t>
        </is>
      </c>
      <c r="D1598" s="50" t="inlineStr">
        <is>
          <t>—</t>
        </is>
      </c>
      <c r="E1598" s="50" t="inlineStr"/>
      <c r="F1598" s="50" t="inlineStr"/>
    </row>
    <row r="1599" ht="13" customHeight="1">
      <c r="A1599" s="49" t="inlineStr">
        <is>
          <t>13477</t>
        </is>
      </c>
      <c r="B1599" s="49" t="inlineStr">
        <is>
          <t>32750</t>
        </is>
      </c>
      <c r="C1599" s="49" t="inlineStr">
        <is>
          <t>2×5×5×5×131</t>
        </is>
      </c>
      <c r="D1599" s="49" t="inlineStr">
        <is>
          <t>2·5</t>
        </is>
      </c>
      <c r="E1599" s="49" t="inlineStr"/>
      <c r="F1599" s="49" t="inlineStr"/>
    </row>
    <row r="1600" ht="13" customHeight="1">
      <c r="A1600" s="45" t="inlineStr">
        <is>
          <t>13487</t>
        </is>
      </c>
      <c r="B1600" s="45" t="inlineStr">
        <is>
          <t>15380</t>
        </is>
      </c>
      <c r="C1600" s="45" t="inlineStr">
        <is>
          <t>2×2×5×769</t>
        </is>
      </c>
      <c r="D1600" s="45" t="inlineStr">
        <is>
          <t>2·5</t>
        </is>
      </c>
      <c r="E1600" s="45" t="inlineStr"/>
      <c r="F1600" s="45" t="inlineStr"/>
    </row>
    <row r="1601" ht="13" customHeight="1">
      <c r="A1601" s="49" t="inlineStr">
        <is>
          <t>13499</t>
        </is>
      </c>
      <c r="B1601" s="49" t="inlineStr">
        <is>
          <t>8399</t>
        </is>
      </c>
      <c r="C1601" s="49" t="inlineStr">
        <is>
          <t>37×227</t>
        </is>
      </c>
      <c r="D1601" s="49" t="inlineStr">
        <is>
          <t>—</t>
        </is>
      </c>
      <c r="E1601" s="49" t="inlineStr"/>
      <c r="F1601" s="49" t="inlineStr"/>
    </row>
    <row r="1602" ht="13" customHeight="1">
      <c r="A1602" s="45" t="inlineStr">
        <is>
          <t>13513</t>
        </is>
      </c>
      <c r="B1602" s="45" t="inlineStr">
        <is>
          <t>39592</t>
        </is>
      </c>
      <c r="C1602" s="45" t="inlineStr">
        <is>
          <t>2×2×2×7×7×101</t>
        </is>
      </c>
      <c r="D1602" s="45" t="inlineStr">
        <is>
          <t>2·7</t>
        </is>
      </c>
      <c r="E1602" s="45" t="inlineStr"/>
      <c r="F1602" s="45" t="inlineStr"/>
    </row>
    <row r="1603" ht="13" customHeight="1">
      <c r="A1603" s="39" t="inlineStr">
        <is>
          <t>13523</t>
        </is>
      </c>
      <c r="B1603" s="39" t="inlineStr">
        <is>
          <t>6860</t>
        </is>
      </c>
      <c r="C1603" s="39" t="inlineStr">
        <is>
          <t>2×2×5×7×7×7</t>
        </is>
      </c>
      <c r="D1603" s="39" t="inlineStr">
        <is>
          <t>2·5·7</t>
        </is>
      </c>
      <c r="E1603" s="39" t="inlineStr"/>
      <c r="F1603" s="39" t="inlineStr"/>
    </row>
    <row r="1604" ht="13" customHeight="1">
      <c r="A1604" s="45" t="inlineStr">
        <is>
          <t>13537</t>
        </is>
      </c>
      <c r="B1604" s="45" t="inlineStr">
        <is>
          <t>24568</t>
        </is>
      </c>
      <c r="C1604" s="45" t="inlineStr">
        <is>
          <t>2×2×2×37×83</t>
        </is>
      </c>
      <c r="D1604" s="45" t="inlineStr">
        <is>
          <t>2</t>
        </is>
      </c>
      <c r="E1604" s="45" t="inlineStr"/>
      <c r="F1604" s="45" t="inlineStr"/>
    </row>
    <row r="1605" ht="13" customHeight="1">
      <c r="A1605" s="49" t="inlineStr">
        <is>
          <t>13553</t>
        </is>
      </c>
      <c r="B1605" s="49" t="inlineStr">
        <is>
          <t>38724</t>
        </is>
      </c>
      <c r="C1605" s="49" t="inlineStr">
        <is>
          <t>2×2×3×7×461</t>
        </is>
      </c>
      <c r="D1605" s="49" t="inlineStr">
        <is>
          <t>2·3·7</t>
        </is>
      </c>
      <c r="E1605" s="49" t="inlineStr"/>
      <c r="F1605" s="49" t="inlineStr"/>
    </row>
    <row r="1606" ht="13" customHeight="1">
      <c r="A1606" s="45" t="inlineStr">
        <is>
          <t>13567</t>
        </is>
      </c>
      <c r="B1606" s="45" t="inlineStr">
        <is>
          <t>28525</t>
        </is>
      </c>
      <c r="C1606" s="45" t="inlineStr">
        <is>
          <t>5×5×7×163</t>
        </is>
      </c>
      <c r="D1606" s="45" t="inlineStr">
        <is>
          <t>5·7</t>
        </is>
      </c>
      <c r="E1606" s="45" t="inlineStr"/>
      <c r="F1606" s="45" t="inlineStr"/>
    </row>
    <row r="1607" ht="13" customHeight="1">
      <c r="A1607" s="49" t="inlineStr">
        <is>
          <t>13577</t>
        </is>
      </c>
      <c r="B1607" s="49" t="inlineStr">
        <is>
          <t>5024</t>
        </is>
      </c>
      <c r="C1607" s="49" t="inlineStr">
        <is>
          <t>2×2×2×2×2×157</t>
        </is>
      </c>
      <c r="D1607" s="49" t="inlineStr">
        <is>
          <t>2</t>
        </is>
      </c>
      <c r="E1607" s="49" t="inlineStr"/>
      <c r="F1607" s="49" t="inlineStr"/>
    </row>
    <row r="1608" ht="13" customHeight="1">
      <c r="A1608" s="51" t="inlineStr">
        <is>
          <t>13591</t>
        </is>
      </c>
      <c r="B1608" s="51" t="inlineStr">
        <is>
          <t>41477</t>
        </is>
      </c>
      <c r="C1608" s="51" t="inlineStr">
        <is>
          <t>19×37×59</t>
        </is>
      </c>
      <c r="D1608" s="51" t="inlineStr">
        <is>
          <t>19</t>
        </is>
      </c>
      <c r="E1608" s="51" t="inlineStr"/>
      <c r="F1608" s="51" t="inlineStr"/>
    </row>
    <row r="1609" ht="13" customHeight="1">
      <c r="A1609" s="49" t="inlineStr">
        <is>
          <t>13597</t>
        </is>
      </c>
      <c r="B1609" s="49" t="inlineStr">
        <is>
          <t>10154</t>
        </is>
      </c>
      <c r="C1609" s="49" t="inlineStr">
        <is>
          <t>2×5077</t>
        </is>
      </c>
      <c r="D1609" s="49" t="inlineStr">
        <is>
          <t>2</t>
        </is>
      </c>
      <c r="E1609" s="49" t="inlineStr"/>
      <c r="F1609" s="49" t="inlineStr"/>
    </row>
    <row r="1610" ht="13" customHeight="1">
      <c r="A1610" s="51" t="inlineStr">
        <is>
          <t>13613</t>
        </is>
      </c>
      <c r="B1610" s="51" t="inlineStr">
        <is>
          <t>25555</t>
        </is>
      </c>
      <c r="C1610" s="51" t="inlineStr">
        <is>
          <t>5×19×269</t>
        </is>
      </c>
      <c r="D1610" s="51" t="inlineStr">
        <is>
          <t>5·19</t>
        </is>
      </c>
      <c r="E1610" s="51" t="inlineStr"/>
      <c r="F1610" s="51" t="inlineStr"/>
    </row>
    <row r="1611" ht="13" customHeight="1">
      <c r="A1611" s="50" t="inlineStr">
        <is>
          <t>13619</t>
        </is>
      </c>
      <c r="B1611" s="50" t="inlineStr">
        <is>
          <t>5417</t>
        </is>
      </c>
      <c r="C1611" s="50" t="inlineStr">
        <is>
          <t>5417</t>
        </is>
      </c>
      <c r="D1611" s="50" t="inlineStr">
        <is>
          <t>—</t>
        </is>
      </c>
      <c r="E1611" s="50" t="inlineStr"/>
      <c r="F1611" s="50" t="inlineStr"/>
    </row>
    <row r="1612" ht="13" customHeight="1">
      <c r="A1612" s="51" t="inlineStr">
        <is>
          <t>13627</t>
        </is>
      </c>
      <c r="B1612" s="51" t="inlineStr">
        <is>
          <t>25859</t>
        </is>
      </c>
      <c r="C1612" s="51" t="inlineStr">
        <is>
          <t>19×1361</t>
        </is>
      </c>
      <c r="D1612" s="51" t="inlineStr">
        <is>
          <t>19</t>
        </is>
      </c>
      <c r="E1612" s="51" t="inlineStr"/>
      <c r="F1612" s="51" t="inlineStr"/>
    </row>
    <row r="1613" ht="13" customHeight="1">
      <c r="A1613" s="49" t="inlineStr">
        <is>
          <t>13633</t>
        </is>
      </c>
      <c r="B1613" s="49" t="inlineStr">
        <is>
          <t>16824</t>
        </is>
      </c>
      <c r="C1613" s="49" t="inlineStr">
        <is>
          <t>2×2×2×3×701</t>
        </is>
      </c>
      <c r="D1613" s="49" t="inlineStr">
        <is>
          <t>2·3</t>
        </is>
      </c>
      <c r="E1613" s="49" t="inlineStr"/>
      <c r="F1613" s="49" t="inlineStr"/>
    </row>
    <row r="1614" ht="13" customHeight="1">
      <c r="A1614" s="45" t="inlineStr">
        <is>
          <t>13649</t>
        </is>
      </c>
      <c r="B1614" s="45" t="inlineStr">
        <is>
          <t>3937</t>
        </is>
      </c>
      <c r="C1614" s="45" t="inlineStr">
        <is>
          <t>31×127</t>
        </is>
      </c>
      <c r="D1614" s="45" t="inlineStr">
        <is>
          <t>—</t>
        </is>
      </c>
      <c r="E1614" s="45" t="inlineStr"/>
      <c r="F1614" s="45" t="inlineStr"/>
    </row>
    <row r="1615" ht="13" customHeight="1">
      <c r="A1615" s="49" t="inlineStr">
        <is>
          <t>13669</t>
        </is>
      </c>
      <c r="B1615" s="49" t="inlineStr">
        <is>
          <t>13512</t>
        </is>
      </c>
      <c r="C1615" s="49" t="inlineStr">
        <is>
          <t>2×2×2×3×563</t>
        </is>
      </c>
      <c r="D1615" s="49" t="inlineStr">
        <is>
          <t>2·3</t>
        </is>
      </c>
      <c r="E1615" s="49" t="inlineStr"/>
      <c r="F1615" s="49" t="inlineStr"/>
    </row>
    <row r="1616" ht="13" customHeight="1">
      <c r="A1616" s="45" t="inlineStr">
        <is>
          <t>13679</t>
        </is>
      </c>
      <c r="B1616" s="45" t="inlineStr">
        <is>
          <t>2498</t>
        </is>
      </c>
      <c r="C1616" s="45" t="inlineStr">
        <is>
          <t>2×1249</t>
        </is>
      </c>
      <c r="D1616" s="45" t="inlineStr">
        <is>
          <t>2</t>
        </is>
      </c>
      <c r="E1616" s="45" t="inlineStr"/>
      <c r="F1616" s="45" t="inlineStr"/>
    </row>
    <row r="1617" ht="13" customHeight="1">
      <c r="A1617" s="49" t="inlineStr">
        <is>
          <t>13681</t>
        </is>
      </c>
      <c r="B1617" s="49" t="inlineStr">
        <is>
          <t>4404</t>
        </is>
      </c>
      <c r="C1617" s="49" t="inlineStr">
        <is>
          <t>2×2×3×367</t>
        </is>
      </c>
      <c r="D1617" s="49" t="inlineStr">
        <is>
          <t>2·3</t>
        </is>
      </c>
      <c r="E1617" s="49" t="inlineStr"/>
      <c r="F1617" s="49" t="inlineStr"/>
    </row>
    <row r="1618" ht="13" customHeight="1">
      <c r="A1618" s="50" t="inlineStr">
        <is>
          <t>13687</t>
        </is>
      </c>
      <c r="B1618" s="50" t="inlineStr">
        <is>
          <t>39503</t>
        </is>
      </c>
      <c r="C1618" s="50" t="inlineStr">
        <is>
          <t>39503</t>
        </is>
      </c>
      <c r="D1618" s="50" t="inlineStr">
        <is>
          <t>—</t>
        </is>
      </c>
      <c r="E1618" s="50" t="inlineStr"/>
      <c r="F1618" s="50" t="inlineStr"/>
    </row>
    <row r="1619" ht="13" customHeight="1">
      <c r="A1619" s="49" t="inlineStr">
        <is>
          <t>13691</t>
        </is>
      </c>
      <c r="B1619" s="49" t="inlineStr">
        <is>
          <t>17956</t>
        </is>
      </c>
      <c r="C1619" s="49" t="inlineStr">
        <is>
          <t>2×2×67×67</t>
        </is>
      </c>
      <c r="D1619" s="49" t="inlineStr">
        <is>
          <t>2</t>
        </is>
      </c>
      <c r="E1619" s="49" t="inlineStr"/>
      <c r="F1619" s="49" t="inlineStr"/>
    </row>
    <row r="1620" ht="13" customHeight="1">
      <c r="A1620" s="45" t="inlineStr">
        <is>
          <t>13693</t>
        </is>
      </c>
      <c r="B1620" s="45" t="inlineStr">
        <is>
          <t>8535</t>
        </is>
      </c>
      <c r="C1620" s="45" t="inlineStr">
        <is>
          <t>3×5×569</t>
        </is>
      </c>
      <c r="D1620" s="45" t="inlineStr">
        <is>
          <t>3·5</t>
        </is>
      </c>
      <c r="E1620" s="45" t="inlineStr"/>
      <c r="F1620" s="45" t="inlineStr"/>
    </row>
    <row r="1621" ht="13" customHeight="1">
      <c r="A1621" s="50" t="inlineStr">
        <is>
          <t>13697</t>
        </is>
      </c>
      <c r="B1621" s="50" t="inlineStr">
        <is>
          <t>18701</t>
        </is>
      </c>
      <c r="C1621" s="50" t="inlineStr">
        <is>
          <t>18701</t>
        </is>
      </c>
      <c r="D1621" s="50" t="inlineStr">
        <is>
          <t>—</t>
        </is>
      </c>
      <c r="E1621" s="50" t="inlineStr"/>
      <c r="F1621" s="50" t="inlineStr"/>
    </row>
    <row r="1622" ht="13" customHeight="1">
      <c r="A1622" s="45" t="inlineStr">
        <is>
          <t>13709</t>
        </is>
      </c>
      <c r="B1622" s="45" t="inlineStr">
        <is>
          <t>41858</t>
        </is>
      </c>
      <c r="C1622" s="45" t="inlineStr">
        <is>
          <t>2×20929</t>
        </is>
      </c>
      <c r="D1622" s="45" t="inlineStr">
        <is>
          <t>2</t>
        </is>
      </c>
      <c r="E1622" s="45" t="inlineStr"/>
      <c r="F1622" s="45" t="inlineStr"/>
    </row>
    <row r="1623" ht="13" customHeight="1">
      <c r="A1623" s="49" t="inlineStr">
        <is>
          <t>13711</t>
        </is>
      </c>
      <c r="B1623" s="49" t="inlineStr">
        <is>
          <t>21312</t>
        </is>
      </c>
      <c r="C1623" s="49" t="inlineStr">
        <is>
          <t>2×2×2×2×2×2×3×3×37</t>
        </is>
      </c>
      <c r="D1623" s="49" t="inlineStr">
        <is>
          <t>2·3</t>
        </is>
      </c>
      <c r="E1623" s="49" t="inlineStr"/>
      <c r="F1623" s="49" t="inlineStr"/>
    </row>
    <row r="1624" ht="13" customHeight="1">
      <c r="A1624" s="45" t="inlineStr">
        <is>
          <t>13721</t>
        </is>
      </c>
      <c r="B1624" s="45" t="inlineStr">
        <is>
          <t>5734</t>
        </is>
      </c>
      <c r="C1624" s="45" t="inlineStr">
        <is>
          <t>2×47×61</t>
        </is>
      </c>
      <c r="D1624" s="45" t="inlineStr">
        <is>
          <t>2</t>
        </is>
      </c>
      <c r="E1624" s="45" t="inlineStr"/>
      <c r="F1624" s="45" t="inlineStr"/>
    </row>
    <row r="1625" ht="13" customHeight="1">
      <c r="A1625" s="49" t="inlineStr">
        <is>
          <t>13723</t>
        </is>
      </c>
      <c r="B1625" s="49" t="inlineStr">
        <is>
          <t>39595</t>
        </is>
      </c>
      <c r="C1625" s="49" t="inlineStr">
        <is>
          <t>5×7919</t>
        </is>
      </c>
      <c r="D1625" s="49" t="inlineStr">
        <is>
          <t>5</t>
        </is>
      </c>
      <c r="E1625" s="49" t="inlineStr"/>
      <c r="F1625" s="49" t="inlineStr"/>
    </row>
    <row r="1626" ht="13" customHeight="1">
      <c r="A1626" s="45" t="inlineStr">
        <is>
          <t>13729</t>
        </is>
      </c>
      <c r="B1626" s="45" t="inlineStr">
        <is>
          <t>20360</t>
        </is>
      </c>
      <c r="C1626" s="45" t="inlineStr">
        <is>
          <t>2×2×2×5×509</t>
        </is>
      </c>
      <c r="D1626" s="45" t="inlineStr">
        <is>
          <t>2·5</t>
        </is>
      </c>
      <c r="E1626" s="45" t="inlineStr"/>
      <c r="F1626" s="45" t="inlineStr"/>
    </row>
    <row r="1627" ht="13" customHeight="1">
      <c r="A1627" s="41" t="inlineStr">
        <is>
          <t>13751</t>
        </is>
      </c>
      <c r="B1627" s="41" t="inlineStr">
        <is>
          <t>6341</t>
        </is>
      </c>
      <c r="C1627" s="41" t="inlineStr">
        <is>
          <t>17×373</t>
        </is>
      </c>
      <c r="D1627" s="41" t="inlineStr">
        <is>
          <t>17</t>
        </is>
      </c>
      <c r="E1627" s="41" t="inlineStr"/>
      <c r="F1627" s="41" t="inlineStr"/>
    </row>
    <row r="1628" ht="13" customHeight="1">
      <c r="A1628" s="45" t="inlineStr">
        <is>
          <t>13757</t>
        </is>
      </c>
      <c r="B1628" s="45" t="inlineStr">
        <is>
          <t>28654</t>
        </is>
      </c>
      <c r="C1628" s="45" t="inlineStr">
        <is>
          <t>2×14327</t>
        </is>
      </c>
      <c r="D1628" s="45" t="inlineStr">
        <is>
          <t>2</t>
        </is>
      </c>
      <c r="E1628" s="45" t="inlineStr"/>
      <c r="F1628" s="45" t="inlineStr"/>
    </row>
    <row r="1629" ht="13" customHeight="1">
      <c r="A1629" s="49" t="inlineStr">
        <is>
          <t>13759</t>
        </is>
      </c>
      <c r="B1629" s="49" t="inlineStr">
        <is>
          <t>734</t>
        </is>
      </c>
      <c r="C1629" s="49" t="inlineStr">
        <is>
          <t>2×367</t>
        </is>
      </c>
      <c r="D1629" s="49" t="inlineStr">
        <is>
          <t>2</t>
        </is>
      </c>
      <c r="E1629" s="49" t="inlineStr"/>
      <c r="F1629" s="49" t="inlineStr"/>
    </row>
    <row r="1630" ht="13" customHeight="1">
      <c r="A1630" s="45" t="inlineStr">
        <is>
          <t>13763</t>
        </is>
      </c>
      <c r="B1630" s="45" t="inlineStr">
        <is>
          <t>17928</t>
        </is>
      </c>
      <c r="C1630" s="45" t="inlineStr">
        <is>
          <t>2×2×2×3×3×3×83</t>
        </is>
      </c>
      <c r="D1630" s="45" t="inlineStr">
        <is>
          <t>2·3</t>
        </is>
      </c>
      <c r="E1630" s="45" t="inlineStr"/>
      <c r="F1630" s="45" t="inlineStr"/>
    </row>
    <row r="1631" ht="13" customHeight="1">
      <c r="A1631" s="49" t="inlineStr">
        <is>
          <t>13781</t>
        </is>
      </c>
      <c r="B1631" s="49" t="inlineStr">
        <is>
          <t>7274</t>
        </is>
      </c>
      <c r="C1631" s="49" t="inlineStr">
        <is>
          <t>2×3637</t>
        </is>
      </c>
      <c r="D1631" s="49" t="inlineStr">
        <is>
          <t>2</t>
        </is>
      </c>
      <c r="E1631" s="49" t="inlineStr"/>
      <c r="F1631" s="49" t="inlineStr"/>
    </row>
    <row r="1632" ht="13" customHeight="1">
      <c r="A1632" s="45" t="inlineStr">
        <is>
          <t>13789</t>
        </is>
      </c>
      <c r="B1632" s="45" t="inlineStr">
        <is>
          <t>37306</t>
        </is>
      </c>
      <c r="C1632" s="45" t="inlineStr">
        <is>
          <t>2×23×811</t>
        </is>
      </c>
      <c r="D1632" s="45" t="inlineStr">
        <is>
          <t>2</t>
        </is>
      </c>
      <c r="E1632" s="45" t="inlineStr"/>
      <c r="F1632" s="45" t="inlineStr"/>
    </row>
    <row r="1633" ht="13" customHeight="1">
      <c r="A1633" s="41" t="inlineStr">
        <is>
          <t>13799</t>
        </is>
      </c>
      <c r="B1633" s="41" t="inlineStr">
        <is>
          <t>24947</t>
        </is>
      </c>
      <c r="C1633" s="41" t="inlineStr">
        <is>
          <t>13×19×101</t>
        </is>
      </c>
      <c r="D1633" s="41" t="inlineStr">
        <is>
          <t>13·19</t>
        </is>
      </c>
      <c r="E1633" s="41" t="inlineStr"/>
      <c r="F1633" s="41" t="inlineStr"/>
    </row>
    <row r="1634" ht="13" customHeight="1">
      <c r="A1634" s="45" t="inlineStr">
        <is>
          <t>13807</t>
        </is>
      </c>
      <c r="B1634" s="45" t="inlineStr">
        <is>
          <t>13544</t>
        </is>
      </c>
      <c r="C1634" s="45" t="inlineStr">
        <is>
          <t>2×2×2×1693</t>
        </is>
      </c>
      <c r="D1634" s="45" t="inlineStr">
        <is>
          <t>2</t>
        </is>
      </c>
      <c r="E1634" s="45" t="inlineStr"/>
      <c r="F1634" s="45" t="inlineStr"/>
    </row>
    <row r="1635" ht="13" customHeight="1">
      <c r="A1635" s="49" t="inlineStr">
        <is>
          <t>13829</t>
        </is>
      </c>
      <c r="B1635" s="49" t="inlineStr">
        <is>
          <t>27644</t>
        </is>
      </c>
      <c r="C1635" s="49" t="inlineStr">
        <is>
          <t>2×2×6911</t>
        </is>
      </c>
      <c r="D1635" s="49" t="inlineStr">
        <is>
          <t>2</t>
        </is>
      </c>
      <c r="E1635" s="49" t="inlineStr"/>
      <c r="F1635" s="49" t="inlineStr"/>
    </row>
    <row r="1636" ht="13" customHeight="1">
      <c r="A1636" s="45" t="inlineStr">
        <is>
          <t>13831</t>
        </is>
      </c>
      <c r="B1636" s="45" t="inlineStr">
        <is>
          <t>18420</t>
        </is>
      </c>
      <c r="C1636" s="45" t="inlineStr">
        <is>
          <t>2×2×3×5×307</t>
        </is>
      </c>
      <c r="D1636" s="45" t="inlineStr">
        <is>
          <t>2·3·5</t>
        </is>
      </c>
      <c r="E1636" s="45" t="inlineStr"/>
      <c r="F1636" s="45" t="inlineStr"/>
    </row>
    <row r="1637" ht="13" customHeight="1">
      <c r="A1637" s="51" t="inlineStr">
        <is>
          <t>13841</t>
        </is>
      </c>
      <c r="B1637" s="51" t="inlineStr">
        <is>
          <t>5586</t>
        </is>
      </c>
      <c r="C1637" s="51" t="inlineStr">
        <is>
          <t>2×3×7×7×19</t>
        </is>
      </c>
      <c r="D1637" s="51" t="inlineStr">
        <is>
          <t>2·3·7·19</t>
        </is>
      </c>
      <c r="E1637" s="51" t="inlineStr"/>
      <c r="F1637" s="51" t="inlineStr"/>
    </row>
    <row r="1638" ht="13" customHeight="1">
      <c r="A1638" s="45" t="inlineStr">
        <is>
          <t>13859</t>
        </is>
      </c>
      <c r="B1638" s="45" t="inlineStr">
        <is>
          <t>34152</t>
        </is>
      </c>
      <c r="C1638" s="45" t="inlineStr">
        <is>
          <t>2×2×2×3×1423</t>
        </is>
      </c>
      <c r="D1638" s="45" t="inlineStr">
        <is>
          <t>2·3</t>
        </is>
      </c>
      <c r="E1638" s="45" t="inlineStr"/>
      <c r="F1638" s="45" t="inlineStr"/>
    </row>
    <row r="1639" ht="13" customHeight="1">
      <c r="A1639" s="49" t="inlineStr">
        <is>
          <t>13873</t>
        </is>
      </c>
      <c r="B1639" s="49" t="inlineStr">
        <is>
          <t>38859</t>
        </is>
      </c>
      <c r="C1639" s="49" t="inlineStr">
        <is>
          <t>3×12953</t>
        </is>
      </c>
      <c r="D1639" s="49" t="inlineStr">
        <is>
          <t>3</t>
        </is>
      </c>
      <c r="E1639" s="49" t="inlineStr"/>
      <c r="F1639" s="49" t="inlineStr"/>
    </row>
    <row r="1640" ht="13" customHeight="1">
      <c r="A1640" s="41" t="inlineStr">
        <is>
          <t>13877</t>
        </is>
      </c>
      <c r="B1640" s="41" t="inlineStr">
        <is>
          <t>13767</t>
        </is>
      </c>
      <c r="C1640" s="41" t="inlineStr">
        <is>
          <t>3×13×353</t>
        </is>
      </c>
      <c r="D1640" s="41" t="inlineStr">
        <is>
          <t>3·13</t>
        </is>
      </c>
      <c r="E1640" s="41" t="inlineStr"/>
      <c r="F1640" s="41" t="inlineStr"/>
    </row>
    <row r="1641" ht="13" customHeight="1">
      <c r="A1641" s="50" t="inlineStr">
        <is>
          <t>13879</t>
        </is>
      </c>
      <c r="B1641" s="50" t="inlineStr">
        <is>
          <t>20599</t>
        </is>
      </c>
      <c r="C1641" s="50" t="inlineStr">
        <is>
          <t>20599</t>
        </is>
      </c>
      <c r="D1641" s="50" t="inlineStr">
        <is>
          <t>—</t>
        </is>
      </c>
      <c r="E1641" s="50" t="inlineStr"/>
      <c r="F1641" s="50" t="inlineStr"/>
    </row>
    <row r="1642" ht="13" customHeight="1">
      <c r="A1642" s="45" t="inlineStr">
        <is>
          <t>13883</t>
        </is>
      </c>
      <c r="B1642" s="45" t="inlineStr">
        <is>
          <t>23146</t>
        </is>
      </c>
      <c r="C1642" s="45" t="inlineStr">
        <is>
          <t>2×71×163</t>
        </is>
      </c>
      <c r="D1642" s="45" t="inlineStr">
        <is>
          <t>2</t>
        </is>
      </c>
      <c r="E1642" s="45" t="inlineStr"/>
      <c r="F1642" s="45" t="inlineStr"/>
    </row>
    <row r="1643" ht="13" customHeight="1">
      <c r="A1643" s="49" t="inlineStr">
        <is>
          <t>13901</t>
        </is>
      </c>
      <c r="B1643" s="49" t="inlineStr">
        <is>
          <t>3013</t>
        </is>
      </c>
      <c r="C1643" s="49" t="inlineStr">
        <is>
          <t>23×131</t>
        </is>
      </c>
      <c r="D1643" s="49" t="inlineStr">
        <is>
          <t>—</t>
        </is>
      </c>
      <c r="E1643" s="49" t="inlineStr"/>
      <c r="F1643" s="49" t="inlineStr"/>
    </row>
    <row r="1644" ht="13" customHeight="1">
      <c r="A1644" s="41" t="inlineStr">
        <is>
          <t>13903</t>
        </is>
      </c>
      <c r="B1644" s="41" t="inlineStr">
        <is>
          <t>10348</t>
        </is>
      </c>
      <c r="C1644" s="41" t="inlineStr">
        <is>
          <t>2×2×13×199</t>
        </is>
      </c>
      <c r="D1644" s="41" t="inlineStr">
        <is>
          <t>2·13</t>
        </is>
      </c>
      <c r="E1644" s="41" t="inlineStr"/>
      <c r="F1644" s="41" t="inlineStr"/>
    </row>
    <row r="1645" ht="13" customHeight="1">
      <c r="A1645" s="49" t="inlineStr">
        <is>
          <t>13907</t>
        </is>
      </c>
      <c r="B1645" s="49" t="inlineStr">
        <is>
          <t>32852</t>
        </is>
      </c>
      <c r="C1645" s="49" t="inlineStr">
        <is>
          <t>2×2×43×191</t>
        </is>
      </c>
      <c r="D1645" s="49" t="inlineStr">
        <is>
          <t>2</t>
        </is>
      </c>
      <c r="E1645" s="49" t="inlineStr"/>
      <c r="F1645" s="49" t="inlineStr"/>
    </row>
    <row r="1646" ht="13" customHeight="1">
      <c r="A1646" s="41" t="inlineStr">
        <is>
          <t>13913</t>
        </is>
      </c>
      <c r="B1646" s="41" t="inlineStr">
        <is>
          <t>37271</t>
        </is>
      </c>
      <c r="C1646" s="41" t="inlineStr">
        <is>
          <t>13×47×61</t>
        </is>
      </c>
      <c r="D1646" s="41" t="inlineStr">
        <is>
          <t>13</t>
        </is>
      </c>
      <c r="E1646" s="41" t="inlineStr"/>
      <c r="F1646" s="41" t="inlineStr"/>
    </row>
    <row r="1647" ht="13" customHeight="1">
      <c r="A1647" s="41" t="inlineStr">
        <is>
          <t>13921</t>
        </is>
      </c>
      <c r="B1647" s="41" t="inlineStr">
        <is>
          <t>6494</t>
        </is>
      </c>
      <c r="C1647" s="41" t="inlineStr">
        <is>
          <t>2×17×191</t>
        </is>
      </c>
      <c r="D1647" s="41" t="inlineStr">
        <is>
          <t>2·17</t>
        </is>
      </c>
      <c r="E1647" s="41" t="inlineStr"/>
      <c r="F1647" s="41" t="inlineStr"/>
    </row>
    <row r="1648" ht="13" customHeight="1">
      <c r="A1648" s="43" t="inlineStr">
        <is>
          <t>13931</t>
        </is>
      </c>
      <c r="B1648" s="43" t="inlineStr">
        <is>
          <t>23507</t>
        </is>
      </c>
      <c r="C1648" s="43" t="inlineStr">
        <is>
          <t>11×2137</t>
        </is>
      </c>
      <c r="D1648" s="43" t="inlineStr">
        <is>
          <t>11</t>
        </is>
      </c>
      <c r="E1648" s="43" t="inlineStr"/>
      <c r="F1648" s="43" t="inlineStr"/>
    </row>
    <row r="1649" ht="13" customHeight="1">
      <c r="A1649" s="49" t="inlineStr">
        <is>
          <t>13933</t>
        </is>
      </c>
      <c r="B1649" s="49" t="inlineStr">
        <is>
          <t>10578</t>
        </is>
      </c>
      <c r="C1649" s="49" t="inlineStr">
        <is>
          <t>2×3×41×43</t>
        </is>
      </c>
      <c r="D1649" s="49" t="inlineStr">
        <is>
          <t>2·3</t>
        </is>
      </c>
      <c r="E1649" s="49" t="inlineStr"/>
      <c r="F1649" s="49" t="inlineStr"/>
    </row>
    <row r="1650" ht="13" customHeight="1">
      <c r="A1650" s="50" t="inlineStr">
        <is>
          <t>13963</t>
        </is>
      </c>
      <c r="B1650" s="50" t="inlineStr">
        <is>
          <t>139</t>
        </is>
      </c>
      <c r="C1650" s="50" t="inlineStr">
        <is>
          <t>139</t>
        </is>
      </c>
      <c r="D1650" s="50" t="inlineStr">
        <is>
          <t>—</t>
        </is>
      </c>
      <c r="E1650" s="50" t="inlineStr"/>
      <c r="F1650" s="50" t="inlineStr"/>
    </row>
    <row r="1651" ht="13" customHeight="1">
      <c r="A1651" s="49" t="inlineStr">
        <is>
          <t>13967</t>
        </is>
      </c>
      <c r="B1651" s="49" t="inlineStr">
        <is>
          <t>9176</t>
        </is>
      </c>
      <c r="C1651" s="49" t="inlineStr">
        <is>
          <t>2×2×2×31×37</t>
        </is>
      </c>
      <c r="D1651" s="49" t="inlineStr">
        <is>
          <t>2</t>
        </is>
      </c>
      <c r="E1651" s="49" t="inlineStr"/>
      <c r="F1651" s="49" t="inlineStr"/>
    </row>
    <row r="1652" ht="13" customHeight="1">
      <c r="A1652" s="50" t="inlineStr">
        <is>
          <t>13997</t>
        </is>
      </c>
      <c r="B1652" s="50" t="inlineStr">
        <is>
          <t>3779</t>
        </is>
      </c>
      <c r="C1652" s="50" t="inlineStr">
        <is>
          <t>3779</t>
        </is>
      </c>
      <c r="D1652" s="50" t="inlineStr">
        <is>
          <t>—</t>
        </is>
      </c>
      <c r="E1652" s="50" t="inlineStr"/>
      <c r="F1652" s="50" t="inlineStr"/>
    </row>
    <row r="1653" ht="13" customHeight="1">
      <c r="A1653" s="49" t="inlineStr">
        <is>
          <t>13999</t>
        </is>
      </c>
      <c r="B1653" s="49" t="inlineStr">
        <is>
          <t>16232</t>
        </is>
      </c>
      <c r="C1653" s="49" t="inlineStr">
        <is>
          <t>2×2×2×2029</t>
        </is>
      </c>
      <c r="D1653" s="49" t="inlineStr">
        <is>
          <t>2</t>
        </is>
      </c>
      <c r="E1653" s="49" t="inlineStr"/>
      <c r="F1653" s="49" t="inlineStr"/>
    </row>
    <row r="1654" ht="13" customHeight="1">
      <c r="A1654" s="45" t="inlineStr">
        <is>
          <t>14009</t>
        </is>
      </c>
      <c r="B1654" s="45" t="inlineStr">
        <is>
          <t>2182</t>
        </is>
      </c>
      <c r="C1654" s="45" t="inlineStr">
        <is>
          <t>2×1091</t>
        </is>
      </c>
      <c r="D1654" s="45" t="inlineStr">
        <is>
          <t>2</t>
        </is>
      </c>
      <c r="E1654" s="45" t="inlineStr"/>
      <c r="F1654" s="45" t="inlineStr"/>
    </row>
    <row r="1655" ht="13" customHeight="1">
      <c r="A1655" s="49" t="inlineStr">
        <is>
          <t>14011</t>
        </is>
      </c>
      <c r="B1655" s="49" t="inlineStr">
        <is>
          <t>43564</t>
        </is>
      </c>
      <c r="C1655" s="49" t="inlineStr">
        <is>
          <t>2×2×10891</t>
        </is>
      </c>
      <c r="D1655" s="49" t="inlineStr">
        <is>
          <t>2</t>
        </is>
      </c>
      <c r="E1655" s="49" t="inlineStr"/>
      <c r="F1655" s="49" t="inlineStr"/>
    </row>
    <row r="1656" ht="13" customHeight="1">
      <c r="A1656" s="41" t="inlineStr">
        <is>
          <t>14029</t>
        </is>
      </c>
      <c r="B1656" s="41" t="inlineStr">
        <is>
          <t>40131</t>
        </is>
      </c>
      <c r="C1656" s="41" t="inlineStr">
        <is>
          <t>3×3×7×7×7×13</t>
        </is>
      </c>
      <c r="D1656" s="41" t="inlineStr">
        <is>
          <t>3·7·13</t>
        </is>
      </c>
      <c r="E1656" s="41" t="inlineStr"/>
      <c r="F1656" s="41" t="inlineStr"/>
    </row>
    <row r="1657" ht="13" customHeight="1">
      <c r="A1657" s="49" t="inlineStr">
        <is>
          <t>14033</t>
        </is>
      </c>
      <c r="B1657" s="49" t="inlineStr">
        <is>
          <t>3545</t>
        </is>
      </c>
      <c r="C1657" s="49" t="inlineStr">
        <is>
          <t>5×709</t>
        </is>
      </c>
      <c r="D1657" s="49" t="inlineStr">
        <is>
          <t>5</t>
        </is>
      </c>
      <c r="E1657" s="49" t="inlineStr"/>
      <c r="F1657" s="49" t="inlineStr"/>
    </row>
    <row r="1658" ht="13" customHeight="1">
      <c r="A1658" s="41" t="inlineStr">
        <is>
          <t>14051</t>
        </is>
      </c>
      <c r="B1658" s="41" t="inlineStr">
        <is>
          <t>20587</t>
        </is>
      </c>
      <c r="C1658" s="41" t="inlineStr">
        <is>
          <t>7×17×173</t>
        </is>
      </c>
      <c r="D1658" s="41" t="inlineStr">
        <is>
          <t>7·17</t>
        </is>
      </c>
      <c r="E1658" s="41" t="inlineStr"/>
      <c r="F1658" s="41" t="inlineStr"/>
    </row>
    <row r="1659" ht="13" customHeight="1">
      <c r="A1659" s="49" t="inlineStr">
        <is>
          <t>14057</t>
        </is>
      </c>
      <c r="B1659" s="49" t="inlineStr">
        <is>
          <t>7988</t>
        </is>
      </c>
      <c r="C1659" s="49" t="inlineStr">
        <is>
          <t>2×2×1997</t>
        </is>
      </c>
      <c r="D1659" s="49" t="inlineStr">
        <is>
          <t>2</t>
        </is>
      </c>
      <c r="E1659" s="49" t="inlineStr"/>
      <c r="F1659" s="49" t="inlineStr"/>
    </row>
    <row r="1660" ht="13" customHeight="1">
      <c r="A1660" s="45" t="inlineStr">
        <is>
          <t>14071</t>
        </is>
      </c>
      <c r="B1660" s="45" t="inlineStr">
        <is>
          <t>8015</t>
        </is>
      </c>
      <c r="C1660" s="45" t="inlineStr">
        <is>
          <t>5×7×229</t>
        </is>
      </c>
      <c r="D1660" s="45" t="inlineStr">
        <is>
          <t>5·7</t>
        </is>
      </c>
      <c r="E1660" s="45" t="inlineStr"/>
      <c r="F1660" s="45" t="inlineStr"/>
    </row>
    <row r="1661" ht="13" customHeight="1">
      <c r="A1661" s="49" t="inlineStr">
        <is>
          <t>14081</t>
        </is>
      </c>
      <c r="B1661" s="49" t="inlineStr">
        <is>
          <t>39531</t>
        </is>
      </c>
      <c r="C1661" s="49" t="inlineStr">
        <is>
          <t>3×13177</t>
        </is>
      </c>
      <c r="D1661" s="49" t="inlineStr">
        <is>
          <t>3</t>
        </is>
      </c>
      <c r="E1661" s="49" t="inlineStr"/>
      <c r="F1661" s="49" t="inlineStr"/>
    </row>
    <row r="1662" ht="13" customHeight="1">
      <c r="A1662" s="41" t="inlineStr">
        <is>
          <t>14083</t>
        </is>
      </c>
      <c r="B1662" s="41" t="inlineStr">
        <is>
          <t>41157</t>
        </is>
      </c>
      <c r="C1662" s="41" t="inlineStr">
        <is>
          <t>3×3×17×269</t>
        </is>
      </c>
      <c r="D1662" s="41" t="inlineStr">
        <is>
          <t>3·17</t>
        </is>
      </c>
      <c r="E1662" s="41" t="inlineStr"/>
      <c r="F1662" s="41" t="inlineStr"/>
    </row>
    <row r="1663" ht="13" customHeight="1">
      <c r="A1663" s="49" t="inlineStr">
        <is>
          <t>14087</t>
        </is>
      </c>
      <c r="B1663" s="49" t="inlineStr">
        <is>
          <t>42091</t>
        </is>
      </c>
      <c r="C1663" s="49" t="inlineStr">
        <is>
          <t>7×7×859</t>
        </is>
      </c>
      <c r="D1663" s="49" t="inlineStr">
        <is>
          <t>7</t>
        </is>
      </c>
      <c r="E1663" s="49" t="inlineStr"/>
      <c r="F1663" s="49" t="inlineStr"/>
    </row>
    <row r="1664" ht="13" customHeight="1">
      <c r="A1664" s="45" t="inlineStr">
        <is>
          <t>14107</t>
        </is>
      </c>
      <c r="B1664" s="45" t="inlineStr">
        <is>
          <t>34742</t>
        </is>
      </c>
      <c r="C1664" s="45" t="inlineStr">
        <is>
          <t>2×29×599</t>
        </is>
      </c>
      <c r="D1664" s="45" t="inlineStr">
        <is>
          <t>2</t>
        </is>
      </c>
      <c r="E1664" s="45" t="inlineStr"/>
      <c r="F1664" s="45" t="inlineStr"/>
    </row>
    <row r="1665" ht="13" customHeight="1">
      <c r="A1665" s="49" t="inlineStr">
        <is>
          <t>14143</t>
        </is>
      </c>
      <c r="B1665" s="49" t="inlineStr">
        <is>
          <t>33229</t>
        </is>
      </c>
      <c r="C1665" s="49" t="inlineStr">
        <is>
          <t>7×47×101</t>
        </is>
      </c>
      <c r="D1665" s="49" t="inlineStr">
        <is>
          <t>7</t>
        </is>
      </c>
      <c r="E1665" s="49" t="inlineStr"/>
      <c r="F1665" s="49" t="inlineStr"/>
    </row>
    <row r="1666" ht="13" customHeight="1">
      <c r="A1666" s="41" t="inlineStr">
        <is>
          <t>14149</t>
        </is>
      </c>
      <c r="B1666" s="41" t="inlineStr">
        <is>
          <t>35462</t>
        </is>
      </c>
      <c r="C1666" s="41" t="inlineStr">
        <is>
          <t>2×7×17×149</t>
        </is>
      </c>
      <c r="D1666" s="41" t="inlineStr">
        <is>
          <t>2·7·17</t>
        </is>
      </c>
      <c r="E1666" s="41" t="inlineStr"/>
      <c r="F1666" s="41" t="inlineStr"/>
    </row>
    <row r="1667" ht="13" customHeight="1">
      <c r="A1667" s="49" t="inlineStr">
        <is>
          <t>14153</t>
        </is>
      </c>
      <c r="B1667" s="49" t="inlineStr">
        <is>
          <t>12976</t>
        </is>
      </c>
      <c r="C1667" s="49" t="inlineStr">
        <is>
          <t>2×2×2×2×811</t>
        </is>
      </c>
      <c r="D1667" s="49" t="inlineStr">
        <is>
          <t>2</t>
        </is>
      </c>
      <c r="E1667" s="49" t="inlineStr"/>
      <c r="F1667" s="49" t="inlineStr"/>
    </row>
    <row r="1668" ht="13" customHeight="1">
      <c r="A1668" s="45" t="inlineStr">
        <is>
          <t>14159</t>
        </is>
      </c>
      <c r="B1668" s="45" t="inlineStr">
        <is>
          <t>37515</t>
        </is>
      </c>
      <c r="C1668" s="45" t="inlineStr">
        <is>
          <t>3×5×41×61</t>
        </is>
      </c>
      <c r="D1668" s="45" t="inlineStr">
        <is>
          <t>3·5</t>
        </is>
      </c>
      <c r="E1668" s="45" t="inlineStr"/>
      <c r="F1668" s="45" t="inlineStr"/>
    </row>
    <row r="1669" ht="13" customHeight="1">
      <c r="A1669" s="43" t="inlineStr">
        <is>
          <t>14173</t>
        </is>
      </c>
      <c r="B1669" s="43" t="inlineStr">
        <is>
          <t>20207</t>
        </is>
      </c>
      <c r="C1669" s="43" t="inlineStr">
        <is>
          <t>11×11×167</t>
        </is>
      </c>
      <c r="D1669" s="43" t="inlineStr">
        <is>
          <t>11</t>
        </is>
      </c>
      <c r="E1669" s="43" t="inlineStr"/>
      <c r="F1669" s="43" t="inlineStr"/>
    </row>
    <row r="1670" ht="13" customHeight="1">
      <c r="A1670" s="45" t="inlineStr">
        <is>
          <t>14177</t>
        </is>
      </c>
      <c r="B1670" s="45" t="inlineStr">
        <is>
          <t>26071</t>
        </is>
      </c>
      <c r="C1670" s="45" t="inlineStr">
        <is>
          <t>29×29×31</t>
        </is>
      </c>
      <c r="D1670" s="45" t="inlineStr">
        <is>
          <t>—</t>
        </is>
      </c>
      <c r="E1670" s="45" t="inlineStr"/>
      <c r="F1670" s="45" t="inlineStr"/>
    </row>
    <row r="1671" ht="13" customHeight="1">
      <c r="A1671" s="49" t="inlineStr">
        <is>
          <t>14197</t>
        </is>
      </c>
      <c r="B1671" s="49" t="inlineStr">
        <is>
          <t>30578</t>
        </is>
      </c>
      <c r="C1671" s="49" t="inlineStr">
        <is>
          <t>2×15289</t>
        </is>
      </c>
      <c r="D1671" s="49" t="inlineStr">
        <is>
          <t>2</t>
        </is>
      </c>
      <c r="E1671" s="49" t="inlineStr"/>
      <c r="F1671" s="49" t="inlineStr"/>
    </row>
    <row r="1672" ht="13" customHeight="1">
      <c r="A1672" s="45" t="inlineStr">
        <is>
          <t>14207</t>
        </is>
      </c>
      <c r="B1672" s="45" t="inlineStr">
        <is>
          <t>22844</t>
        </is>
      </c>
      <c r="C1672" s="45" t="inlineStr">
        <is>
          <t>2×2×5711</t>
        </is>
      </c>
      <c r="D1672" s="45" t="inlineStr">
        <is>
          <t>2</t>
        </is>
      </c>
      <c r="E1672" s="45" t="inlineStr"/>
      <c r="F1672" s="45" t="inlineStr"/>
    </row>
    <row r="1673" ht="13" customHeight="1">
      <c r="A1673" s="49" t="inlineStr">
        <is>
          <t>14221</t>
        </is>
      </c>
      <c r="B1673" s="49" t="inlineStr">
        <is>
          <t>13848</t>
        </is>
      </c>
      <c r="C1673" s="49" t="inlineStr">
        <is>
          <t>2×2×2×3×577</t>
        </is>
      </c>
      <c r="D1673" s="49" t="inlineStr">
        <is>
          <t>2·3</t>
        </is>
      </c>
      <c r="E1673" s="49" t="inlineStr"/>
      <c r="F1673" s="49" t="inlineStr"/>
    </row>
    <row r="1674" ht="13" customHeight="1">
      <c r="A1674" s="45" t="inlineStr">
        <is>
          <t>14243</t>
        </is>
      </c>
      <c r="B1674" s="45" t="inlineStr">
        <is>
          <t>34774</t>
        </is>
      </c>
      <c r="C1674" s="45" t="inlineStr">
        <is>
          <t>2×17387</t>
        </is>
      </c>
      <c r="D1674" s="45" t="inlineStr">
        <is>
          <t>2</t>
        </is>
      </c>
      <c r="E1674" s="45" t="inlineStr"/>
      <c r="F1674" s="45" t="inlineStr"/>
    </row>
    <row r="1675" ht="13" customHeight="1">
      <c r="A1675" s="43" t="inlineStr">
        <is>
          <t>14249</t>
        </is>
      </c>
      <c r="B1675" s="43" t="inlineStr">
        <is>
          <t>26158</t>
        </is>
      </c>
      <c r="C1675" s="43" t="inlineStr">
        <is>
          <t>2×11×29×41</t>
        </is>
      </c>
      <c r="D1675" s="43" t="inlineStr">
        <is>
          <t>2·11</t>
        </is>
      </c>
      <c r="E1675" s="43" t="inlineStr"/>
      <c r="F1675" s="43" t="inlineStr"/>
    </row>
    <row r="1676" ht="13" customHeight="1">
      <c r="A1676" s="43" t="inlineStr">
        <is>
          <t>14251</t>
        </is>
      </c>
      <c r="B1676" s="43" t="inlineStr">
        <is>
          <t>32626</t>
        </is>
      </c>
      <c r="C1676" s="43" t="inlineStr">
        <is>
          <t>2×11×1483</t>
        </is>
      </c>
      <c r="D1676" s="43" t="inlineStr">
        <is>
          <t>2·11</t>
        </is>
      </c>
      <c r="E1676" s="43" t="inlineStr"/>
      <c r="F1676" s="43" t="inlineStr"/>
    </row>
    <row r="1677" ht="13" customHeight="1">
      <c r="A1677" s="49" t="inlineStr">
        <is>
          <t>14281</t>
        </is>
      </c>
      <c r="B1677" s="49" t="inlineStr">
        <is>
          <t>33481</t>
        </is>
      </c>
      <c r="C1677" s="49" t="inlineStr">
        <is>
          <t>7×4783</t>
        </is>
      </c>
      <c r="D1677" s="49" t="inlineStr">
        <is>
          <t>7</t>
        </is>
      </c>
      <c r="E1677" s="49" t="inlineStr"/>
      <c r="F1677" s="49" t="inlineStr"/>
    </row>
    <row r="1678" ht="13" customHeight="1">
      <c r="A1678" s="45" t="inlineStr">
        <is>
          <t>14293</t>
        </is>
      </c>
      <c r="B1678" s="45" t="inlineStr">
        <is>
          <t>39483</t>
        </is>
      </c>
      <c r="C1678" s="45" t="inlineStr">
        <is>
          <t>3×3×41×107</t>
        </is>
      </c>
      <c r="D1678" s="45" t="inlineStr">
        <is>
          <t>3</t>
        </is>
      </c>
      <c r="E1678" s="45" t="inlineStr"/>
      <c r="F1678" s="45" t="inlineStr"/>
    </row>
    <row r="1679" ht="13" customHeight="1">
      <c r="A1679" s="39" t="inlineStr">
        <is>
          <t>14303</t>
        </is>
      </c>
      <c r="B1679" s="39" t="inlineStr">
        <is>
          <t>350</t>
        </is>
      </c>
      <c r="C1679" s="39" t="inlineStr">
        <is>
          <t>2×5×5×7</t>
        </is>
      </c>
      <c r="D1679" s="39" t="inlineStr">
        <is>
          <t>2·5·7</t>
        </is>
      </c>
      <c r="E1679" s="39" t="inlineStr"/>
      <c r="F1679" s="39" t="inlineStr"/>
    </row>
    <row r="1680" ht="13" customHeight="1">
      <c r="A1680" s="43" t="inlineStr">
        <is>
          <t>14321</t>
        </is>
      </c>
      <c r="B1680" s="43" t="inlineStr">
        <is>
          <t>22616</t>
        </is>
      </c>
      <c r="C1680" s="43" t="inlineStr">
        <is>
          <t>2×2×2×11×257</t>
        </is>
      </c>
      <c r="D1680" s="43" t="inlineStr">
        <is>
          <t>2·11</t>
        </is>
      </c>
      <c r="E1680" s="43" t="inlineStr"/>
      <c r="F1680" s="43" t="inlineStr"/>
    </row>
    <row r="1681" ht="13" customHeight="1">
      <c r="A1681" s="43" t="inlineStr">
        <is>
          <t>14323</t>
        </is>
      </c>
      <c r="B1681" s="43" t="inlineStr">
        <is>
          <t>33363</t>
        </is>
      </c>
      <c r="C1681" s="43" t="inlineStr">
        <is>
          <t>3×3×11×337</t>
        </is>
      </c>
      <c r="D1681" s="43" t="inlineStr">
        <is>
          <t>3·11</t>
        </is>
      </c>
      <c r="E1681" s="43" t="inlineStr"/>
      <c r="F1681" s="43" t="inlineStr"/>
    </row>
    <row r="1682" ht="13" customHeight="1">
      <c r="A1682" s="41" t="inlineStr">
        <is>
          <t>14327</t>
        </is>
      </c>
      <c r="B1682" s="41" t="inlineStr">
        <is>
          <t>9386</t>
        </is>
      </c>
      <c r="C1682" s="41" t="inlineStr">
        <is>
          <t>2×13×19×19</t>
        </is>
      </c>
      <c r="D1682" s="41" t="inlineStr">
        <is>
          <t>2·13·19</t>
        </is>
      </c>
      <c r="E1682" s="41" t="inlineStr"/>
      <c r="F1682" s="41" t="inlineStr"/>
    </row>
    <row r="1683" ht="13" customHeight="1">
      <c r="A1683" s="49" t="inlineStr">
        <is>
          <t>14341</t>
        </is>
      </c>
      <c r="B1683" s="49" t="inlineStr">
        <is>
          <t>37679</t>
        </is>
      </c>
      <c r="C1683" s="49" t="inlineStr">
        <is>
          <t>41×919</t>
        </is>
      </c>
      <c r="D1683" s="49" t="inlineStr">
        <is>
          <t>—</t>
        </is>
      </c>
      <c r="E1683" s="49" t="inlineStr"/>
      <c r="F1683" s="49" t="inlineStr"/>
    </row>
    <row r="1684" ht="13" customHeight="1">
      <c r="A1684" s="45" t="inlineStr">
        <is>
          <t>14347</t>
        </is>
      </c>
      <c r="B1684" s="45" t="inlineStr">
        <is>
          <t>2164</t>
        </is>
      </c>
      <c r="C1684" s="45" t="inlineStr">
        <is>
          <t>2×2×541</t>
        </is>
      </c>
      <c r="D1684" s="45" t="inlineStr">
        <is>
          <t>2</t>
        </is>
      </c>
      <c r="E1684" s="45" t="inlineStr"/>
      <c r="F1684" s="45" t="inlineStr"/>
    </row>
    <row r="1685" ht="13" customHeight="1">
      <c r="A1685" s="49" t="inlineStr">
        <is>
          <t>14369</t>
        </is>
      </c>
      <c r="B1685" s="49" t="inlineStr">
        <is>
          <t>2336</t>
        </is>
      </c>
      <c r="C1685" s="49" t="inlineStr">
        <is>
          <t>2×2×2×2×2×73</t>
        </is>
      </c>
      <c r="D1685" s="49" t="inlineStr">
        <is>
          <t>2</t>
        </is>
      </c>
      <c r="E1685" s="49" t="inlineStr"/>
      <c r="F1685" s="49" t="inlineStr"/>
    </row>
    <row r="1686" ht="13" customHeight="1">
      <c r="A1686" s="45" t="inlineStr">
        <is>
          <t>14387</t>
        </is>
      </c>
      <c r="B1686" s="45" t="inlineStr">
        <is>
          <t>15229</t>
        </is>
      </c>
      <c r="C1686" s="45" t="inlineStr">
        <is>
          <t>97×157</t>
        </is>
      </c>
      <c r="D1686" s="45" t="inlineStr">
        <is>
          <t>—</t>
        </is>
      </c>
      <c r="E1686" s="45" t="inlineStr"/>
      <c r="F1686" s="45" t="inlineStr"/>
    </row>
    <row r="1687" ht="13" customHeight="1">
      <c r="A1687" s="49" t="inlineStr">
        <is>
          <t>14389</t>
        </is>
      </c>
      <c r="B1687" s="49" t="inlineStr">
        <is>
          <t>41147</t>
        </is>
      </c>
      <c r="C1687" s="49" t="inlineStr">
        <is>
          <t>23×1789</t>
        </is>
      </c>
      <c r="D1687" s="49" t="inlineStr">
        <is>
          <t>—</t>
        </is>
      </c>
      <c r="E1687" s="49" t="inlineStr"/>
      <c r="F1687" s="49" t="inlineStr"/>
    </row>
    <row r="1688" ht="13" customHeight="1">
      <c r="A1688" s="43" t="inlineStr">
        <is>
          <t>14401</t>
        </is>
      </c>
      <c r="B1688" s="43" t="inlineStr">
        <is>
          <t>12815</t>
        </is>
      </c>
      <c r="C1688" s="43" t="inlineStr">
        <is>
          <t>5×11×233</t>
        </is>
      </c>
      <c r="D1688" s="43" t="inlineStr">
        <is>
          <t>5·11</t>
        </is>
      </c>
      <c r="E1688" s="43" t="inlineStr"/>
      <c r="F1688" s="43" t="inlineStr"/>
    </row>
    <row r="1689" ht="13" customHeight="1">
      <c r="A1689" s="49" t="inlineStr">
        <is>
          <t>14407</t>
        </is>
      </c>
      <c r="B1689" s="49" t="inlineStr">
        <is>
          <t>14218</t>
        </is>
      </c>
      <c r="C1689" s="49" t="inlineStr">
        <is>
          <t>2×7109</t>
        </is>
      </c>
      <c r="D1689" s="49" t="inlineStr">
        <is>
          <t>2</t>
        </is>
      </c>
      <c r="E1689" s="49" t="inlineStr"/>
      <c r="F1689" s="49" t="inlineStr"/>
    </row>
    <row r="1690" ht="13" customHeight="1">
      <c r="A1690" s="43" t="inlineStr">
        <is>
          <t>14411</t>
        </is>
      </c>
      <c r="B1690" s="43" t="inlineStr">
        <is>
          <t>6820</t>
        </is>
      </c>
      <c r="C1690" s="43" t="inlineStr">
        <is>
          <t>2×2×5×11×31</t>
        </is>
      </c>
      <c r="D1690" s="43" t="inlineStr">
        <is>
          <t>2·5·11</t>
        </is>
      </c>
      <c r="E1690" s="43" t="inlineStr"/>
      <c r="F1690" s="43" t="inlineStr"/>
    </row>
    <row r="1691" ht="13" customHeight="1">
      <c r="A1691" s="49" t="inlineStr">
        <is>
          <t>14419</t>
        </is>
      </c>
      <c r="B1691" s="49" t="inlineStr">
        <is>
          <t>20525</t>
        </is>
      </c>
      <c r="C1691" s="49" t="inlineStr">
        <is>
          <t>5×5×821</t>
        </is>
      </c>
      <c r="D1691" s="49" t="inlineStr">
        <is>
          <t>5</t>
        </is>
      </c>
      <c r="E1691" s="49" t="inlineStr"/>
      <c r="F1691" s="49" t="inlineStr"/>
    </row>
    <row r="1692" ht="13" customHeight="1">
      <c r="A1692" s="45" t="inlineStr">
        <is>
          <t>14423</t>
        </is>
      </c>
      <c r="B1692" s="45" t="inlineStr">
        <is>
          <t>16706</t>
        </is>
      </c>
      <c r="C1692" s="45" t="inlineStr">
        <is>
          <t>2×8353</t>
        </is>
      </c>
      <c r="D1692" s="45" t="inlineStr">
        <is>
          <t>2</t>
        </is>
      </c>
      <c r="E1692" s="45" t="inlineStr"/>
      <c r="F1692" s="45" t="inlineStr"/>
    </row>
    <row r="1693" ht="13" customHeight="1">
      <c r="A1693" s="49" t="inlineStr">
        <is>
          <t>14431</t>
        </is>
      </c>
      <c r="B1693" s="49" t="inlineStr">
        <is>
          <t>14605</t>
        </is>
      </c>
      <c r="C1693" s="49" t="inlineStr">
        <is>
          <t>5×23×127</t>
        </is>
      </c>
      <c r="D1693" s="49" t="inlineStr">
        <is>
          <t>5</t>
        </is>
      </c>
      <c r="E1693" s="49" t="inlineStr"/>
      <c r="F1693" s="49" t="inlineStr"/>
    </row>
    <row r="1694" ht="13" customHeight="1">
      <c r="A1694" s="45" t="inlineStr">
        <is>
          <t>14437</t>
        </is>
      </c>
      <c r="B1694" s="45" t="inlineStr">
        <is>
          <t>42599</t>
        </is>
      </c>
      <c r="C1694" s="45" t="inlineStr">
        <is>
          <t>41×1039</t>
        </is>
      </c>
      <c r="D1694" s="45" t="inlineStr">
        <is>
          <t>—</t>
        </is>
      </c>
      <c r="E1694" s="45" t="inlineStr"/>
      <c r="F1694" s="45" t="inlineStr"/>
    </row>
    <row r="1695" ht="13" customHeight="1">
      <c r="A1695" s="49" t="inlineStr">
        <is>
          <t>14447</t>
        </is>
      </c>
      <c r="B1695" s="49" t="inlineStr">
        <is>
          <t>36376</t>
        </is>
      </c>
      <c r="C1695" s="49" t="inlineStr">
        <is>
          <t>2×2×2×4547</t>
        </is>
      </c>
      <c r="D1695" s="49" t="inlineStr">
        <is>
          <t>2</t>
        </is>
      </c>
      <c r="E1695" s="49" t="inlineStr"/>
      <c r="F1695" s="49" t="inlineStr"/>
    </row>
    <row r="1696" ht="13" customHeight="1">
      <c r="A1696" s="45" t="inlineStr">
        <is>
          <t>14449</t>
        </is>
      </c>
      <c r="B1696" s="45" t="inlineStr">
        <is>
          <t>30898</t>
        </is>
      </c>
      <c r="C1696" s="45" t="inlineStr">
        <is>
          <t>2×7×2207</t>
        </is>
      </c>
      <c r="D1696" s="45" t="inlineStr">
        <is>
          <t>2·7</t>
        </is>
      </c>
      <c r="E1696" s="45" t="inlineStr"/>
      <c r="F1696" s="45" t="inlineStr"/>
    </row>
    <row r="1697" ht="13" customHeight="1">
      <c r="A1697" s="49" t="inlineStr">
        <is>
          <t>14461</t>
        </is>
      </c>
      <c r="B1697" s="49" t="inlineStr">
        <is>
          <t>27671</t>
        </is>
      </c>
      <c r="C1697" s="49" t="inlineStr">
        <is>
          <t>7×59×67</t>
        </is>
      </c>
      <c r="D1697" s="49" t="inlineStr">
        <is>
          <t>7</t>
        </is>
      </c>
      <c r="E1697" s="49" t="inlineStr"/>
      <c r="F1697" s="49" t="inlineStr"/>
    </row>
    <row r="1698" ht="13" customHeight="1">
      <c r="A1698" s="50" t="inlineStr">
        <is>
          <t>14479</t>
        </is>
      </c>
      <c r="B1698" s="50" t="inlineStr">
        <is>
          <t>34847</t>
        </is>
      </c>
      <c r="C1698" s="50" t="inlineStr">
        <is>
          <t>34847</t>
        </is>
      </c>
      <c r="D1698" s="50" t="inlineStr">
        <is>
          <t>—</t>
        </is>
      </c>
      <c r="E1698" s="50" t="inlineStr"/>
      <c r="F1698" s="50" t="inlineStr"/>
    </row>
    <row r="1699" ht="13" customHeight="1">
      <c r="A1699" s="49" t="inlineStr">
        <is>
          <t>14489</t>
        </is>
      </c>
      <c r="B1699" s="49" t="inlineStr">
        <is>
          <t>43495</t>
        </is>
      </c>
      <c r="C1699" s="49" t="inlineStr">
        <is>
          <t>5×8699</t>
        </is>
      </c>
      <c r="D1699" s="49" t="inlineStr">
        <is>
          <t>5</t>
        </is>
      </c>
      <c r="E1699" s="49" t="inlineStr"/>
      <c r="F1699" s="49" t="inlineStr"/>
    </row>
    <row r="1700" ht="13" customHeight="1">
      <c r="A1700" s="45" t="inlineStr">
        <is>
          <t>14503</t>
        </is>
      </c>
      <c r="B1700" s="45" t="inlineStr">
        <is>
          <t>38257</t>
        </is>
      </c>
      <c r="C1700" s="45" t="inlineStr">
        <is>
          <t>67×571</t>
        </is>
      </c>
      <c r="D1700" s="45" t="inlineStr">
        <is>
          <t>—</t>
        </is>
      </c>
      <c r="E1700" s="45" t="inlineStr"/>
      <c r="F1700" s="45" t="inlineStr"/>
    </row>
    <row r="1701" ht="13" customHeight="1">
      <c r="A1701" s="49" t="inlineStr">
        <is>
          <t>14519</t>
        </is>
      </c>
      <c r="B1701" s="49" t="inlineStr">
        <is>
          <t>4164</t>
        </is>
      </c>
      <c r="C1701" s="49" t="inlineStr">
        <is>
          <t>2×2×3×347</t>
        </is>
      </c>
      <c r="D1701" s="49" t="inlineStr">
        <is>
          <t>2·3</t>
        </is>
      </c>
      <c r="E1701" s="49" t="inlineStr"/>
      <c r="F1701" s="49" t="inlineStr"/>
    </row>
    <row r="1702" ht="13" customHeight="1">
      <c r="A1702" s="45" t="inlineStr">
        <is>
          <t>14533</t>
        </is>
      </c>
      <c r="B1702" s="45" t="inlineStr">
        <is>
          <t>20056</t>
        </is>
      </c>
      <c r="C1702" s="45" t="inlineStr">
        <is>
          <t>2×2×2×23×109</t>
        </is>
      </c>
      <c r="D1702" s="45" t="inlineStr">
        <is>
          <t>2</t>
        </is>
      </c>
      <c r="E1702" s="45" t="inlineStr"/>
      <c r="F1702" s="45" t="inlineStr"/>
    </row>
    <row r="1703" ht="13" customHeight="1">
      <c r="A1703" s="49" t="inlineStr">
        <is>
          <t>14537</t>
        </is>
      </c>
      <c r="B1703" s="49" t="inlineStr">
        <is>
          <t>4448</t>
        </is>
      </c>
      <c r="C1703" s="49" t="inlineStr">
        <is>
          <t>2×2×2×2×2×139</t>
        </is>
      </c>
      <c r="D1703" s="49" t="inlineStr">
        <is>
          <t>2</t>
        </is>
      </c>
      <c r="E1703" s="49" t="inlineStr"/>
      <c r="F1703" s="49" t="inlineStr"/>
    </row>
    <row r="1704" ht="13" customHeight="1">
      <c r="A1704" s="50" t="inlineStr">
        <is>
          <t>14543</t>
        </is>
      </c>
      <c r="B1704" s="50" t="inlineStr">
        <is>
          <t>14401</t>
        </is>
      </c>
      <c r="C1704" s="50" t="inlineStr">
        <is>
          <t>14401</t>
        </is>
      </c>
      <c r="D1704" s="50" t="inlineStr">
        <is>
          <t>—</t>
        </is>
      </c>
      <c r="E1704" s="50" t="inlineStr"/>
      <c r="F1704" s="50" t="inlineStr"/>
    </row>
    <row r="1705" ht="13" customHeight="1">
      <c r="A1705" s="49" t="inlineStr">
        <is>
          <t>14549</t>
        </is>
      </c>
      <c r="B1705" s="49" t="inlineStr">
        <is>
          <t>38901</t>
        </is>
      </c>
      <c r="C1705" s="49" t="inlineStr">
        <is>
          <t>3×12967</t>
        </is>
      </c>
      <c r="D1705" s="49" t="inlineStr">
        <is>
          <t>3</t>
        </is>
      </c>
      <c r="E1705" s="49" t="inlineStr"/>
      <c r="F1705" s="49" t="inlineStr"/>
    </row>
    <row r="1706" ht="13" customHeight="1">
      <c r="A1706" s="43" t="inlineStr">
        <is>
          <t>14551</t>
        </is>
      </c>
      <c r="B1706" s="43" t="inlineStr">
        <is>
          <t>29689</t>
        </is>
      </c>
      <c r="C1706" s="43" t="inlineStr">
        <is>
          <t>11×2699</t>
        </is>
      </c>
      <c r="D1706" s="43" t="inlineStr">
        <is>
          <t>11</t>
        </is>
      </c>
      <c r="E1706" s="43" t="inlineStr"/>
      <c r="F1706" s="43" t="inlineStr"/>
    </row>
    <row r="1707" ht="13" customHeight="1">
      <c r="A1707" s="50" t="inlineStr">
        <is>
          <t>14557</t>
        </is>
      </c>
      <c r="B1707" s="50" t="inlineStr">
        <is>
          <t>41203</t>
        </is>
      </c>
      <c r="C1707" s="50" t="inlineStr">
        <is>
          <t>41203</t>
        </is>
      </c>
      <c r="D1707" s="50" t="inlineStr">
        <is>
          <t>—</t>
        </is>
      </c>
      <c r="E1707" s="50" t="inlineStr"/>
      <c r="F1707" s="50" t="inlineStr"/>
    </row>
    <row r="1708" ht="13" customHeight="1">
      <c r="A1708" s="45" t="inlineStr">
        <is>
          <t>14561</t>
        </is>
      </c>
      <c r="B1708" s="45" t="inlineStr">
        <is>
          <t>40232</t>
        </is>
      </c>
      <c r="C1708" s="45" t="inlineStr">
        <is>
          <t>2×2×2×47×107</t>
        </is>
      </c>
      <c r="D1708" s="45" t="inlineStr">
        <is>
          <t>2</t>
        </is>
      </c>
      <c r="E1708" s="45" t="inlineStr"/>
      <c r="F1708" s="45" t="inlineStr"/>
    </row>
    <row r="1709" ht="13" customHeight="1">
      <c r="A1709" s="49" t="inlineStr">
        <is>
          <t>14563</t>
        </is>
      </c>
      <c r="B1709" s="49" t="inlineStr">
        <is>
          <t>564</t>
        </is>
      </c>
      <c r="C1709" s="49" t="inlineStr">
        <is>
          <t>2×2×3×47</t>
        </is>
      </c>
      <c r="D1709" s="49" t="inlineStr">
        <is>
          <t>2·3</t>
        </is>
      </c>
      <c r="E1709" s="49" t="inlineStr"/>
      <c r="F1709" s="49" t="inlineStr"/>
    </row>
    <row r="1710" ht="13" customHeight="1">
      <c r="A1710" s="43" t="inlineStr">
        <is>
          <t>14591</t>
        </is>
      </c>
      <c r="B1710" s="43" t="inlineStr">
        <is>
          <t>25927</t>
        </is>
      </c>
      <c r="C1710" s="43" t="inlineStr">
        <is>
          <t>11×2357</t>
        </is>
      </c>
      <c r="D1710" s="43" t="inlineStr">
        <is>
          <t>11</t>
        </is>
      </c>
      <c r="E1710" s="43" t="inlineStr"/>
      <c r="F1710" s="43" t="inlineStr"/>
    </row>
    <row r="1711" ht="13" customHeight="1">
      <c r="A1711" s="49" t="inlineStr">
        <is>
          <t>14593</t>
        </is>
      </c>
      <c r="B1711" s="49" t="inlineStr">
        <is>
          <t>9275</t>
        </is>
      </c>
      <c r="C1711" s="49" t="inlineStr">
        <is>
          <t>5×5×7×53</t>
        </is>
      </c>
      <c r="D1711" s="49" t="inlineStr">
        <is>
          <t>5·7</t>
        </is>
      </c>
      <c r="E1711" s="49" t="inlineStr"/>
      <c r="F1711" s="49" t="inlineStr"/>
    </row>
    <row r="1712" ht="13" customHeight="1">
      <c r="A1712" s="41" t="inlineStr">
        <is>
          <t>14621</t>
        </is>
      </c>
      <c r="B1712" s="41" t="inlineStr">
        <is>
          <t>34085</t>
        </is>
      </c>
      <c r="C1712" s="41" t="inlineStr">
        <is>
          <t>5×17×401</t>
        </is>
      </c>
      <c r="D1712" s="41" t="inlineStr">
        <is>
          <t>5·17</t>
        </is>
      </c>
      <c r="E1712" s="41" t="inlineStr"/>
      <c r="F1712" s="41" t="inlineStr"/>
    </row>
    <row r="1713" ht="13" customHeight="1">
      <c r="A1713" s="49" t="inlineStr">
        <is>
          <t>14627</t>
        </is>
      </c>
      <c r="B1713" s="49" t="inlineStr">
        <is>
          <t>36197</t>
        </is>
      </c>
      <c r="C1713" s="49" t="inlineStr">
        <is>
          <t>7×5171</t>
        </is>
      </c>
      <c r="D1713" s="49" t="inlineStr">
        <is>
          <t>7</t>
        </is>
      </c>
      <c r="E1713" s="49" t="inlineStr"/>
      <c r="F1713" s="49" t="inlineStr"/>
    </row>
    <row r="1714" ht="13" customHeight="1">
      <c r="A1714" s="45" t="inlineStr">
        <is>
          <t>14629</t>
        </is>
      </c>
      <c r="B1714" s="45" t="inlineStr">
        <is>
          <t>41024</t>
        </is>
      </c>
      <c r="C1714" s="45" t="inlineStr">
        <is>
          <t>2×2×2×2×2×2×641</t>
        </is>
      </c>
      <c r="D1714" s="45" t="inlineStr">
        <is>
          <t>2</t>
        </is>
      </c>
      <c r="E1714" s="45" t="inlineStr"/>
      <c r="F1714" s="45" t="inlineStr"/>
    </row>
    <row r="1715" ht="13" customHeight="1">
      <c r="A1715" s="49" t="inlineStr">
        <is>
          <t>14633</t>
        </is>
      </c>
      <c r="B1715" s="49" t="inlineStr">
        <is>
          <t>6674</t>
        </is>
      </c>
      <c r="C1715" s="49" t="inlineStr">
        <is>
          <t>2×47×71</t>
        </is>
      </c>
      <c r="D1715" s="49" t="inlineStr">
        <is>
          <t>2</t>
        </is>
      </c>
      <c r="E1715" s="49" t="inlineStr"/>
      <c r="F1715" s="49" t="inlineStr"/>
    </row>
    <row r="1716" ht="13" customHeight="1">
      <c r="A1716" s="45" t="inlineStr">
        <is>
          <t>14639</t>
        </is>
      </c>
      <c r="B1716" s="45" t="inlineStr">
        <is>
          <t>11612</t>
        </is>
      </c>
      <c r="C1716" s="45" t="inlineStr">
        <is>
          <t>2×2×2903</t>
        </is>
      </c>
      <c r="D1716" s="45" t="inlineStr">
        <is>
          <t>2</t>
        </is>
      </c>
      <c r="E1716" s="45" t="inlineStr"/>
      <c r="F1716" s="45" t="inlineStr"/>
    </row>
    <row r="1717" ht="13" customHeight="1">
      <c r="A1717" s="41" t="inlineStr">
        <is>
          <t>14653</t>
        </is>
      </c>
      <c r="B1717" s="41" t="inlineStr">
        <is>
          <t>2278</t>
        </is>
      </c>
      <c r="C1717" s="41" t="inlineStr">
        <is>
          <t>2×17×67</t>
        </is>
      </c>
      <c r="D1717" s="41" t="inlineStr">
        <is>
          <t>2·17</t>
        </is>
      </c>
      <c r="E1717" s="41" t="inlineStr"/>
      <c r="F1717" s="41" t="inlineStr"/>
    </row>
    <row r="1718" ht="13" customHeight="1">
      <c r="A1718" s="41" t="inlineStr">
        <is>
          <t>14657</t>
        </is>
      </c>
      <c r="B1718" s="41" t="inlineStr">
        <is>
          <t>20927</t>
        </is>
      </c>
      <c r="C1718" s="41" t="inlineStr">
        <is>
          <t>17×1231</t>
        </is>
      </c>
      <c r="D1718" s="41" t="inlineStr">
        <is>
          <t>17</t>
        </is>
      </c>
      <c r="E1718" s="41" t="inlineStr"/>
      <c r="F1718" s="41" t="inlineStr"/>
    </row>
    <row r="1719" ht="13" customHeight="1">
      <c r="A1719" s="51" t="inlineStr">
        <is>
          <t>14669</t>
        </is>
      </c>
      <c r="B1719" s="51" t="inlineStr">
        <is>
          <t>37886</t>
        </is>
      </c>
      <c r="C1719" s="51" t="inlineStr">
        <is>
          <t>2×19×997</t>
        </is>
      </c>
      <c r="D1719" s="51" t="inlineStr">
        <is>
          <t>2·19</t>
        </is>
      </c>
      <c r="E1719" s="51" t="inlineStr"/>
      <c r="F1719" s="51" t="inlineStr"/>
    </row>
    <row r="1720" ht="13" customHeight="1">
      <c r="A1720" s="50" t="inlineStr">
        <is>
          <t>14683</t>
        </is>
      </c>
      <c r="B1720" s="50" t="inlineStr">
        <is>
          <t>25121</t>
        </is>
      </c>
      <c r="C1720" s="50" t="inlineStr">
        <is>
          <t>25121</t>
        </is>
      </c>
      <c r="D1720" s="50" t="inlineStr">
        <is>
          <t>—</t>
        </is>
      </c>
      <c r="E1720" s="50" t="inlineStr"/>
      <c r="F1720" s="50" t="inlineStr"/>
    </row>
    <row r="1721" ht="13" customHeight="1">
      <c r="A1721" s="49" t="inlineStr">
        <is>
          <t>14699</t>
        </is>
      </c>
      <c r="B1721" s="49" t="inlineStr">
        <is>
          <t>10911</t>
        </is>
      </c>
      <c r="C1721" s="49" t="inlineStr">
        <is>
          <t>3×3637</t>
        </is>
      </c>
      <c r="D1721" s="49" t="inlineStr">
        <is>
          <t>3</t>
        </is>
      </c>
      <c r="E1721" s="49" t="inlineStr"/>
      <c r="F1721" s="49" t="inlineStr"/>
    </row>
    <row r="1722" ht="13" customHeight="1">
      <c r="A1722" s="41" t="inlineStr">
        <is>
          <t>14713</t>
        </is>
      </c>
      <c r="B1722" s="41" t="inlineStr">
        <is>
          <t>10268</t>
        </is>
      </c>
      <c r="C1722" s="41" t="inlineStr">
        <is>
          <t>2×2×17×151</t>
        </is>
      </c>
      <c r="D1722" s="41" t="inlineStr">
        <is>
          <t>2·17</t>
        </is>
      </c>
      <c r="E1722" s="41" t="inlineStr"/>
      <c r="F1722" s="41" t="inlineStr"/>
    </row>
    <row r="1723" ht="13" customHeight="1">
      <c r="A1723" s="49" t="inlineStr">
        <is>
          <t>14717</t>
        </is>
      </c>
      <c r="B1723" s="49" t="inlineStr">
        <is>
          <t>25865</t>
        </is>
      </c>
      <c r="C1723" s="49" t="inlineStr">
        <is>
          <t>5×7×739</t>
        </is>
      </c>
      <c r="D1723" s="49" t="inlineStr">
        <is>
          <t>5·7</t>
        </is>
      </c>
      <c r="E1723" s="49" t="inlineStr"/>
      <c r="F1723" s="49" t="inlineStr"/>
    </row>
    <row r="1724" ht="13" customHeight="1">
      <c r="A1724" s="41" t="inlineStr">
        <is>
          <t>14723</t>
        </is>
      </c>
      <c r="B1724" s="41" t="inlineStr">
        <is>
          <t>36179</t>
        </is>
      </c>
      <c r="C1724" s="41" t="inlineStr">
        <is>
          <t>11×11×13×23</t>
        </is>
      </c>
      <c r="D1724" s="41" t="inlineStr">
        <is>
          <t>11·13</t>
        </is>
      </c>
      <c r="E1724" s="41" t="inlineStr"/>
      <c r="F1724" s="41" t="inlineStr"/>
    </row>
    <row r="1725" ht="13" customHeight="1">
      <c r="A1725" s="49" t="inlineStr">
        <is>
          <t>14731</t>
        </is>
      </c>
      <c r="B1725" s="49" t="inlineStr">
        <is>
          <t>11394</t>
        </is>
      </c>
      <c r="C1725" s="49" t="inlineStr">
        <is>
          <t>2×3×3×3×211</t>
        </is>
      </c>
      <c r="D1725" s="49" t="inlineStr">
        <is>
          <t>2·3</t>
        </is>
      </c>
      <c r="E1725" s="49" t="inlineStr"/>
      <c r="F1725" s="49" t="inlineStr"/>
    </row>
    <row r="1726" ht="13" customHeight="1">
      <c r="A1726" s="43" t="inlineStr">
        <is>
          <t>14737</t>
        </is>
      </c>
      <c r="B1726" s="43" t="inlineStr">
        <is>
          <t>40007</t>
        </is>
      </c>
      <c r="C1726" s="43" t="inlineStr">
        <is>
          <t>11×3637</t>
        </is>
      </c>
      <c r="D1726" s="43" t="inlineStr">
        <is>
          <t>11</t>
        </is>
      </c>
      <c r="E1726" s="43" t="inlineStr"/>
      <c r="F1726" s="43" t="inlineStr"/>
    </row>
    <row r="1727" ht="13" customHeight="1">
      <c r="A1727" s="49" t="inlineStr">
        <is>
          <t>14741</t>
        </is>
      </c>
      <c r="B1727" s="49" t="inlineStr">
        <is>
          <t>7363</t>
        </is>
      </c>
      <c r="C1727" s="49" t="inlineStr">
        <is>
          <t>37×199</t>
        </is>
      </c>
      <c r="D1727" s="49" t="inlineStr">
        <is>
          <t>—</t>
        </is>
      </c>
      <c r="E1727" s="49" t="inlineStr"/>
      <c r="F1727" s="49" t="inlineStr"/>
    </row>
    <row r="1728" ht="13" customHeight="1">
      <c r="A1728" s="45" t="inlineStr">
        <is>
          <t>14747</t>
        </is>
      </c>
      <c r="B1728" s="45" t="inlineStr">
        <is>
          <t>33971</t>
        </is>
      </c>
      <c r="C1728" s="45" t="inlineStr">
        <is>
          <t>7×23×211</t>
        </is>
      </c>
      <c r="D1728" s="45" t="inlineStr">
        <is>
          <t>7</t>
        </is>
      </c>
      <c r="E1728" s="45" t="inlineStr"/>
      <c r="F1728" s="45" t="inlineStr"/>
    </row>
    <row r="1729" ht="13" customHeight="1">
      <c r="A1729" s="50" t="inlineStr">
        <is>
          <t>14753</t>
        </is>
      </c>
      <c r="B1729" s="50" t="inlineStr">
        <is>
          <t>19207</t>
        </is>
      </c>
      <c r="C1729" s="50" t="inlineStr">
        <is>
          <t>19207</t>
        </is>
      </c>
      <c r="D1729" s="50" t="inlineStr">
        <is>
          <t>—</t>
        </is>
      </c>
      <c r="E1729" s="50" t="inlineStr"/>
      <c r="F1729" s="50" t="inlineStr"/>
    </row>
    <row r="1730" ht="13" customHeight="1">
      <c r="A1730" s="43" t="inlineStr">
        <is>
          <t>14759</t>
        </is>
      </c>
      <c r="B1730" s="43" t="inlineStr">
        <is>
          <t>5159</t>
        </is>
      </c>
      <c r="C1730" s="43" t="inlineStr">
        <is>
          <t>7×11×67</t>
        </is>
      </c>
      <c r="D1730" s="43" t="inlineStr">
        <is>
          <t>7·11</t>
        </is>
      </c>
      <c r="E1730" s="43" t="inlineStr"/>
      <c r="F1730" s="43" t="inlineStr"/>
    </row>
    <row r="1731" ht="13" customHeight="1">
      <c r="A1731" s="49" t="inlineStr">
        <is>
          <t>14767</t>
        </is>
      </c>
      <c r="B1731" s="49" t="inlineStr">
        <is>
          <t>39838</t>
        </is>
      </c>
      <c r="C1731" s="49" t="inlineStr">
        <is>
          <t>2×19919</t>
        </is>
      </c>
      <c r="D1731" s="49" t="inlineStr">
        <is>
          <t>2</t>
        </is>
      </c>
      <c r="E1731" s="49" t="inlineStr"/>
      <c r="F1731" s="49" t="inlineStr"/>
    </row>
    <row r="1732" ht="13" customHeight="1">
      <c r="A1732" s="45" t="inlineStr">
        <is>
          <t>14771</t>
        </is>
      </c>
      <c r="B1732" s="45" t="inlineStr">
        <is>
          <t>35142</t>
        </is>
      </c>
      <c r="C1732" s="45" t="inlineStr">
        <is>
          <t>2×3×5857</t>
        </is>
      </c>
      <c r="D1732" s="45" t="inlineStr">
        <is>
          <t>2·3</t>
        </is>
      </c>
      <c r="E1732" s="45" t="inlineStr"/>
      <c r="F1732" s="45" t="inlineStr"/>
    </row>
    <row r="1733" ht="13" customHeight="1">
      <c r="A1733" s="49" t="inlineStr">
        <is>
          <t>14779</t>
        </is>
      </c>
      <c r="B1733" s="49" t="inlineStr">
        <is>
          <t>2215</t>
        </is>
      </c>
      <c r="C1733" s="49" t="inlineStr">
        <is>
          <t>5×443</t>
        </is>
      </c>
      <c r="D1733" s="49" t="inlineStr">
        <is>
          <t>5</t>
        </is>
      </c>
      <c r="E1733" s="49" t="inlineStr"/>
      <c r="F1733" s="49" t="inlineStr"/>
    </row>
    <row r="1734" ht="13" customHeight="1">
      <c r="A1734" s="45" t="inlineStr">
        <is>
          <t>14783</t>
        </is>
      </c>
      <c r="B1734" s="45" t="inlineStr">
        <is>
          <t>28605</t>
        </is>
      </c>
      <c r="C1734" s="45" t="inlineStr">
        <is>
          <t>3×5×1907</t>
        </is>
      </c>
      <c r="D1734" s="45" t="inlineStr">
        <is>
          <t>3·5</t>
        </is>
      </c>
      <c r="E1734" s="45" t="inlineStr"/>
      <c r="F1734" s="45" t="inlineStr"/>
    </row>
    <row r="1735" ht="13" customHeight="1">
      <c r="A1735" s="50" t="inlineStr">
        <is>
          <t>14797</t>
        </is>
      </c>
      <c r="B1735" s="50" t="inlineStr">
        <is>
          <t>11273</t>
        </is>
      </c>
      <c r="C1735" s="50" t="inlineStr">
        <is>
          <t>11273</t>
        </is>
      </c>
      <c r="D1735" s="50" t="inlineStr">
        <is>
          <t>—</t>
        </is>
      </c>
      <c r="E1735" s="50" t="inlineStr"/>
      <c r="F1735" s="50" t="inlineStr"/>
    </row>
    <row r="1736" ht="13" customHeight="1">
      <c r="A1736" s="41" t="inlineStr">
        <is>
          <t>14813</t>
        </is>
      </c>
      <c r="B1736" s="41" t="inlineStr">
        <is>
          <t>28106</t>
        </is>
      </c>
      <c r="C1736" s="41" t="inlineStr">
        <is>
          <t>2×13×23×47</t>
        </is>
      </c>
      <c r="D1736" s="41" t="inlineStr">
        <is>
          <t>2·13</t>
        </is>
      </c>
      <c r="E1736" s="41" t="inlineStr"/>
      <c r="F1736" s="41" t="inlineStr"/>
    </row>
    <row r="1737" ht="13" customHeight="1">
      <c r="A1737" s="49" t="inlineStr">
        <is>
          <t>14821</t>
        </is>
      </c>
      <c r="B1737" s="49" t="inlineStr">
        <is>
          <t>16618</t>
        </is>
      </c>
      <c r="C1737" s="49" t="inlineStr">
        <is>
          <t>2×7×1187</t>
        </is>
      </c>
      <c r="D1737" s="49" t="inlineStr">
        <is>
          <t>2·7</t>
        </is>
      </c>
      <c r="E1737" s="49" t="inlineStr"/>
      <c r="F1737" s="49" t="inlineStr"/>
    </row>
    <row r="1738" ht="13" customHeight="1">
      <c r="A1738" s="45" t="inlineStr">
        <is>
          <t>14827</t>
        </is>
      </c>
      <c r="B1738" s="45" t="inlineStr">
        <is>
          <t>30640</t>
        </is>
      </c>
      <c r="C1738" s="45" t="inlineStr">
        <is>
          <t>2×2×2×2×5×383</t>
        </is>
      </c>
      <c r="D1738" s="45" t="inlineStr">
        <is>
          <t>2·5</t>
        </is>
      </c>
      <c r="E1738" s="45" t="inlineStr"/>
      <c r="F1738" s="45" t="inlineStr"/>
    </row>
    <row r="1739" ht="13" customHeight="1">
      <c r="A1739" s="49" t="inlineStr">
        <is>
          <t>14831</t>
        </is>
      </c>
      <c r="B1739" s="49" t="inlineStr">
        <is>
          <t>21146</t>
        </is>
      </c>
      <c r="C1739" s="49" t="inlineStr">
        <is>
          <t>2×97×109</t>
        </is>
      </c>
      <c r="D1739" s="49" t="inlineStr">
        <is>
          <t>2</t>
        </is>
      </c>
      <c r="E1739" s="49" t="inlineStr"/>
      <c r="F1739" s="49" t="inlineStr"/>
    </row>
    <row r="1740" ht="13" customHeight="1">
      <c r="A1740" s="45" t="inlineStr">
        <is>
          <t>14843</t>
        </is>
      </c>
      <c r="B1740" s="45" t="inlineStr">
        <is>
          <t>23812</t>
        </is>
      </c>
      <c r="C1740" s="45" t="inlineStr">
        <is>
          <t>2×2×5953</t>
        </is>
      </c>
      <c r="D1740" s="45" t="inlineStr">
        <is>
          <t>2</t>
        </is>
      </c>
      <c r="E1740" s="45" t="inlineStr"/>
      <c r="F1740" s="45" t="inlineStr"/>
    </row>
    <row r="1741" ht="13" customHeight="1">
      <c r="A1741" s="49" t="inlineStr">
        <is>
          <t>14851</t>
        </is>
      </c>
      <c r="B1741" s="49" t="inlineStr">
        <is>
          <t>33806</t>
        </is>
      </c>
      <c r="C1741" s="49" t="inlineStr">
        <is>
          <t>2×16903</t>
        </is>
      </c>
      <c r="D1741" s="49" t="inlineStr">
        <is>
          <t>2</t>
        </is>
      </c>
      <c r="E1741" s="49" t="inlineStr"/>
      <c r="F1741" s="49" t="inlineStr"/>
    </row>
    <row r="1742" ht="13" customHeight="1">
      <c r="A1742" s="43" t="inlineStr">
        <is>
          <t>14867</t>
        </is>
      </c>
      <c r="B1742" s="43" t="inlineStr">
        <is>
          <t>5412</t>
        </is>
      </c>
      <c r="C1742" s="43" t="inlineStr">
        <is>
          <t>2×2×3×11×41</t>
        </is>
      </c>
      <c r="D1742" s="43" t="inlineStr">
        <is>
          <t>2·3·11</t>
        </is>
      </c>
      <c r="E1742" s="43" t="inlineStr"/>
      <c r="F1742" s="43" t="inlineStr"/>
    </row>
    <row r="1743" ht="13" customHeight="1">
      <c r="A1743" s="49" t="inlineStr">
        <is>
          <t>14869</t>
        </is>
      </c>
      <c r="B1743" s="49" t="inlineStr">
        <is>
          <t>3436</t>
        </is>
      </c>
      <c r="C1743" s="49" t="inlineStr">
        <is>
          <t>2×2×859</t>
        </is>
      </c>
      <c r="D1743" s="49" t="inlineStr">
        <is>
          <t>2</t>
        </is>
      </c>
      <c r="E1743" s="49" t="inlineStr"/>
      <c r="F1743" s="49" t="inlineStr"/>
    </row>
    <row r="1744" ht="13" customHeight="1">
      <c r="A1744" s="45" t="inlineStr">
        <is>
          <t>14879</t>
        </is>
      </c>
      <c r="B1744" s="45" t="inlineStr">
        <is>
          <t>9198</t>
        </is>
      </c>
      <c r="C1744" s="45" t="inlineStr">
        <is>
          <t>2×3×3×7×73</t>
        </is>
      </c>
      <c r="D1744" s="45" t="inlineStr">
        <is>
          <t>2·3·7</t>
        </is>
      </c>
      <c r="E1744" s="45" t="inlineStr"/>
      <c r="F1744" s="45" t="inlineStr"/>
    </row>
    <row r="1745" ht="13" customHeight="1">
      <c r="A1745" s="49" t="inlineStr">
        <is>
          <t>14887</t>
        </is>
      </c>
      <c r="B1745" s="49" t="inlineStr">
        <is>
          <t>24724</t>
        </is>
      </c>
      <c r="C1745" s="49" t="inlineStr">
        <is>
          <t>2×2×7×883</t>
        </is>
      </c>
      <c r="D1745" s="49" t="inlineStr">
        <is>
          <t>2·7</t>
        </is>
      </c>
      <c r="E1745" s="49" t="inlineStr"/>
      <c r="F1745" s="49" t="inlineStr"/>
    </row>
    <row r="1746" ht="13" customHeight="1">
      <c r="A1746" s="45" t="inlineStr">
        <is>
          <t>14891</t>
        </is>
      </c>
      <c r="B1746" s="45" t="inlineStr">
        <is>
          <t>39621</t>
        </is>
      </c>
      <c r="C1746" s="45" t="inlineStr">
        <is>
          <t>3×47×281</t>
        </is>
      </c>
      <c r="D1746" s="45" t="inlineStr">
        <is>
          <t>3</t>
        </is>
      </c>
      <c r="E1746" s="45" t="inlineStr"/>
      <c r="F1746" s="45" t="inlineStr"/>
    </row>
    <row r="1747" ht="13" customHeight="1">
      <c r="A1747" s="49" t="inlineStr">
        <is>
          <t>14897</t>
        </is>
      </c>
      <c r="B1747" s="49" t="inlineStr">
        <is>
          <t>35180</t>
        </is>
      </c>
      <c r="C1747" s="49" t="inlineStr">
        <is>
          <t>2×2×5×1759</t>
        </is>
      </c>
      <c r="D1747" s="49" t="inlineStr">
        <is>
          <t>2·5</t>
        </is>
      </c>
      <c r="E1747" s="49" t="inlineStr"/>
      <c r="F1747" s="49" t="inlineStr"/>
    </row>
    <row r="1748" ht="13" customHeight="1">
      <c r="A1748" s="45" t="inlineStr">
        <is>
          <t>14923</t>
        </is>
      </c>
      <c r="B1748" s="45" t="inlineStr">
        <is>
          <t>2980</t>
        </is>
      </c>
      <c r="C1748" s="45" t="inlineStr">
        <is>
          <t>2×2×5×149</t>
        </is>
      </c>
      <c r="D1748" s="45" t="inlineStr">
        <is>
          <t>2·5</t>
        </is>
      </c>
      <c r="E1748" s="45" t="inlineStr"/>
      <c r="F1748" s="45" t="inlineStr"/>
    </row>
    <row r="1749" ht="13" customHeight="1">
      <c r="A1749" s="41" t="inlineStr">
        <is>
          <t>14929</t>
        </is>
      </c>
      <c r="B1749" s="41" t="inlineStr">
        <is>
          <t>37895</t>
        </is>
      </c>
      <c r="C1749" s="41" t="inlineStr">
        <is>
          <t>5×11×13×53</t>
        </is>
      </c>
      <c r="D1749" s="41" t="inlineStr">
        <is>
          <t>5·11·13</t>
        </is>
      </c>
      <c r="E1749" s="41" t="inlineStr"/>
      <c r="F1749" s="41" t="inlineStr"/>
    </row>
    <row r="1750" ht="13" customHeight="1">
      <c r="A1750" s="45" t="inlineStr">
        <is>
          <t>14939</t>
        </is>
      </c>
      <c r="B1750" s="45" t="inlineStr">
        <is>
          <t>43312</t>
        </is>
      </c>
      <c r="C1750" s="45" t="inlineStr">
        <is>
          <t>2×2×2×2×2707</t>
        </is>
      </c>
      <c r="D1750" s="45" t="inlineStr">
        <is>
          <t>2</t>
        </is>
      </c>
      <c r="E1750" s="45" t="inlineStr"/>
      <c r="F1750" s="45" t="inlineStr"/>
    </row>
    <row r="1751" ht="13" customHeight="1">
      <c r="A1751" s="41" t="inlineStr">
        <is>
          <t>14947</t>
        </is>
      </c>
      <c r="B1751" s="41" t="inlineStr">
        <is>
          <t>38129</t>
        </is>
      </c>
      <c r="C1751" s="41" t="inlineStr">
        <is>
          <t>7×13×419</t>
        </is>
      </c>
      <c r="D1751" s="41" t="inlineStr">
        <is>
          <t>7·13</t>
        </is>
      </c>
      <c r="E1751" s="41" t="inlineStr"/>
      <c r="F1751" s="41" t="inlineStr"/>
    </row>
    <row r="1752" ht="13" customHeight="1">
      <c r="A1752" s="45" t="inlineStr">
        <is>
          <t>14951</t>
        </is>
      </c>
      <c r="B1752" s="45" t="inlineStr">
        <is>
          <t>25794</t>
        </is>
      </c>
      <c r="C1752" s="45" t="inlineStr">
        <is>
          <t>2×3×3×1433</t>
        </is>
      </c>
      <c r="D1752" s="45" t="inlineStr">
        <is>
          <t>2·3</t>
        </is>
      </c>
      <c r="E1752" s="45" t="inlineStr"/>
      <c r="F1752" s="45" t="inlineStr"/>
    </row>
    <row r="1753" ht="13" customHeight="1">
      <c r="A1753" s="50" t="inlineStr">
        <is>
          <t>14957</t>
        </is>
      </c>
      <c r="B1753" s="50" t="inlineStr">
        <is>
          <t>31859</t>
        </is>
      </c>
      <c r="C1753" s="50" t="inlineStr">
        <is>
          <t>31859</t>
        </is>
      </c>
      <c r="D1753" s="50" t="inlineStr">
        <is>
          <t>—</t>
        </is>
      </c>
      <c r="E1753" s="50" t="inlineStr"/>
      <c r="F1753" s="50" t="inlineStr"/>
    </row>
    <row r="1754" ht="13" customHeight="1">
      <c r="A1754" s="45" t="inlineStr">
        <is>
          <t>14969</t>
        </is>
      </c>
      <c r="B1754" s="45" t="inlineStr">
        <is>
          <t>37211</t>
        </is>
      </c>
      <c r="C1754" s="45" t="inlineStr">
        <is>
          <t>127×293</t>
        </is>
      </c>
      <c r="D1754" s="45" t="inlineStr">
        <is>
          <t>—</t>
        </is>
      </c>
      <c r="E1754" s="45" t="inlineStr"/>
      <c r="F1754" s="45" t="inlineStr"/>
    </row>
    <row r="1755" ht="13" customHeight="1">
      <c r="A1755" s="49" t="inlineStr">
        <is>
          <t>14983</t>
        </is>
      </c>
      <c r="B1755" s="49" t="inlineStr">
        <is>
          <t>37470</t>
        </is>
      </c>
      <c r="C1755" s="49" t="inlineStr">
        <is>
          <t>2×3×5×1249</t>
        </is>
      </c>
      <c r="D1755" s="49" t="inlineStr">
        <is>
          <t>2·3·5</t>
        </is>
      </c>
      <c r="E1755" s="49" t="inlineStr"/>
      <c r="F1755" s="49" t="inlineStr"/>
    </row>
    <row r="1756" ht="13" customHeight="1">
      <c r="A1756" s="41" t="inlineStr">
        <is>
          <t>15013</t>
        </is>
      </c>
      <c r="B1756" s="41" t="inlineStr">
        <is>
          <t>37726</t>
        </is>
      </c>
      <c r="C1756" s="41" t="inlineStr">
        <is>
          <t>2×13×1451</t>
        </is>
      </c>
      <c r="D1756" s="41" t="inlineStr">
        <is>
          <t>2·13</t>
        </is>
      </c>
      <c r="E1756" s="41" t="inlineStr"/>
      <c r="F1756" s="41" t="inlineStr"/>
    </row>
    <row r="1757" ht="13" customHeight="1">
      <c r="A1757" s="49" t="inlineStr">
        <is>
          <t>15017</t>
        </is>
      </c>
      <c r="B1757" s="49" t="inlineStr">
        <is>
          <t>8249</t>
        </is>
      </c>
      <c r="C1757" s="49" t="inlineStr">
        <is>
          <t>73×113</t>
        </is>
      </c>
      <c r="D1757" s="49" t="inlineStr">
        <is>
          <t>—</t>
        </is>
      </c>
      <c r="E1757" s="49" t="inlineStr"/>
      <c r="F1757" s="49" t="inlineStr"/>
    </row>
    <row r="1758" ht="13" customHeight="1">
      <c r="A1758" s="45" t="inlineStr">
        <is>
          <t>15031</t>
        </is>
      </c>
      <c r="B1758" s="45" t="inlineStr">
        <is>
          <t>18104</t>
        </is>
      </c>
      <c r="C1758" s="45" t="inlineStr">
        <is>
          <t>2×2×2×31×73</t>
        </is>
      </c>
      <c r="D1758" s="45" t="inlineStr">
        <is>
          <t>2</t>
        </is>
      </c>
      <c r="E1758" s="45" t="inlineStr"/>
      <c r="F1758" s="45" t="inlineStr"/>
    </row>
    <row r="1759" ht="13" customHeight="1">
      <c r="A1759" s="49" t="inlineStr">
        <is>
          <t>15053</t>
        </is>
      </c>
      <c r="B1759" s="49" t="inlineStr">
        <is>
          <t>30065</t>
        </is>
      </c>
      <c r="C1759" s="49" t="inlineStr">
        <is>
          <t>5×7×859</t>
        </is>
      </c>
      <c r="D1759" s="49" t="inlineStr">
        <is>
          <t>5·7</t>
        </is>
      </c>
      <c r="E1759" s="49" t="inlineStr"/>
      <c r="F1759" s="49" t="inlineStr"/>
    </row>
    <row r="1760" ht="13" customHeight="1">
      <c r="A1760" s="45" t="inlineStr">
        <is>
          <t>15061</t>
        </is>
      </c>
      <c r="B1760" s="45" t="inlineStr">
        <is>
          <t>43387</t>
        </is>
      </c>
      <c r="C1760" s="45" t="inlineStr">
        <is>
          <t>43×1009</t>
        </is>
      </c>
      <c r="D1760" s="45" t="inlineStr">
        <is>
          <t>—</t>
        </is>
      </c>
      <c r="E1760" s="45" t="inlineStr"/>
      <c r="F1760" s="45" t="inlineStr"/>
    </row>
    <row r="1761" ht="13" customHeight="1">
      <c r="A1761" s="49" t="inlineStr">
        <is>
          <t>15073</t>
        </is>
      </c>
      <c r="B1761" s="49" t="inlineStr">
        <is>
          <t>26443</t>
        </is>
      </c>
      <c r="C1761" s="49" t="inlineStr">
        <is>
          <t>31×853</t>
        </is>
      </c>
      <c r="D1761" s="49" t="inlineStr">
        <is>
          <t>—</t>
        </is>
      </c>
      <c r="E1761" s="49" t="inlineStr"/>
      <c r="F1761" s="49" t="inlineStr"/>
    </row>
    <row r="1762" ht="13" customHeight="1">
      <c r="A1762" s="45" t="inlineStr">
        <is>
          <t>15077</t>
        </is>
      </c>
      <c r="B1762" s="45" t="inlineStr">
        <is>
          <t>23758</t>
        </is>
      </c>
      <c r="C1762" s="45" t="inlineStr">
        <is>
          <t>2×7×1697</t>
        </is>
      </c>
      <c r="D1762" s="45" t="inlineStr">
        <is>
          <t>2·7</t>
        </is>
      </c>
      <c r="E1762" s="45" t="inlineStr"/>
      <c r="F1762" s="45" t="inlineStr"/>
    </row>
    <row r="1763" ht="13" customHeight="1">
      <c r="A1763" s="49" t="inlineStr">
        <is>
          <t>15083</t>
        </is>
      </c>
      <c r="B1763" s="49" t="inlineStr">
        <is>
          <t>41655</t>
        </is>
      </c>
      <c r="C1763" s="49" t="inlineStr">
        <is>
          <t>3×5×2777</t>
        </is>
      </c>
      <c r="D1763" s="49" t="inlineStr">
        <is>
          <t>3·5</t>
        </is>
      </c>
      <c r="E1763" s="49" t="inlineStr"/>
      <c r="F1763" s="49" t="inlineStr"/>
    </row>
    <row r="1764" ht="13" customHeight="1">
      <c r="A1764" s="41" t="inlineStr">
        <is>
          <t>15091</t>
        </is>
      </c>
      <c r="B1764" s="41" t="inlineStr">
        <is>
          <t>32318</t>
        </is>
      </c>
      <c r="C1764" s="41" t="inlineStr">
        <is>
          <t>2×11×13×113</t>
        </is>
      </c>
      <c r="D1764" s="41" t="inlineStr">
        <is>
          <t>2·11·13</t>
        </is>
      </c>
      <c r="E1764" s="41" t="inlineStr"/>
      <c r="F1764" s="41" t="inlineStr"/>
    </row>
    <row r="1765" ht="13" customHeight="1">
      <c r="A1765" s="43" t="inlineStr">
        <is>
          <t>15101</t>
        </is>
      </c>
      <c r="B1765" s="43" t="inlineStr">
        <is>
          <t>38500</t>
        </is>
      </c>
      <c r="C1765" s="43" t="inlineStr">
        <is>
          <t>2×2×5×5×5×7×11</t>
        </is>
      </c>
      <c r="D1765" s="43" t="inlineStr">
        <is>
          <t>2·5·7·11</t>
        </is>
      </c>
      <c r="E1765" s="43" t="inlineStr"/>
      <c r="F1765" s="43" t="inlineStr"/>
    </row>
    <row r="1766" ht="13" customHeight="1">
      <c r="A1766" s="41" t="inlineStr">
        <is>
          <t>15107</t>
        </is>
      </c>
      <c r="B1766" s="41" t="inlineStr">
        <is>
          <t>11791</t>
        </is>
      </c>
      <c r="C1766" s="41" t="inlineStr">
        <is>
          <t>13×907</t>
        </is>
      </c>
      <c r="D1766" s="41" t="inlineStr">
        <is>
          <t>13</t>
        </is>
      </c>
      <c r="E1766" s="41" t="inlineStr"/>
      <c r="F1766" s="41" t="inlineStr"/>
    </row>
    <row r="1767" ht="13" customHeight="1">
      <c r="A1767" s="50" t="inlineStr">
        <is>
          <t>15121</t>
        </is>
      </c>
      <c r="B1767" s="50" t="inlineStr">
        <is>
          <t>38287</t>
        </is>
      </c>
      <c r="C1767" s="50" t="inlineStr">
        <is>
          <t>38287</t>
        </is>
      </c>
      <c r="D1767" s="50" t="inlineStr">
        <is>
          <t>—</t>
        </is>
      </c>
      <c r="E1767" s="50" t="inlineStr"/>
      <c r="F1767" s="50" t="inlineStr"/>
    </row>
    <row r="1768" ht="13" customHeight="1">
      <c r="A1768" s="50" t="inlineStr">
        <is>
          <t>15131</t>
        </is>
      </c>
      <c r="B1768" s="50" t="inlineStr">
        <is>
          <t>17321</t>
        </is>
      </c>
      <c r="C1768" s="50" t="inlineStr">
        <is>
          <t>17321</t>
        </is>
      </c>
      <c r="D1768" s="50" t="inlineStr">
        <is>
          <t>—</t>
        </is>
      </c>
      <c r="E1768" s="50" t="inlineStr"/>
      <c r="F1768" s="50" t="inlineStr"/>
    </row>
    <row r="1769" ht="13" customHeight="1">
      <c r="A1769" s="49" t="inlineStr">
        <is>
          <t>15137</t>
        </is>
      </c>
      <c r="B1769" s="49" t="inlineStr">
        <is>
          <t>18146</t>
        </is>
      </c>
      <c r="C1769" s="49" t="inlineStr">
        <is>
          <t>2×43×211</t>
        </is>
      </c>
      <c r="D1769" s="49" t="inlineStr">
        <is>
          <t>2</t>
        </is>
      </c>
      <c r="E1769" s="49" t="inlineStr"/>
      <c r="F1769" s="49" t="inlineStr"/>
    </row>
    <row r="1770" ht="13" customHeight="1">
      <c r="A1770" s="45" t="inlineStr">
        <is>
          <t>15139</t>
        </is>
      </c>
      <c r="B1770" s="45" t="inlineStr">
        <is>
          <t>16015</t>
        </is>
      </c>
      <c r="C1770" s="45" t="inlineStr">
        <is>
          <t>5×3203</t>
        </is>
      </c>
      <c r="D1770" s="45" t="inlineStr">
        <is>
          <t>5</t>
        </is>
      </c>
      <c r="E1770" s="45" t="inlineStr"/>
      <c r="F1770" s="45" t="inlineStr"/>
    </row>
    <row r="1771" ht="13" customHeight="1">
      <c r="A1771" s="43" t="inlineStr">
        <is>
          <t>15149</t>
        </is>
      </c>
      <c r="B1771" s="43" t="inlineStr">
        <is>
          <t>34111</t>
        </is>
      </c>
      <c r="C1771" s="43" t="inlineStr">
        <is>
          <t>7×11×443</t>
        </is>
      </c>
      <c r="D1771" s="43" t="inlineStr">
        <is>
          <t>7·11</t>
        </is>
      </c>
      <c r="E1771" s="43" t="inlineStr"/>
      <c r="F1771" s="43" t="inlineStr"/>
    </row>
    <row r="1772" ht="13" customHeight="1">
      <c r="A1772" s="41" t="inlineStr">
        <is>
          <t>15161</t>
        </is>
      </c>
      <c r="B1772" s="41" t="inlineStr">
        <is>
          <t>23543</t>
        </is>
      </c>
      <c r="C1772" s="41" t="inlineStr">
        <is>
          <t>13×1811</t>
        </is>
      </c>
      <c r="D1772" s="41" t="inlineStr">
        <is>
          <t>13</t>
        </is>
      </c>
      <c r="E1772" s="41" t="inlineStr"/>
      <c r="F1772" s="41" t="inlineStr"/>
    </row>
    <row r="1773" ht="13" customHeight="1">
      <c r="A1773" s="49" t="inlineStr">
        <is>
          <t>15173</t>
        </is>
      </c>
      <c r="B1773" s="49" t="inlineStr">
        <is>
          <t>6782</t>
        </is>
      </c>
      <c r="C1773" s="49" t="inlineStr">
        <is>
          <t>2×3391</t>
        </is>
      </c>
      <c r="D1773" s="49" t="inlineStr">
        <is>
          <t>2</t>
        </is>
      </c>
      <c r="E1773" s="49" t="inlineStr"/>
      <c r="F1773" s="49" t="inlineStr"/>
    </row>
    <row r="1774" ht="13" customHeight="1">
      <c r="A1774" s="43" t="inlineStr">
        <is>
          <t>15187</t>
        </is>
      </c>
      <c r="B1774" s="43" t="inlineStr">
        <is>
          <t>8877</t>
        </is>
      </c>
      <c r="C1774" s="43" t="inlineStr">
        <is>
          <t>3×11×269</t>
        </is>
      </c>
      <c r="D1774" s="43" t="inlineStr">
        <is>
          <t>3·11</t>
        </is>
      </c>
      <c r="E1774" s="43" t="inlineStr"/>
      <c r="F1774" s="43" t="inlineStr"/>
    </row>
    <row r="1775" ht="13" customHeight="1">
      <c r="A1775" s="49" t="inlineStr">
        <is>
          <t>15193</t>
        </is>
      </c>
      <c r="B1775" s="49" t="inlineStr">
        <is>
          <t>10332</t>
        </is>
      </c>
      <c r="C1775" s="49" t="inlineStr">
        <is>
          <t>2×2×3×3×7×41</t>
        </is>
      </c>
      <c r="D1775" s="49" t="inlineStr">
        <is>
          <t>2·3·7</t>
        </is>
      </c>
      <c r="E1775" s="49" t="inlineStr"/>
      <c r="F1775" s="49" t="inlineStr"/>
    </row>
    <row r="1776" ht="13" customHeight="1">
      <c r="A1776" s="51" t="inlineStr">
        <is>
          <t>15199</t>
        </is>
      </c>
      <c r="B1776" s="51" t="inlineStr">
        <is>
          <t>18639</t>
        </is>
      </c>
      <c r="C1776" s="51" t="inlineStr">
        <is>
          <t>3×3×19×109</t>
        </is>
      </c>
      <c r="D1776" s="51" t="inlineStr">
        <is>
          <t>3·19</t>
        </is>
      </c>
      <c r="E1776" s="51" t="inlineStr"/>
      <c r="F1776" s="51" t="inlineStr"/>
    </row>
    <row r="1777" ht="13" customHeight="1">
      <c r="A1777" s="50" t="inlineStr">
        <is>
          <t>15217</t>
        </is>
      </c>
      <c r="B1777" s="50" t="inlineStr">
        <is>
          <t>25933</t>
        </is>
      </c>
      <c r="C1777" s="50" t="inlineStr">
        <is>
          <t>25933</t>
        </is>
      </c>
      <c r="D1777" s="50" t="inlineStr">
        <is>
          <t>—</t>
        </is>
      </c>
      <c r="E1777" s="50" t="inlineStr"/>
      <c r="F1777" s="50" t="inlineStr"/>
    </row>
    <row r="1778" ht="13" customHeight="1">
      <c r="A1778" s="50" t="inlineStr">
        <is>
          <t>15227</t>
        </is>
      </c>
      <c r="B1778" s="50" t="inlineStr">
        <is>
          <t>42499</t>
        </is>
      </c>
      <c r="C1778" s="50" t="inlineStr">
        <is>
          <t>42499</t>
        </is>
      </c>
      <c r="D1778" s="50" t="inlineStr">
        <is>
          <t>—</t>
        </is>
      </c>
      <c r="E1778" s="50" t="inlineStr"/>
      <c r="F1778" s="50" t="inlineStr"/>
    </row>
    <row r="1779" ht="13" customHeight="1">
      <c r="A1779" s="49" t="inlineStr">
        <is>
          <t>15233</t>
        </is>
      </c>
      <c r="B1779" s="49" t="inlineStr">
        <is>
          <t>28134</t>
        </is>
      </c>
      <c r="C1779" s="49" t="inlineStr">
        <is>
          <t>2×3×3×3×521</t>
        </is>
      </c>
      <c r="D1779" s="49" t="inlineStr">
        <is>
          <t>2·3</t>
        </is>
      </c>
      <c r="E1779" s="49" t="inlineStr"/>
      <c r="F1779" s="49" t="inlineStr"/>
    </row>
    <row r="1780" ht="13" customHeight="1">
      <c r="A1780" s="43" t="inlineStr">
        <is>
          <t>15241</t>
        </is>
      </c>
      <c r="B1780" s="43" t="inlineStr">
        <is>
          <t>3795</t>
        </is>
      </c>
      <c r="C1780" s="43" t="inlineStr">
        <is>
          <t>3×5×11×23</t>
        </is>
      </c>
      <c r="D1780" s="43" t="inlineStr">
        <is>
          <t>3·5·11</t>
        </is>
      </c>
      <c r="E1780" s="43" t="inlineStr"/>
      <c r="F1780" s="43" t="inlineStr"/>
    </row>
    <row r="1781" ht="13" customHeight="1">
      <c r="A1781" s="49" t="inlineStr">
        <is>
          <t>15259</t>
        </is>
      </c>
      <c r="B1781" s="49" t="inlineStr">
        <is>
          <t>38118</t>
        </is>
      </c>
      <c r="C1781" s="49" t="inlineStr">
        <is>
          <t>2×3×6353</t>
        </is>
      </c>
      <c r="D1781" s="49" t="inlineStr">
        <is>
          <t>2·3</t>
        </is>
      </c>
      <c r="E1781" s="49" t="inlineStr"/>
      <c r="F1781" s="49" t="inlineStr"/>
    </row>
    <row r="1782" ht="13" customHeight="1">
      <c r="A1782" s="45" t="inlineStr">
        <is>
          <t>15263</t>
        </is>
      </c>
      <c r="B1782" s="45" t="inlineStr">
        <is>
          <t>34534</t>
        </is>
      </c>
      <c r="C1782" s="45" t="inlineStr">
        <is>
          <t>2×31×557</t>
        </is>
      </c>
      <c r="D1782" s="45" t="inlineStr">
        <is>
          <t>2</t>
        </is>
      </c>
      <c r="E1782" s="45" t="inlineStr"/>
      <c r="F1782" s="45" t="inlineStr"/>
    </row>
    <row r="1783" ht="13" customHeight="1">
      <c r="A1783" s="51" t="inlineStr">
        <is>
          <t>15269</t>
        </is>
      </c>
      <c r="B1783" s="51" t="inlineStr">
        <is>
          <t>35340</t>
        </is>
      </c>
      <c r="C1783" s="51" t="inlineStr">
        <is>
          <t>2×2×3×5×19×31</t>
        </is>
      </c>
      <c r="D1783" s="51" t="inlineStr">
        <is>
          <t>2·3·5·19</t>
        </is>
      </c>
      <c r="E1783" s="51" t="inlineStr"/>
      <c r="F1783" s="51" t="inlineStr"/>
    </row>
    <row r="1784" ht="13" customHeight="1">
      <c r="A1784" s="45" t="inlineStr">
        <is>
          <t>15271</t>
        </is>
      </c>
      <c r="B1784" s="45" t="inlineStr">
        <is>
          <t>38672</t>
        </is>
      </c>
      <c r="C1784" s="45" t="inlineStr">
        <is>
          <t>2×2×2×2×2417</t>
        </is>
      </c>
      <c r="D1784" s="45" t="inlineStr">
        <is>
          <t>2</t>
        </is>
      </c>
      <c r="E1784" s="45" t="inlineStr"/>
      <c r="F1784" s="45" t="inlineStr"/>
    </row>
    <row r="1785" ht="13" customHeight="1">
      <c r="A1785" s="49" t="inlineStr">
        <is>
          <t>15277</t>
        </is>
      </c>
      <c r="B1785" s="49" t="inlineStr">
        <is>
          <t>18957</t>
        </is>
      </c>
      <c r="C1785" s="49" t="inlineStr">
        <is>
          <t>3×71×89</t>
        </is>
      </c>
      <c r="D1785" s="49" t="inlineStr">
        <is>
          <t>3</t>
        </is>
      </c>
      <c r="E1785" s="49" t="inlineStr"/>
      <c r="F1785" s="49" t="inlineStr"/>
    </row>
    <row r="1786" ht="13" customHeight="1">
      <c r="A1786" s="45" t="inlineStr">
        <is>
          <t>15287</t>
        </is>
      </c>
      <c r="B1786" s="45" t="inlineStr">
        <is>
          <t>32964</t>
        </is>
      </c>
      <c r="C1786" s="45" t="inlineStr">
        <is>
          <t>2×2×3×41×67</t>
        </is>
      </c>
      <c r="D1786" s="45" t="inlineStr">
        <is>
          <t>2·3</t>
        </is>
      </c>
      <c r="E1786" s="45" t="inlineStr"/>
      <c r="F1786" s="45" t="inlineStr"/>
    </row>
    <row r="1787" ht="13" customHeight="1">
      <c r="A1787" s="41" t="inlineStr">
        <is>
          <t>15289</t>
        </is>
      </c>
      <c r="B1787" s="41" t="inlineStr">
        <is>
          <t>27911</t>
        </is>
      </c>
      <c r="C1787" s="41" t="inlineStr">
        <is>
          <t>13×19×113</t>
        </is>
      </c>
      <c r="D1787" s="41" t="inlineStr">
        <is>
          <t>13·19</t>
        </is>
      </c>
      <c r="E1787" s="41" t="inlineStr"/>
      <c r="F1787" s="41" t="inlineStr"/>
    </row>
    <row r="1788" ht="13" customHeight="1">
      <c r="A1788" s="45" t="inlineStr">
        <is>
          <t>15299</t>
        </is>
      </c>
      <c r="B1788" s="45" t="inlineStr">
        <is>
          <t>31071</t>
        </is>
      </c>
      <c r="C1788" s="45" t="inlineStr">
        <is>
          <t>3×10357</t>
        </is>
      </c>
      <c r="D1788" s="45" t="inlineStr">
        <is>
          <t>3</t>
        </is>
      </c>
      <c r="E1788" s="45" t="inlineStr"/>
      <c r="F1788" s="45" t="inlineStr"/>
    </row>
    <row r="1789" ht="13" customHeight="1">
      <c r="A1789" s="49" t="inlineStr">
        <is>
          <t>15307</t>
        </is>
      </c>
      <c r="B1789" s="49" t="inlineStr">
        <is>
          <t>26120</t>
        </is>
      </c>
      <c r="C1789" s="49" t="inlineStr">
        <is>
          <t>2×2×2×5×653</t>
        </is>
      </c>
      <c r="D1789" s="49" t="inlineStr">
        <is>
          <t>2·5</t>
        </is>
      </c>
      <c r="E1789" s="49" t="inlineStr"/>
      <c r="F1789" s="49" t="inlineStr"/>
    </row>
    <row r="1790" ht="13" customHeight="1">
      <c r="A1790" s="41" t="inlineStr">
        <is>
          <t>15313</t>
        </is>
      </c>
      <c r="B1790" s="41" t="inlineStr">
        <is>
          <t>39104</t>
        </is>
      </c>
      <c r="C1790" s="41" t="inlineStr">
        <is>
          <t>2×2×2×2×2×2×13×47</t>
        </is>
      </c>
      <c r="D1790" s="41" t="inlineStr">
        <is>
          <t>2·13</t>
        </is>
      </c>
      <c r="E1790" s="41" t="inlineStr"/>
      <c r="F1790" s="41" t="inlineStr"/>
    </row>
    <row r="1791" ht="13" customHeight="1">
      <c r="A1791" s="49" t="inlineStr">
        <is>
          <t>15319</t>
        </is>
      </c>
      <c r="B1791" s="49" t="inlineStr">
        <is>
          <t>2675</t>
        </is>
      </c>
      <c r="C1791" s="49" t="inlineStr">
        <is>
          <t>5×5×107</t>
        </is>
      </c>
      <c r="D1791" s="49" t="inlineStr">
        <is>
          <t>5</t>
        </is>
      </c>
      <c r="E1791" s="49" t="inlineStr"/>
      <c r="F1791" s="49" t="inlineStr"/>
    </row>
    <row r="1792" ht="13" customHeight="1">
      <c r="A1792" s="43" t="inlineStr">
        <is>
          <t>15329</t>
        </is>
      </c>
      <c r="B1792" s="43" t="inlineStr">
        <is>
          <t>43021</t>
        </is>
      </c>
      <c r="C1792" s="43" t="inlineStr">
        <is>
          <t>11×3911</t>
        </is>
      </c>
      <c r="D1792" s="43" t="inlineStr">
        <is>
          <t>11</t>
        </is>
      </c>
      <c r="E1792" s="43" t="inlineStr"/>
      <c r="F1792" s="43" t="inlineStr"/>
    </row>
    <row r="1793" ht="13" customHeight="1">
      <c r="A1793" s="49" t="inlineStr">
        <is>
          <t>15331</t>
        </is>
      </c>
      <c r="B1793" s="49" t="inlineStr">
        <is>
          <t>19134</t>
        </is>
      </c>
      <c r="C1793" s="49" t="inlineStr">
        <is>
          <t>2×3×3×1063</t>
        </is>
      </c>
      <c r="D1793" s="49" t="inlineStr">
        <is>
          <t>2·3</t>
        </is>
      </c>
      <c r="E1793" s="49" t="inlineStr"/>
      <c r="F1793" s="49" t="inlineStr"/>
    </row>
    <row r="1794" ht="13" customHeight="1">
      <c r="A1794" s="45" t="inlineStr">
        <is>
          <t>15349</t>
        </is>
      </c>
      <c r="B1794" s="45" t="inlineStr">
        <is>
          <t>22612</t>
        </is>
      </c>
      <c r="C1794" s="45" t="inlineStr">
        <is>
          <t>2×2×5653</t>
        </is>
      </c>
      <c r="D1794" s="45" t="inlineStr">
        <is>
          <t>2</t>
        </is>
      </c>
      <c r="E1794" s="45" t="inlineStr"/>
      <c r="F1794" s="45" t="inlineStr"/>
    </row>
    <row r="1795" ht="13" customHeight="1">
      <c r="A1795" s="50" t="inlineStr">
        <is>
          <t>15359</t>
        </is>
      </c>
      <c r="B1795" s="50" t="inlineStr">
        <is>
          <t>17317</t>
        </is>
      </c>
      <c r="C1795" s="50" t="inlineStr">
        <is>
          <t>17317</t>
        </is>
      </c>
      <c r="D1795" s="50" t="inlineStr">
        <is>
          <t>—</t>
        </is>
      </c>
      <c r="E1795" s="50" t="inlineStr"/>
      <c r="F1795" s="50" t="inlineStr"/>
    </row>
    <row r="1796" ht="13" customHeight="1">
      <c r="A1796" s="45" t="inlineStr">
        <is>
          <t>15361</t>
        </is>
      </c>
      <c r="B1796" s="45" t="inlineStr">
        <is>
          <t>3296</t>
        </is>
      </c>
      <c r="C1796" s="45" t="inlineStr">
        <is>
          <t>2×2×2×2×2×103</t>
        </is>
      </c>
      <c r="D1796" s="45" t="inlineStr">
        <is>
          <t>2</t>
        </is>
      </c>
      <c r="E1796" s="45" t="inlineStr"/>
      <c r="F1796" s="45" t="inlineStr"/>
    </row>
    <row r="1797" ht="13" customHeight="1">
      <c r="A1797" s="49" t="inlineStr">
        <is>
          <t>15373</t>
        </is>
      </c>
      <c r="B1797" s="49" t="inlineStr">
        <is>
          <t>12773</t>
        </is>
      </c>
      <c r="C1797" s="49" t="inlineStr">
        <is>
          <t>53×241</t>
        </is>
      </c>
      <c r="D1797" s="49" t="inlineStr">
        <is>
          <t>—</t>
        </is>
      </c>
      <c r="E1797" s="49" t="inlineStr"/>
      <c r="F1797" s="49" t="inlineStr"/>
    </row>
    <row r="1798" ht="13" customHeight="1">
      <c r="A1798" s="45" t="inlineStr">
        <is>
          <t>15377</t>
        </is>
      </c>
      <c r="B1798" s="45" t="inlineStr">
        <is>
          <t>33068</t>
        </is>
      </c>
      <c r="C1798" s="45" t="inlineStr">
        <is>
          <t>2×2×7×1181</t>
        </is>
      </c>
      <c r="D1798" s="45" t="inlineStr">
        <is>
          <t>2·7</t>
        </is>
      </c>
      <c r="E1798" s="45" t="inlineStr"/>
      <c r="F1798" s="45" t="inlineStr"/>
    </row>
    <row r="1799" ht="13" customHeight="1">
      <c r="A1799" s="49" t="inlineStr">
        <is>
          <t>15383</t>
        </is>
      </c>
      <c r="B1799" s="49" t="inlineStr">
        <is>
          <t>2374</t>
        </is>
      </c>
      <c r="C1799" s="49" t="inlineStr">
        <is>
          <t>2×1187</t>
        </is>
      </c>
      <c r="D1799" s="49" t="inlineStr">
        <is>
          <t>2</t>
        </is>
      </c>
      <c r="E1799" s="49" t="inlineStr"/>
      <c r="F1799" s="49" t="inlineStr"/>
    </row>
    <row r="1800" ht="13" customHeight="1">
      <c r="A1800" s="45" t="inlineStr">
        <is>
          <t>15391</t>
        </is>
      </c>
      <c r="B1800" s="45" t="inlineStr">
        <is>
          <t>30439</t>
        </is>
      </c>
      <c r="C1800" s="45" t="inlineStr">
        <is>
          <t>61×499</t>
        </is>
      </c>
      <c r="D1800" s="45" t="inlineStr">
        <is>
          <t>—</t>
        </is>
      </c>
      <c r="E1800" s="45" t="inlineStr"/>
      <c r="F1800" s="45" t="inlineStr"/>
    </row>
    <row r="1801" ht="13" customHeight="1">
      <c r="A1801" s="43" t="inlineStr">
        <is>
          <t>15401</t>
        </is>
      </c>
      <c r="B1801" s="43" t="inlineStr">
        <is>
          <t>16962</t>
        </is>
      </c>
      <c r="C1801" s="43" t="inlineStr">
        <is>
          <t>2×3×11×257</t>
        </is>
      </c>
      <c r="D1801" s="43" t="inlineStr">
        <is>
          <t>2·3·11</t>
        </is>
      </c>
      <c r="E1801" s="43" t="inlineStr"/>
      <c r="F1801" s="43" t="inlineStr"/>
    </row>
    <row r="1802" ht="13" customHeight="1">
      <c r="A1802" s="45" t="inlineStr">
        <is>
          <t>15413</t>
        </is>
      </c>
      <c r="B1802" s="45" t="inlineStr">
        <is>
          <t>19158</t>
        </is>
      </c>
      <c r="C1802" s="45" t="inlineStr">
        <is>
          <t>2×3×31×103</t>
        </is>
      </c>
      <c r="D1802" s="45" t="inlineStr">
        <is>
          <t>2·3</t>
        </is>
      </c>
      <c r="E1802" s="45" t="inlineStr"/>
      <c r="F1802" s="45" t="inlineStr"/>
    </row>
    <row r="1803" ht="13" customHeight="1">
      <c r="A1803" s="49" t="inlineStr">
        <is>
          <t>15427</t>
        </is>
      </c>
      <c r="B1803" s="49" t="inlineStr">
        <is>
          <t>36386</t>
        </is>
      </c>
      <c r="C1803" s="49" t="inlineStr">
        <is>
          <t>2×7×23×113</t>
        </is>
      </c>
      <c r="D1803" s="49" t="inlineStr">
        <is>
          <t>2·7</t>
        </is>
      </c>
      <c r="E1803" s="49" t="inlineStr"/>
      <c r="F1803" s="49" t="inlineStr"/>
    </row>
    <row r="1804" ht="13" customHeight="1">
      <c r="A1804" s="45" t="inlineStr">
        <is>
          <t>15439</t>
        </is>
      </c>
      <c r="B1804" s="45" t="inlineStr">
        <is>
          <t>5078</t>
        </is>
      </c>
      <c r="C1804" s="45" t="inlineStr">
        <is>
          <t>2×2539</t>
        </is>
      </c>
      <c r="D1804" s="45" t="inlineStr">
        <is>
          <t>2</t>
        </is>
      </c>
      <c r="E1804" s="45" t="inlineStr"/>
      <c r="F1804" s="45" t="inlineStr"/>
    </row>
    <row r="1805" ht="13" customHeight="1">
      <c r="A1805" s="49" t="inlineStr">
        <is>
          <t>15443</t>
        </is>
      </c>
      <c r="B1805" s="49" t="inlineStr">
        <is>
          <t>27408</t>
        </is>
      </c>
      <c r="C1805" s="49" t="inlineStr">
        <is>
          <t>2×2×2×2×3×571</t>
        </is>
      </c>
      <c r="D1805" s="49" t="inlineStr">
        <is>
          <t>2·3</t>
        </is>
      </c>
      <c r="E1805" s="49" t="inlineStr"/>
      <c r="F1805" s="49" t="inlineStr"/>
    </row>
    <row r="1806" ht="13" customHeight="1">
      <c r="A1806" s="43" t="inlineStr">
        <is>
          <t>15451</t>
        </is>
      </c>
      <c r="B1806" s="43" t="inlineStr">
        <is>
          <t>5027</t>
        </is>
      </c>
      <c r="C1806" s="43" t="inlineStr">
        <is>
          <t>11×457</t>
        </is>
      </c>
      <c r="D1806" s="43" t="inlineStr">
        <is>
          <t>11</t>
        </is>
      </c>
      <c r="E1806" s="43" t="inlineStr"/>
      <c r="F1806" s="43" t="inlineStr"/>
    </row>
    <row r="1807" ht="13" customHeight="1">
      <c r="A1807" s="49" t="inlineStr">
        <is>
          <t>15461</t>
        </is>
      </c>
      <c r="B1807" s="49" t="inlineStr">
        <is>
          <t>12735</t>
        </is>
      </c>
      <c r="C1807" s="49" t="inlineStr">
        <is>
          <t>3×3×5×283</t>
        </is>
      </c>
      <c r="D1807" s="49" t="inlineStr">
        <is>
          <t>3·5</t>
        </is>
      </c>
      <c r="E1807" s="49" t="inlineStr"/>
      <c r="F1807" s="49" t="inlineStr"/>
    </row>
    <row r="1808" ht="13" customHeight="1">
      <c r="A1808" s="50" t="inlineStr">
        <is>
          <t>15467</t>
        </is>
      </c>
      <c r="B1808" s="50" t="inlineStr">
        <is>
          <t>26449</t>
        </is>
      </c>
      <c r="C1808" s="50" t="inlineStr">
        <is>
          <t>26449</t>
        </is>
      </c>
      <c r="D1808" s="50" t="inlineStr">
        <is>
          <t>—</t>
        </is>
      </c>
      <c r="E1808" s="50" t="inlineStr"/>
      <c r="F1808" s="50" t="inlineStr"/>
    </row>
    <row r="1809" ht="13" customHeight="1">
      <c r="A1809" s="50" t="inlineStr">
        <is>
          <t>15473</t>
        </is>
      </c>
      <c r="B1809" s="50" t="inlineStr">
        <is>
          <t>19391</t>
        </is>
      </c>
      <c r="C1809" s="50" t="inlineStr">
        <is>
          <t>19391</t>
        </is>
      </c>
      <c r="D1809" s="50" t="inlineStr">
        <is>
          <t>—</t>
        </is>
      </c>
      <c r="E1809" s="50" t="inlineStr"/>
      <c r="F1809" s="50" t="inlineStr"/>
    </row>
    <row r="1810" ht="13" customHeight="1">
      <c r="A1810" s="43" t="inlineStr">
        <is>
          <t>15493</t>
        </is>
      </c>
      <c r="B1810" s="43" t="inlineStr">
        <is>
          <t>36520</t>
        </is>
      </c>
      <c r="C1810" s="43" t="inlineStr">
        <is>
          <t>2×2×2×5×11×83</t>
        </is>
      </c>
      <c r="D1810" s="43" t="inlineStr">
        <is>
          <t>2·5·11</t>
        </is>
      </c>
      <c r="E1810" s="43" t="inlineStr"/>
      <c r="F1810" s="43" t="inlineStr"/>
    </row>
    <row r="1811" ht="13" customHeight="1">
      <c r="A1811" s="41" t="inlineStr">
        <is>
          <t>15497</t>
        </is>
      </c>
      <c r="B1811" s="41" t="inlineStr">
        <is>
          <t>40118</t>
        </is>
      </c>
      <c r="C1811" s="41" t="inlineStr">
        <is>
          <t>2×13×1543</t>
        </is>
      </c>
      <c r="D1811" s="41" t="inlineStr">
        <is>
          <t>2·13</t>
        </is>
      </c>
      <c r="E1811" s="41" t="inlineStr"/>
      <c r="F1811" s="41" t="inlineStr"/>
    </row>
    <row r="1812" ht="13" customHeight="1">
      <c r="A1812" s="45" t="inlineStr">
        <is>
          <t>15511</t>
        </is>
      </c>
      <c r="B1812" s="45" t="inlineStr">
        <is>
          <t>37806</t>
        </is>
      </c>
      <c r="C1812" s="45" t="inlineStr">
        <is>
          <t>2×3×6301</t>
        </is>
      </c>
      <c r="D1812" s="45" t="inlineStr">
        <is>
          <t>2·3</t>
        </is>
      </c>
      <c r="E1812" s="45" t="inlineStr"/>
      <c r="F1812" s="45" t="inlineStr"/>
    </row>
    <row r="1813" ht="13" customHeight="1">
      <c r="A1813" s="49" t="inlineStr">
        <is>
          <t>15527</t>
        </is>
      </c>
      <c r="B1813" s="49" t="inlineStr">
        <is>
          <t>22904</t>
        </is>
      </c>
      <c r="C1813" s="49" t="inlineStr">
        <is>
          <t>2×2×2×7×409</t>
        </is>
      </c>
      <c r="D1813" s="49" t="inlineStr">
        <is>
          <t>2·7</t>
        </is>
      </c>
      <c r="E1813" s="49" t="inlineStr"/>
      <c r="F1813" s="49" t="inlineStr"/>
    </row>
    <row r="1814" ht="13" customHeight="1">
      <c r="A1814" s="45" t="inlineStr">
        <is>
          <t>15541</t>
        </is>
      </c>
      <c r="B1814" s="45" t="inlineStr">
        <is>
          <t>12031</t>
        </is>
      </c>
      <c r="C1814" s="45" t="inlineStr">
        <is>
          <t>53×227</t>
        </is>
      </c>
      <c r="D1814" s="45" t="inlineStr">
        <is>
          <t>—</t>
        </is>
      </c>
      <c r="E1814" s="45" t="inlineStr"/>
      <c r="F1814" s="45" t="inlineStr"/>
    </row>
    <row r="1815" ht="13" customHeight="1">
      <c r="A1815" s="43" t="inlineStr">
        <is>
          <t>15551</t>
        </is>
      </c>
      <c r="B1815" s="43" t="inlineStr">
        <is>
          <t>39281</t>
        </is>
      </c>
      <c r="C1815" s="43" t="inlineStr">
        <is>
          <t>11×3571</t>
        </is>
      </c>
      <c r="D1815" s="43" t="inlineStr">
        <is>
          <t>11</t>
        </is>
      </c>
      <c r="E1815" s="43" t="inlineStr"/>
      <c r="F1815" s="43" t="inlineStr"/>
    </row>
    <row r="1816" ht="13" customHeight="1">
      <c r="A1816" s="45" t="inlineStr">
        <is>
          <t>15559</t>
        </is>
      </c>
      <c r="B1816" s="45" t="inlineStr">
        <is>
          <t>41414</t>
        </is>
      </c>
      <c r="C1816" s="45" t="inlineStr">
        <is>
          <t>2×20707</t>
        </is>
      </c>
      <c r="D1816" s="45" t="inlineStr">
        <is>
          <t>2</t>
        </is>
      </c>
      <c r="E1816" s="45" t="inlineStr"/>
      <c r="F1816" s="45" t="inlineStr"/>
    </row>
    <row r="1817" ht="13" customHeight="1">
      <c r="A1817" s="41" t="inlineStr">
        <is>
          <t>15569</t>
        </is>
      </c>
      <c r="B1817" s="41" t="inlineStr">
        <is>
          <t>5950</t>
        </is>
      </c>
      <c r="C1817" s="41" t="inlineStr">
        <is>
          <t>2×5×5×7×17</t>
        </is>
      </c>
      <c r="D1817" s="41" t="inlineStr">
        <is>
          <t>2·5·7·17</t>
        </is>
      </c>
      <c r="E1817" s="41" t="inlineStr"/>
      <c r="F1817" s="41" t="inlineStr"/>
    </row>
    <row r="1818" ht="13" customHeight="1">
      <c r="A1818" s="45" t="inlineStr">
        <is>
          <t>15581</t>
        </is>
      </c>
      <c r="B1818" s="45" t="inlineStr">
        <is>
          <t>3721</t>
        </is>
      </c>
      <c r="C1818" s="45" t="inlineStr">
        <is>
          <t>61×61</t>
        </is>
      </c>
      <c r="D1818" s="45" t="inlineStr">
        <is>
          <t>—</t>
        </is>
      </c>
      <c r="E1818" s="45" t="inlineStr"/>
      <c r="F1818" s="45" t="inlineStr"/>
    </row>
    <row r="1819" ht="13" customHeight="1">
      <c r="A1819" s="41" t="inlineStr">
        <is>
          <t>15583</t>
        </is>
      </c>
      <c r="B1819" s="41" t="inlineStr">
        <is>
          <t>17765</t>
        </is>
      </c>
      <c r="C1819" s="41" t="inlineStr">
        <is>
          <t>5×11×17×19</t>
        </is>
      </c>
      <c r="D1819" s="41" t="inlineStr">
        <is>
          <t>5·11·17·19</t>
        </is>
      </c>
      <c r="E1819" s="41" t="inlineStr"/>
      <c r="F1819" s="41" t="inlineStr"/>
    </row>
    <row r="1820" ht="13" customHeight="1">
      <c r="A1820" s="45" t="inlineStr">
        <is>
          <t>15601</t>
        </is>
      </c>
      <c r="B1820" s="45" t="inlineStr">
        <is>
          <t>42833</t>
        </is>
      </c>
      <c r="C1820" s="45" t="inlineStr">
        <is>
          <t>7×29×211</t>
        </is>
      </c>
      <c r="D1820" s="45" t="inlineStr">
        <is>
          <t>7</t>
        </is>
      </c>
      <c r="E1820" s="45" t="inlineStr"/>
      <c r="F1820" s="45" t="inlineStr"/>
    </row>
    <row r="1821" ht="13" customHeight="1">
      <c r="A1821" s="41" t="inlineStr">
        <is>
          <t>15607</t>
        </is>
      </c>
      <c r="B1821" s="41" t="inlineStr">
        <is>
          <t>33618</t>
        </is>
      </c>
      <c r="C1821" s="41" t="inlineStr">
        <is>
          <t>2×3×13×431</t>
        </is>
      </c>
      <c r="D1821" s="41" t="inlineStr">
        <is>
          <t>2·3·13</t>
        </is>
      </c>
      <c r="E1821" s="41" t="inlineStr"/>
      <c r="F1821" s="41" t="inlineStr"/>
    </row>
    <row r="1822" ht="13" customHeight="1">
      <c r="A1822" s="50" t="inlineStr">
        <is>
          <t>15619</t>
        </is>
      </c>
      <c r="B1822" s="50" t="inlineStr">
        <is>
          <t>17029</t>
        </is>
      </c>
      <c r="C1822" s="50" t="inlineStr">
        <is>
          <t>17029</t>
        </is>
      </c>
      <c r="D1822" s="50" t="inlineStr">
        <is>
          <t>—</t>
        </is>
      </c>
      <c r="E1822" s="50" t="inlineStr"/>
      <c r="F1822" s="50" t="inlineStr"/>
    </row>
    <row r="1823" ht="13" customHeight="1">
      <c r="A1823" s="51" t="inlineStr">
        <is>
          <t>15629</t>
        </is>
      </c>
      <c r="B1823" s="51" t="inlineStr">
        <is>
          <t>31198</t>
        </is>
      </c>
      <c r="C1823" s="51" t="inlineStr">
        <is>
          <t>2×19×821</t>
        </is>
      </c>
      <c r="D1823" s="51" t="inlineStr">
        <is>
          <t>2·19</t>
        </is>
      </c>
      <c r="E1823" s="51" t="inlineStr"/>
      <c r="F1823" s="51" t="inlineStr"/>
    </row>
    <row r="1824" ht="13" customHeight="1">
      <c r="A1824" s="45" t="inlineStr">
        <is>
          <t>15641</t>
        </is>
      </c>
      <c r="B1824" s="45" t="inlineStr">
        <is>
          <t>35599</t>
        </is>
      </c>
      <c r="C1824" s="45" t="inlineStr">
        <is>
          <t>97×367</t>
        </is>
      </c>
      <c r="D1824" s="45" t="inlineStr">
        <is>
          <t>—</t>
        </is>
      </c>
      <c r="E1824" s="45" t="inlineStr"/>
      <c r="F1824" s="45" t="inlineStr"/>
    </row>
    <row r="1825" ht="13" customHeight="1">
      <c r="A1825" s="49" t="inlineStr">
        <is>
          <t>15643</t>
        </is>
      </c>
      <c r="B1825" s="49" t="inlineStr">
        <is>
          <t>21200</t>
        </is>
      </c>
      <c r="C1825" s="49" t="inlineStr">
        <is>
          <t>2×2×2×2×5×5×53</t>
        </is>
      </c>
      <c r="D1825" s="49" t="inlineStr">
        <is>
          <t>2·5</t>
        </is>
      </c>
      <c r="E1825" s="49" t="inlineStr"/>
      <c r="F1825" s="49" t="inlineStr"/>
    </row>
    <row r="1826" ht="13" customHeight="1">
      <c r="A1826" s="45" t="inlineStr">
        <is>
          <t>15647</t>
        </is>
      </c>
      <c r="B1826" s="45" t="inlineStr">
        <is>
          <t>38787</t>
        </is>
      </c>
      <c r="C1826" s="45" t="inlineStr">
        <is>
          <t>3×7×1847</t>
        </is>
      </c>
      <c r="D1826" s="45" t="inlineStr">
        <is>
          <t>3·7</t>
        </is>
      </c>
      <c r="E1826" s="45" t="inlineStr"/>
      <c r="F1826" s="45" t="inlineStr"/>
    </row>
    <row r="1827" ht="13" customHeight="1">
      <c r="A1827" s="49" t="inlineStr">
        <is>
          <t>15649</t>
        </is>
      </c>
      <c r="B1827" s="49" t="inlineStr">
        <is>
          <t>22987</t>
        </is>
      </c>
      <c r="C1827" s="49" t="inlineStr">
        <is>
          <t>127×181</t>
        </is>
      </c>
      <c r="D1827" s="49" t="inlineStr">
        <is>
          <t>—</t>
        </is>
      </c>
      <c r="E1827" s="49" t="inlineStr"/>
      <c r="F1827" s="49" t="inlineStr"/>
    </row>
    <row r="1828" ht="13" customHeight="1">
      <c r="A1828" s="45" t="inlineStr">
        <is>
          <t>15661</t>
        </is>
      </c>
      <c r="B1828" s="45" t="inlineStr">
        <is>
          <t>19311</t>
        </is>
      </c>
      <c r="C1828" s="45" t="inlineStr">
        <is>
          <t>3×41×157</t>
        </is>
      </c>
      <c r="D1828" s="45" t="inlineStr">
        <is>
          <t>3</t>
        </is>
      </c>
      <c r="E1828" s="45" t="inlineStr"/>
      <c r="F1828" s="45" t="inlineStr"/>
    </row>
    <row r="1829" ht="13" customHeight="1">
      <c r="A1829" s="50" t="inlineStr">
        <is>
          <t>15667</t>
        </is>
      </c>
      <c r="B1829" s="50" t="inlineStr">
        <is>
          <t>21419</t>
        </is>
      </c>
      <c r="C1829" s="50" t="inlineStr">
        <is>
          <t>21419</t>
        </is>
      </c>
      <c r="D1829" s="50" t="inlineStr">
        <is>
          <t>—</t>
        </is>
      </c>
      <c r="E1829" s="50" t="inlineStr"/>
      <c r="F1829" s="50" t="inlineStr"/>
    </row>
    <row r="1830" ht="13" customHeight="1">
      <c r="A1830" s="45" t="inlineStr">
        <is>
          <t>15671</t>
        </is>
      </c>
      <c r="B1830" s="45" t="inlineStr">
        <is>
          <t>39166</t>
        </is>
      </c>
      <c r="C1830" s="45" t="inlineStr">
        <is>
          <t>2×19583</t>
        </is>
      </c>
      <c r="D1830" s="45" t="inlineStr">
        <is>
          <t>2</t>
        </is>
      </c>
      <c r="E1830" s="45" t="inlineStr"/>
      <c r="F1830" s="45" t="inlineStr"/>
    </row>
    <row r="1831" ht="13" customHeight="1">
      <c r="A1831" s="49" t="inlineStr">
        <is>
          <t>15679</t>
        </is>
      </c>
      <c r="B1831" s="49" t="inlineStr">
        <is>
          <t>2544</t>
        </is>
      </c>
      <c r="C1831" s="49" t="inlineStr">
        <is>
          <t>2×2×2×2×3×53</t>
        </is>
      </c>
      <c r="D1831" s="49" t="inlineStr">
        <is>
          <t>2·3</t>
        </is>
      </c>
      <c r="E1831" s="49" t="inlineStr"/>
      <c r="F1831" s="49" t="inlineStr"/>
    </row>
    <row r="1832" ht="13" customHeight="1">
      <c r="A1832" s="41" t="inlineStr">
        <is>
          <t>15683</t>
        </is>
      </c>
      <c r="B1832" s="41" t="inlineStr">
        <is>
          <t>38402</t>
        </is>
      </c>
      <c r="C1832" s="41" t="inlineStr">
        <is>
          <t>2×7×13×211</t>
        </is>
      </c>
      <c r="D1832" s="41" t="inlineStr">
        <is>
          <t>2·7·13</t>
        </is>
      </c>
      <c r="E1832" s="41" t="inlineStr"/>
      <c r="F1832" s="41" t="inlineStr"/>
    </row>
    <row r="1833" ht="13" customHeight="1">
      <c r="A1833" s="51" t="inlineStr">
        <is>
          <t>15727</t>
        </is>
      </c>
      <c r="B1833" s="51" t="inlineStr">
        <is>
          <t>11533</t>
        </is>
      </c>
      <c r="C1833" s="51" t="inlineStr">
        <is>
          <t>19×607</t>
        </is>
      </c>
      <c r="D1833" s="51" t="inlineStr">
        <is>
          <t>19</t>
        </is>
      </c>
      <c r="E1833" s="51" t="inlineStr"/>
      <c r="F1833" s="51" t="inlineStr"/>
    </row>
    <row r="1834" ht="13" customHeight="1">
      <c r="A1834" s="45" t="inlineStr">
        <is>
          <t>15731</t>
        </is>
      </c>
      <c r="B1834" s="45" t="inlineStr">
        <is>
          <t>42149</t>
        </is>
      </c>
      <c r="C1834" s="45" t="inlineStr">
        <is>
          <t>113×373</t>
        </is>
      </c>
      <c r="D1834" s="45" t="inlineStr">
        <is>
          <t>—</t>
        </is>
      </c>
      <c r="E1834" s="45" t="inlineStr"/>
      <c r="F1834" s="45" t="inlineStr"/>
    </row>
    <row r="1835" ht="13" customHeight="1">
      <c r="A1835" s="50" t="inlineStr">
        <is>
          <t>15733</t>
        </is>
      </c>
      <c r="B1835" s="50" t="inlineStr">
        <is>
          <t>27997</t>
        </is>
      </c>
      <c r="C1835" s="50" t="inlineStr">
        <is>
          <t>27997</t>
        </is>
      </c>
      <c r="D1835" s="50" t="inlineStr">
        <is>
          <t>—</t>
        </is>
      </c>
      <c r="E1835" s="50" t="inlineStr"/>
      <c r="F1835" s="50" t="inlineStr"/>
    </row>
    <row r="1836" ht="13" customHeight="1">
      <c r="A1836" s="45" t="inlineStr">
        <is>
          <t>15737</t>
        </is>
      </c>
      <c r="B1836" s="45" t="inlineStr">
        <is>
          <t>21616</t>
        </is>
      </c>
      <c r="C1836" s="45" t="inlineStr">
        <is>
          <t>2×2×2×2×7×193</t>
        </is>
      </c>
      <c r="D1836" s="45" t="inlineStr">
        <is>
          <t>2·7</t>
        </is>
      </c>
      <c r="E1836" s="45" t="inlineStr"/>
      <c r="F1836" s="45" t="inlineStr"/>
    </row>
    <row r="1837" ht="13" customHeight="1">
      <c r="A1837" s="49" t="inlineStr">
        <is>
          <t>15739</t>
        </is>
      </c>
      <c r="B1837" s="49" t="inlineStr">
        <is>
          <t>36759</t>
        </is>
      </c>
      <c r="C1837" s="49" t="inlineStr">
        <is>
          <t>3×12253</t>
        </is>
      </c>
      <c r="D1837" s="49" t="inlineStr">
        <is>
          <t>3</t>
        </is>
      </c>
      <c r="E1837" s="49" t="inlineStr"/>
      <c r="F1837" s="49" t="inlineStr"/>
    </row>
    <row r="1838" ht="13" customHeight="1">
      <c r="A1838" s="45" t="inlineStr">
        <is>
          <t>15749</t>
        </is>
      </c>
      <c r="B1838" s="45" t="inlineStr">
        <is>
          <t>17555</t>
        </is>
      </c>
      <c r="C1838" s="45" t="inlineStr">
        <is>
          <t>5×3511</t>
        </is>
      </c>
      <c r="D1838" s="45" t="inlineStr">
        <is>
          <t>5</t>
        </is>
      </c>
      <c r="E1838" s="45" t="inlineStr"/>
      <c r="F1838" s="45" t="inlineStr"/>
    </row>
    <row r="1839" ht="13" customHeight="1">
      <c r="A1839" s="49" t="inlineStr">
        <is>
          <t>15761</t>
        </is>
      </c>
      <c r="B1839" s="49" t="inlineStr">
        <is>
          <t>28225</t>
        </is>
      </c>
      <c r="C1839" s="49" t="inlineStr">
        <is>
          <t>5×5×1129</t>
        </is>
      </c>
      <c r="D1839" s="49" t="inlineStr">
        <is>
          <t>5</t>
        </is>
      </c>
      <c r="E1839" s="49" t="inlineStr"/>
      <c r="F1839" s="49" t="inlineStr"/>
    </row>
    <row r="1840" ht="13" customHeight="1">
      <c r="A1840" s="50" t="inlineStr">
        <is>
          <t>15767</t>
        </is>
      </c>
      <c r="B1840" s="50" t="inlineStr">
        <is>
          <t>35257</t>
        </is>
      </c>
      <c r="C1840" s="50" t="inlineStr">
        <is>
          <t>35257</t>
        </is>
      </c>
      <c r="D1840" s="50" t="inlineStr">
        <is>
          <t>—</t>
        </is>
      </c>
      <c r="E1840" s="50" t="inlineStr"/>
      <c r="F1840" s="50" t="inlineStr"/>
    </row>
    <row r="1841" ht="13" customHeight="1">
      <c r="A1841" s="50" t="inlineStr">
        <is>
          <t>15773</t>
        </is>
      </c>
      <c r="B1841" s="50" t="inlineStr">
        <is>
          <t>1657</t>
        </is>
      </c>
      <c r="C1841" s="50" t="inlineStr">
        <is>
          <t>1657</t>
        </is>
      </c>
      <c r="D1841" s="50" t="inlineStr">
        <is>
          <t>—</t>
        </is>
      </c>
      <c r="E1841" s="50" t="inlineStr"/>
      <c r="F1841" s="50" t="inlineStr"/>
    </row>
    <row r="1842" ht="13" customHeight="1">
      <c r="A1842" s="41" t="inlineStr">
        <is>
          <t>15787</t>
        </is>
      </c>
      <c r="B1842" s="41" t="inlineStr">
        <is>
          <t>15795</t>
        </is>
      </c>
      <c r="C1842" s="41" t="inlineStr">
        <is>
          <t>3×3×3×3×3×5×13</t>
        </is>
      </c>
      <c r="D1842" s="41" t="inlineStr">
        <is>
          <t>3·5·13</t>
        </is>
      </c>
      <c r="E1842" s="41" t="inlineStr"/>
      <c r="F1842" s="41" t="inlineStr"/>
    </row>
    <row r="1843" ht="13" customHeight="1">
      <c r="A1843" s="49" t="inlineStr">
        <is>
          <t>15791</t>
        </is>
      </c>
      <c r="B1843" s="49" t="inlineStr">
        <is>
          <t>29476</t>
        </is>
      </c>
      <c r="C1843" s="49" t="inlineStr">
        <is>
          <t>2×2×7369</t>
        </is>
      </c>
      <c r="D1843" s="49" t="inlineStr">
        <is>
          <t>2</t>
        </is>
      </c>
      <c r="E1843" s="49" t="inlineStr"/>
      <c r="F1843" s="49" t="inlineStr"/>
    </row>
    <row r="1844" ht="13" customHeight="1">
      <c r="A1844" s="43" t="inlineStr">
        <is>
          <t>15797</t>
        </is>
      </c>
      <c r="B1844" s="43" t="inlineStr">
        <is>
          <t>4334</t>
        </is>
      </c>
      <c r="C1844" s="43" t="inlineStr">
        <is>
          <t>2×11×197</t>
        </is>
      </c>
      <c r="D1844" s="43" t="inlineStr">
        <is>
          <t>2·11</t>
        </is>
      </c>
      <c r="E1844" s="43" t="inlineStr"/>
      <c r="F1844" s="43" t="inlineStr"/>
    </row>
    <row r="1845" ht="13" customHeight="1">
      <c r="A1845" s="51" t="inlineStr">
        <is>
          <t>15803</t>
        </is>
      </c>
      <c r="B1845" s="51" t="inlineStr">
        <is>
          <t>34200</t>
        </is>
      </c>
      <c r="C1845" s="51" t="inlineStr">
        <is>
          <t>2×2×2×3×3×5×5×19</t>
        </is>
      </c>
      <c r="D1845" s="51" t="inlineStr">
        <is>
          <t>2·3·5·19</t>
        </is>
      </c>
      <c r="E1845" s="51" t="inlineStr"/>
      <c r="F1845" s="51" t="inlineStr"/>
    </row>
    <row r="1846" ht="13" customHeight="1">
      <c r="A1846" s="45" t="inlineStr">
        <is>
          <t>15809</t>
        </is>
      </c>
      <c r="B1846" s="45" t="inlineStr">
        <is>
          <t>1486</t>
        </is>
      </c>
      <c r="C1846" s="45" t="inlineStr">
        <is>
          <t>2×743</t>
        </is>
      </c>
      <c r="D1846" s="45" t="inlineStr">
        <is>
          <t>2</t>
        </is>
      </c>
      <c r="E1846" s="45" t="inlineStr"/>
      <c r="F1846" s="45" t="inlineStr"/>
    </row>
    <row r="1847" ht="13" customHeight="1">
      <c r="A1847" s="49" t="inlineStr">
        <is>
          <t>15817</t>
        </is>
      </c>
      <c r="B1847" s="49" t="inlineStr">
        <is>
          <t>33927</t>
        </is>
      </c>
      <c r="C1847" s="49" t="inlineStr">
        <is>
          <t>3×43×263</t>
        </is>
      </c>
      <c r="D1847" s="49" t="inlineStr">
        <is>
          <t>3</t>
        </is>
      </c>
      <c r="E1847" s="49" t="inlineStr"/>
      <c r="F1847" s="49" t="inlineStr"/>
    </row>
    <row r="1848" ht="13" customHeight="1">
      <c r="A1848" s="45" t="inlineStr">
        <is>
          <t>15823</t>
        </is>
      </c>
      <c r="B1848" s="45" t="inlineStr">
        <is>
          <t>14349</t>
        </is>
      </c>
      <c r="C1848" s="45" t="inlineStr">
        <is>
          <t>3×4783</t>
        </is>
      </c>
      <c r="D1848" s="45" t="inlineStr">
        <is>
          <t>3</t>
        </is>
      </c>
      <c r="E1848" s="45" t="inlineStr"/>
      <c r="F1848" s="45" t="inlineStr"/>
    </row>
    <row r="1849" ht="13" customHeight="1">
      <c r="A1849" s="49" t="inlineStr">
        <is>
          <t>15859</t>
        </is>
      </c>
      <c r="B1849" s="49" t="inlineStr">
        <is>
          <t>1923</t>
        </is>
      </c>
      <c r="C1849" s="49" t="inlineStr">
        <is>
          <t>3×641</t>
        </is>
      </c>
      <c r="D1849" s="49" t="inlineStr">
        <is>
          <t>3</t>
        </is>
      </c>
      <c r="E1849" s="49" t="inlineStr"/>
      <c r="F1849" s="49" t="inlineStr"/>
    </row>
    <row r="1850" ht="13" customHeight="1">
      <c r="A1850" s="41" t="inlineStr">
        <is>
          <t>15877</t>
        </is>
      </c>
      <c r="B1850" s="41" t="inlineStr">
        <is>
          <t>2457</t>
        </is>
      </c>
      <c r="C1850" s="41" t="inlineStr">
        <is>
          <t>3×3×3×7×13</t>
        </is>
      </c>
      <c r="D1850" s="41" t="inlineStr">
        <is>
          <t>3·7·13</t>
        </is>
      </c>
      <c r="E1850" s="41" t="inlineStr"/>
      <c r="F1850" s="41" t="inlineStr"/>
    </row>
    <row r="1851" ht="13" customHeight="1">
      <c r="A1851" s="49" t="inlineStr">
        <is>
          <t>15881</t>
        </is>
      </c>
      <c r="B1851" s="49" t="inlineStr">
        <is>
          <t>21646</t>
        </is>
      </c>
      <c r="C1851" s="49" t="inlineStr">
        <is>
          <t>2×79×137</t>
        </is>
      </c>
      <c r="D1851" s="49" t="inlineStr">
        <is>
          <t>2</t>
        </is>
      </c>
      <c r="E1851" s="49" t="inlineStr"/>
      <c r="F1851" s="49" t="inlineStr"/>
    </row>
    <row r="1852" ht="13" customHeight="1">
      <c r="A1852" s="50" t="inlineStr">
        <is>
          <t>15887</t>
        </is>
      </c>
      <c r="B1852" s="50" t="inlineStr">
        <is>
          <t>13187</t>
        </is>
      </c>
      <c r="C1852" s="50" t="inlineStr">
        <is>
          <t>13187</t>
        </is>
      </c>
      <c r="D1852" s="50" t="inlineStr">
        <is>
          <t>—</t>
        </is>
      </c>
      <c r="E1852" s="50" t="inlineStr"/>
      <c r="F1852" s="50" t="inlineStr"/>
    </row>
    <row r="1853" ht="13" customHeight="1">
      <c r="A1853" s="49" t="inlineStr">
        <is>
          <t>15889</t>
        </is>
      </c>
      <c r="B1853" s="49" t="inlineStr">
        <is>
          <t>29737</t>
        </is>
      </c>
      <c r="C1853" s="49" t="inlineStr">
        <is>
          <t>131×227</t>
        </is>
      </c>
      <c r="D1853" s="49" t="inlineStr">
        <is>
          <t>—</t>
        </is>
      </c>
      <c r="E1853" s="49" t="inlineStr"/>
      <c r="F1853" s="49" t="inlineStr"/>
    </row>
    <row r="1854" ht="13" customHeight="1">
      <c r="A1854" s="41" t="inlineStr">
        <is>
          <t>15901</t>
        </is>
      </c>
      <c r="B1854" s="41" t="inlineStr">
        <is>
          <t>43367</t>
        </is>
      </c>
      <c r="C1854" s="41" t="inlineStr">
        <is>
          <t>17×2551</t>
        </is>
      </c>
      <c r="D1854" s="41" t="inlineStr">
        <is>
          <t>17</t>
        </is>
      </c>
      <c r="E1854" s="41" t="inlineStr"/>
      <c r="F1854" s="41" t="inlineStr"/>
    </row>
    <row r="1855" ht="13" customHeight="1">
      <c r="A1855" s="49" t="inlineStr">
        <is>
          <t>15907</t>
        </is>
      </c>
      <c r="B1855" s="49" t="inlineStr">
        <is>
          <t>4613</t>
        </is>
      </c>
      <c r="C1855" s="49" t="inlineStr">
        <is>
          <t>7×659</t>
        </is>
      </c>
      <c r="D1855" s="49" t="inlineStr">
        <is>
          <t>7</t>
        </is>
      </c>
      <c r="E1855" s="49" t="inlineStr"/>
      <c r="F1855" s="49" t="inlineStr"/>
    </row>
    <row r="1856" ht="13" customHeight="1">
      <c r="A1856" s="45" t="inlineStr">
        <is>
          <t>15913</t>
        </is>
      </c>
      <c r="B1856" s="45" t="inlineStr">
        <is>
          <t>984</t>
        </is>
      </c>
      <c r="C1856" s="45" t="inlineStr">
        <is>
          <t>2×2×2×3×41</t>
        </is>
      </c>
      <c r="D1856" s="45" t="inlineStr">
        <is>
          <t>2·3</t>
        </is>
      </c>
      <c r="E1856" s="45" t="inlineStr"/>
      <c r="F1856" s="45" t="inlineStr"/>
    </row>
    <row r="1857" ht="13" customHeight="1">
      <c r="A1857" s="41" t="inlineStr">
        <is>
          <t>15919</t>
        </is>
      </c>
      <c r="B1857" s="41" t="inlineStr">
        <is>
          <t>4381</t>
        </is>
      </c>
      <c r="C1857" s="41" t="inlineStr">
        <is>
          <t>13×337</t>
        </is>
      </c>
      <c r="D1857" s="41" t="inlineStr">
        <is>
          <t>13</t>
        </is>
      </c>
      <c r="E1857" s="41" t="inlineStr"/>
      <c r="F1857" s="41" t="inlineStr"/>
    </row>
    <row r="1858" ht="13" customHeight="1">
      <c r="A1858" s="45" t="inlineStr">
        <is>
          <t>15923</t>
        </is>
      </c>
      <c r="B1858" s="45" t="inlineStr">
        <is>
          <t>13562</t>
        </is>
      </c>
      <c r="C1858" s="45" t="inlineStr">
        <is>
          <t>2×6781</t>
        </is>
      </c>
      <c r="D1858" s="45" t="inlineStr">
        <is>
          <t>2</t>
        </is>
      </c>
      <c r="E1858" s="45" t="inlineStr"/>
      <c r="F1858" s="45" t="inlineStr"/>
    </row>
    <row r="1859" ht="13" customHeight="1">
      <c r="A1859" s="51" t="inlineStr">
        <is>
          <t>15937</t>
        </is>
      </c>
      <c r="B1859" s="51" t="inlineStr">
        <is>
          <t>7049</t>
        </is>
      </c>
      <c r="C1859" s="51" t="inlineStr">
        <is>
          <t>7×19×53</t>
        </is>
      </c>
      <c r="D1859" s="51" t="inlineStr">
        <is>
          <t>7·19</t>
        </is>
      </c>
      <c r="E1859" s="51" t="inlineStr"/>
      <c r="F1859" s="51" t="inlineStr"/>
    </row>
    <row r="1860" ht="13" customHeight="1">
      <c r="A1860" s="50" t="inlineStr">
        <is>
          <t>15959</t>
        </is>
      </c>
      <c r="B1860" s="50" t="inlineStr">
        <is>
          <t>31193</t>
        </is>
      </c>
      <c r="C1860" s="50" t="inlineStr">
        <is>
          <t>31193</t>
        </is>
      </c>
      <c r="D1860" s="50" t="inlineStr">
        <is>
          <t>—</t>
        </is>
      </c>
      <c r="E1860" s="50" t="inlineStr"/>
      <c r="F1860" s="50" t="inlineStr"/>
    </row>
    <row r="1861" ht="13" customHeight="1">
      <c r="A1861" s="49" t="inlineStr">
        <is>
          <t>15971</t>
        </is>
      </c>
      <c r="B1861" s="49" t="inlineStr">
        <is>
          <t>6609</t>
        </is>
      </c>
      <c r="C1861" s="49" t="inlineStr">
        <is>
          <t>3×2203</t>
        </is>
      </c>
      <c r="D1861" s="49" t="inlineStr">
        <is>
          <t>3</t>
        </is>
      </c>
      <c r="E1861" s="49" t="inlineStr"/>
      <c r="F1861" s="49" t="inlineStr"/>
    </row>
    <row r="1862" ht="13" customHeight="1">
      <c r="A1862" s="41" t="inlineStr">
        <is>
          <t>15973</t>
        </is>
      </c>
      <c r="B1862" s="41" t="inlineStr">
        <is>
          <t>31174</t>
        </is>
      </c>
      <c r="C1862" s="41" t="inlineStr">
        <is>
          <t>2×11×13×109</t>
        </is>
      </c>
      <c r="D1862" s="41" t="inlineStr">
        <is>
          <t>2·11·13</t>
        </is>
      </c>
      <c r="E1862" s="41" t="inlineStr"/>
      <c r="F1862" s="41" t="inlineStr"/>
    </row>
    <row r="1863" ht="13" customHeight="1">
      <c r="A1863" s="49" t="inlineStr">
        <is>
          <t>15991</t>
        </is>
      </c>
      <c r="B1863" s="49" t="inlineStr">
        <is>
          <t>10157</t>
        </is>
      </c>
      <c r="C1863" s="49" t="inlineStr">
        <is>
          <t>7×1451</t>
        </is>
      </c>
      <c r="D1863" s="49" t="inlineStr">
        <is>
          <t>7</t>
        </is>
      </c>
      <c r="E1863" s="49" t="inlineStr"/>
      <c r="F1863" s="49" t="inlineStr"/>
    </row>
    <row r="1864" ht="13" customHeight="1">
      <c r="A1864" s="45" t="inlineStr">
        <is>
          <t>16001</t>
        </is>
      </c>
      <c r="B1864" s="45" t="inlineStr">
        <is>
          <t>40674</t>
        </is>
      </c>
      <c r="C1864" s="45" t="inlineStr">
        <is>
          <t>2×3×6779</t>
        </is>
      </c>
      <c r="D1864" s="45" t="inlineStr">
        <is>
          <t>2·3</t>
        </is>
      </c>
      <c r="E1864" s="45" t="inlineStr"/>
      <c r="F1864" s="45" t="inlineStr"/>
    </row>
    <row r="1865" ht="13" customHeight="1">
      <c r="A1865" s="49" t="inlineStr">
        <is>
          <t>16007</t>
        </is>
      </c>
      <c r="B1865" s="49" t="inlineStr">
        <is>
          <t>23701</t>
        </is>
      </c>
      <c r="C1865" s="49" t="inlineStr">
        <is>
          <t>137×173</t>
        </is>
      </c>
      <c r="D1865" s="49" t="inlineStr">
        <is>
          <t>—</t>
        </is>
      </c>
      <c r="E1865" s="49" t="inlineStr"/>
      <c r="F1865" s="49" t="inlineStr"/>
    </row>
    <row r="1866" ht="13" customHeight="1">
      <c r="A1866" s="45" t="inlineStr">
        <is>
          <t>16033</t>
        </is>
      </c>
      <c r="B1866" s="45" t="inlineStr">
        <is>
          <t>13898</t>
        </is>
      </c>
      <c r="C1866" s="45" t="inlineStr">
        <is>
          <t>2×6949</t>
        </is>
      </c>
      <c r="D1866" s="45" t="inlineStr">
        <is>
          <t>2</t>
        </is>
      </c>
      <c r="E1866" s="45" t="inlineStr"/>
      <c r="F1866" s="45" t="inlineStr"/>
    </row>
    <row r="1867" ht="13" customHeight="1">
      <c r="A1867" s="41" t="inlineStr">
        <is>
          <t>16057</t>
        </is>
      </c>
      <c r="B1867" s="41" t="inlineStr">
        <is>
          <t>8500</t>
        </is>
      </c>
      <c r="C1867" s="41" t="inlineStr">
        <is>
          <t>2×2×5×5×5×17</t>
        </is>
      </c>
      <c r="D1867" s="41" t="inlineStr">
        <is>
          <t>2·5·17</t>
        </is>
      </c>
      <c r="E1867" s="41" t="inlineStr"/>
      <c r="F1867" s="41" t="inlineStr"/>
    </row>
    <row r="1868" ht="13" customHeight="1">
      <c r="A1868" s="45" t="inlineStr">
        <is>
          <t>16061</t>
        </is>
      </c>
      <c r="B1868" s="45" t="inlineStr">
        <is>
          <t>8178</t>
        </is>
      </c>
      <c r="C1868" s="45" t="inlineStr">
        <is>
          <t>2×3×29×47</t>
        </is>
      </c>
      <c r="D1868" s="45" t="inlineStr">
        <is>
          <t>2·3</t>
        </is>
      </c>
      <c r="E1868" s="45" t="inlineStr"/>
      <c r="F1868" s="45" t="inlineStr"/>
    </row>
    <row r="1869" ht="13" customHeight="1">
      <c r="A1869" s="41" t="inlineStr">
        <is>
          <t>16063</t>
        </is>
      </c>
      <c r="B1869" s="41" t="inlineStr">
        <is>
          <t>41259</t>
        </is>
      </c>
      <c r="C1869" s="41" t="inlineStr">
        <is>
          <t>3×17×809</t>
        </is>
      </c>
      <c r="D1869" s="41" t="inlineStr">
        <is>
          <t>3·17</t>
        </is>
      </c>
      <c r="E1869" s="41" t="inlineStr"/>
      <c r="F1869" s="41" t="inlineStr"/>
    </row>
    <row r="1870" ht="13" customHeight="1">
      <c r="A1870" s="43" t="inlineStr">
        <is>
          <t>16067</t>
        </is>
      </c>
      <c r="B1870" s="43" t="inlineStr">
        <is>
          <t>34617</t>
        </is>
      </c>
      <c r="C1870" s="43" t="inlineStr">
        <is>
          <t>3×11×1049</t>
        </is>
      </c>
      <c r="D1870" s="43" t="inlineStr">
        <is>
          <t>3·11</t>
        </is>
      </c>
      <c r="E1870" s="43" t="inlineStr"/>
      <c r="F1870" s="43" t="inlineStr"/>
    </row>
    <row r="1871" ht="13" customHeight="1">
      <c r="A1871" s="49" t="inlineStr">
        <is>
          <t>16069</t>
        </is>
      </c>
      <c r="B1871" s="49" t="inlineStr">
        <is>
          <t>31381</t>
        </is>
      </c>
      <c r="C1871" s="49" t="inlineStr">
        <is>
          <t>7×4483</t>
        </is>
      </c>
      <c r="D1871" s="49" t="inlineStr">
        <is>
          <t>7</t>
        </is>
      </c>
      <c r="E1871" s="49" t="inlineStr"/>
      <c r="F1871" s="49" t="inlineStr"/>
    </row>
    <row r="1872" ht="13" customHeight="1">
      <c r="A1872" s="51" t="inlineStr">
        <is>
          <t>16073</t>
        </is>
      </c>
      <c r="B1872" s="51" t="inlineStr">
        <is>
          <t>35929</t>
        </is>
      </c>
      <c r="C1872" s="51" t="inlineStr">
        <is>
          <t>19×31×61</t>
        </is>
      </c>
      <c r="D1872" s="51" t="inlineStr">
        <is>
          <t>19</t>
        </is>
      </c>
      <c r="E1872" s="51" t="inlineStr"/>
      <c r="F1872" s="51" t="inlineStr"/>
    </row>
    <row r="1873" ht="13" customHeight="1">
      <c r="A1873" s="49" t="inlineStr">
        <is>
          <t>16087</t>
        </is>
      </c>
      <c r="B1873" s="49" t="inlineStr">
        <is>
          <t>36409</t>
        </is>
      </c>
      <c r="C1873" s="49" t="inlineStr">
        <is>
          <t>23×1583</t>
        </is>
      </c>
      <c r="D1873" s="49" t="inlineStr">
        <is>
          <t>—</t>
        </is>
      </c>
      <c r="E1873" s="49" t="inlineStr"/>
      <c r="F1873" s="49" t="inlineStr"/>
    </row>
    <row r="1874" ht="13" customHeight="1">
      <c r="A1874" s="45" t="inlineStr">
        <is>
          <t>16091</t>
        </is>
      </c>
      <c r="B1874" s="45" t="inlineStr">
        <is>
          <t>42741</t>
        </is>
      </c>
      <c r="C1874" s="45" t="inlineStr">
        <is>
          <t>3×3×3×1583</t>
        </is>
      </c>
      <c r="D1874" s="45" t="inlineStr">
        <is>
          <t>3</t>
        </is>
      </c>
      <c r="E1874" s="45" t="inlineStr"/>
      <c r="F1874" s="45" t="inlineStr"/>
    </row>
    <row r="1875" ht="13" customHeight="1">
      <c r="A1875" s="49" t="inlineStr">
        <is>
          <t>16097</t>
        </is>
      </c>
      <c r="B1875" s="49" t="inlineStr">
        <is>
          <t>21106</t>
        </is>
      </c>
      <c r="C1875" s="49" t="inlineStr">
        <is>
          <t>2×61×173</t>
        </is>
      </c>
      <c r="D1875" s="49" t="inlineStr">
        <is>
          <t>2</t>
        </is>
      </c>
      <c r="E1875" s="49" t="inlineStr"/>
      <c r="F1875" s="49" t="inlineStr"/>
    </row>
    <row r="1876" ht="13" customHeight="1">
      <c r="A1876" s="45" t="inlineStr">
        <is>
          <t>16103</t>
        </is>
      </c>
      <c r="B1876" s="45" t="inlineStr">
        <is>
          <t>39924</t>
        </is>
      </c>
      <c r="C1876" s="45" t="inlineStr">
        <is>
          <t>2×2×3×3×1109</t>
        </is>
      </c>
      <c r="D1876" s="45" t="inlineStr">
        <is>
          <t>2·3</t>
        </is>
      </c>
      <c r="E1876" s="45" t="inlineStr"/>
      <c r="F1876" s="45" t="inlineStr"/>
    </row>
    <row r="1877" ht="13" customHeight="1">
      <c r="A1877" s="49" t="inlineStr">
        <is>
          <t>16111</t>
        </is>
      </c>
      <c r="B1877" s="49" t="inlineStr">
        <is>
          <t>35622</t>
        </is>
      </c>
      <c r="C1877" s="49" t="inlineStr">
        <is>
          <t>2×3×3×1979</t>
        </is>
      </c>
      <c r="D1877" s="49" t="inlineStr">
        <is>
          <t>2·3</t>
        </is>
      </c>
      <c r="E1877" s="49" t="inlineStr"/>
      <c r="F1877" s="49" t="inlineStr"/>
    </row>
    <row r="1878" ht="13" customHeight="1">
      <c r="A1878" s="45" t="inlineStr">
        <is>
          <t>16127</t>
        </is>
      </c>
      <c r="B1878" s="45" t="inlineStr">
        <is>
          <t>10828</t>
        </is>
      </c>
      <c r="C1878" s="45" t="inlineStr">
        <is>
          <t>2×2×2707</t>
        </is>
      </c>
      <c r="D1878" s="45" t="inlineStr">
        <is>
          <t>2</t>
        </is>
      </c>
      <c r="E1878" s="45" t="inlineStr"/>
      <c r="F1878" s="45" t="inlineStr"/>
    </row>
    <row r="1879" ht="13" customHeight="1">
      <c r="A1879" s="41" t="inlineStr">
        <is>
          <t>16139</t>
        </is>
      </c>
      <c r="B1879" s="41" t="inlineStr">
        <is>
          <t>14110</t>
        </is>
      </c>
      <c r="C1879" s="41" t="inlineStr">
        <is>
          <t>2×5×17×83</t>
        </is>
      </c>
      <c r="D1879" s="41" t="inlineStr">
        <is>
          <t>2·5·17</t>
        </is>
      </c>
      <c r="E1879" s="41" t="inlineStr"/>
      <c r="F1879" s="41" t="inlineStr"/>
    </row>
    <row r="1880" ht="13" customHeight="1">
      <c r="A1880" s="43" t="inlineStr">
        <is>
          <t>16141</t>
        </is>
      </c>
      <c r="B1880" s="43" t="inlineStr">
        <is>
          <t>15917</t>
        </is>
      </c>
      <c r="C1880" s="43" t="inlineStr">
        <is>
          <t>11×1447</t>
        </is>
      </c>
      <c r="D1880" s="43" t="inlineStr">
        <is>
          <t>11</t>
        </is>
      </c>
      <c r="E1880" s="43" t="inlineStr"/>
      <c r="F1880" s="43" t="inlineStr"/>
    </row>
    <row r="1881" ht="13" customHeight="1">
      <c r="A1881" s="49" t="inlineStr">
        <is>
          <t>16183</t>
        </is>
      </c>
      <c r="B1881" s="49" t="inlineStr">
        <is>
          <t>23710</t>
        </is>
      </c>
      <c r="C1881" s="49" t="inlineStr">
        <is>
          <t>2×5×2371</t>
        </is>
      </c>
      <c r="D1881" s="49" t="inlineStr">
        <is>
          <t>2·5</t>
        </is>
      </c>
      <c r="E1881" s="49" t="inlineStr"/>
      <c r="F1881" s="49" t="inlineStr"/>
    </row>
    <row r="1882" ht="13" customHeight="1">
      <c r="A1882" s="45" t="inlineStr">
        <is>
          <t>16187</t>
        </is>
      </c>
      <c r="B1882" s="45" t="inlineStr">
        <is>
          <t>15498</t>
        </is>
      </c>
      <c r="C1882" s="45" t="inlineStr">
        <is>
          <t>2×3×3×3×7×41</t>
        </is>
      </c>
      <c r="D1882" s="45" t="inlineStr">
        <is>
          <t>2·3·7</t>
        </is>
      </c>
      <c r="E1882" s="45" t="inlineStr"/>
      <c r="F1882" s="45" t="inlineStr"/>
    </row>
    <row r="1883" ht="13" customHeight="1">
      <c r="A1883" s="43" t="inlineStr">
        <is>
          <t>16189</t>
        </is>
      </c>
      <c r="B1883" s="43" t="inlineStr">
        <is>
          <t>6765</t>
        </is>
      </c>
      <c r="C1883" s="43" t="inlineStr">
        <is>
          <t>3×5×11×41</t>
        </is>
      </c>
      <c r="D1883" s="43" t="inlineStr">
        <is>
          <t>3·5·11</t>
        </is>
      </c>
      <c r="E1883" s="43" t="inlineStr"/>
      <c r="F1883" s="43" t="inlineStr"/>
    </row>
    <row r="1884" ht="13" customHeight="1">
      <c r="A1884" s="45" t="inlineStr">
        <is>
          <t>16193</t>
        </is>
      </c>
      <c r="B1884" s="45" t="inlineStr">
        <is>
          <t>13635</t>
        </is>
      </c>
      <c r="C1884" s="45" t="inlineStr">
        <is>
          <t>3×3×3×5×101</t>
        </is>
      </c>
      <c r="D1884" s="45" t="inlineStr">
        <is>
          <t>3·5</t>
        </is>
      </c>
      <c r="E1884" s="45" t="inlineStr"/>
      <c r="F1884" s="45" t="inlineStr"/>
    </row>
    <row r="1885" ht="13" customHeight="1">
      <c r="A1885" s="43" t="inlineStr">
        <is>
          <t>16217</t>
        </is>
      </c>
      <c r="B1885" s="43" t="inlineStr">
        <is>
          <t>9592</t>
        </is>
      </c>
      <c r="C1885" s="43" t="inlineStr">
        <is>
          <t>2×2×2×11×109</t>
        </is>
      </c>
      <c r="D1885" s="43" t="inlineStr">
        <is>
          <t>2·11</t>
        </is>
      </c>
      <c r="E1885" s="43" t="inlineStr"/>
      <c r="F1885" s="43" t="inlineStr"/>
    </row>
    <row r="1886" ht="13" customHeight="1">
      <c r="A1886" s="43" t="inlineStr">
        <is>
          <t>16223</t>
        </is>
      </c>
      <c r="B1886" s="43" t="inlineStr">
        <is>
          <t>1650</t>
        </is>
      </c>
      <c r="C1886" s="43" t="inlineStr">
        <is>
          <t>2×3×5×5×11</t>
        </is>
      </c>
      <c r="D1886" s="43" t="inlineStr">
        <is>
          <t>2·3·5·11</t>
        </is>
      </c>
      <c r="E1886" s="43" t="inlineStr"/>
      <c r="F1886" s="43" t="inlineStr"/>
    </row>
    <row r="1887" ht="13" customHeight="1">
      <c r="A1887" s="49" t="inlineStr">
        <is>
          <t>16229</t>
        </is>
      </c>
      <c r="B1887" s="49" t="inlineStr">
        <is>
          <t>27960</t>
        </is>
      </c>
      <c r="C1887" s="49" t="inlineStr">
        <is>
          <t>2×2×2×3×5×233</t>
        </is>
      </c>
      <c r="D1887" s="49" t="inlineStr">
        <is>
          <t>2·3·5</t>
        </is>
      </c>
      <c r="E1887" s="49" t="inlineStr"/>
      <c r="F1887" s="49" t="inlineStr"/>
    </row>
    <row r="1888" ht="13" customHeight="1">
      <c r="A1888" s="45" t="inlineStr">
        <is>
          <t>16231</t>
        </is>
      </c>
      <c r="B1888" s="45" t="inlineStr">
        <is>
          <t>3728</t>
        </is>
      </c>
      <c r="C1888" s="45" t="inlineStr">
        <is>
          <t>2×2×2×2×233</t>
        </is>
      </c>
      <c r="D1888" s="45" t="inlineStr">
        <is>
          <t>2</t>
        </is>
      </c>
      <c r="E1888" s="45" t="inlineStr"/>
      <c r="F1888" s="45" t="inlineStr"/>
    </row>
    <row r="1889" ht="13" customHeight="1">
      <c r="A1889" s="49" t="inlineStr">
        <is>
          <t>16249</t>
        </is>
      </c>
      <c r="B1889" s="49" t="inlineStr">
        <is>
          <t>22552</t>
        </is>
      </c>
      <c r="C1889" s="49" t="inlineStr">
        <is>
          <t>2×2×2×2819</t>
        </is>
      </c>
      <c r="D1889" s="49" t="inlineStr">
        <is>
          <t>2</t>
        </is>
      </c>
      <c r="E1889" s="49" t="inlineStr"/>
      <c r="F1889" s="49" t="inlineStr"/>
    </row>
    <row r="1890" ht="13" customHeight="1">
      <c r="A1890" s="45" t="inlineStr">
        <is>
          <t>16253</t>
        </is>
      </c>
      <c r="B1890" s="45" t="inlineStr">
        <is>
          <t>15579</t>
        </is>
      </c>
      <c r="C1890" s="45" t="inlineStr">
        <is>
          <t>3×3×3×577</t>
        </is>
      </c>
      <c r="D1890" s="45" t="inlineStr">
        <is>
          <t>3</t>
        </is>
      </c>
      <c r="E1890" s="45" t="inlineStr"/>
      <c r="F1890" s="45" t="inlineStr"/>
    </row>
    <row r="1891" ht="13" customHeight="1">
      <c r="A1891" s="49" t="inlineStr">
        <is>
          <t>16267</t>
        </is>
      </c>
      <c r="B1891" s="49" t="inlineStr">
        <is>
          <t>5063</t>
        </is>
      </c>
      <c r="C1891" s="49" t="inlineStr">
        <is>
          <t>61×83</t>
        </is>
      </c>
      <c r="D1891" s="49" t="inlineStr">
        <is>
          <t>—</t>
        </is>
      </c>
      <c r="E1891" s="49" t="inlineStr"/>
      <c r="F1891" s="49" t="inlineStr"/>
    </row>
    <row r="1892" ht="13" customHeight="1">
      <c r="A1892" s="45" t="inlineStr">
        <is>
          <t>16273</t>
        </is>
      </c>
      <c r="B1892" s="45" t="inlineStr">
        <is>
          <t>23821</t>
        </is>
      </c>
      <c r="C1892" s="45" t="inlineStr">
        <is>
          <t>7×41×83</t>
        </is>
      </c>
      <c r="D1892" s="45" t="inlineStr">
        <is>
          <t>7</t>
        </is>
      </c>
      <c r="E1892" s="45" t="inlineStr"/>
      <c r="F1892" s="45" t="inlineStr"/>
    </row>
    <row r="1893" ht="13" customHeight="1">
      <c r="A1893" s="50" t="inlineStr">
        <is>
          <t>16301</t>
        </is>
      </c>
      <c r="B1893" s="50" t="inlineStr">
        <is>
          <t>40387</t>
        </is>
      </c>
      <c r="C1893" s="50" t="inlineStr">
        <is>
          <t>40387</t>
        </is>
      </c>
      <c r="D1893" s="50" t="inlineStr">
        <is>
          <t>—</t>
        </is>
      </c>
      <c r="E1893" s="50" t="inlineStr"/>
      <c r="F1893" s="50" t="inlineStr"/>
    </row>
    <row r="1894" ht="13" customHeight="1">
      <c r="A1894" s="45" t="inlineStr">
        <is>
          <t>16319</t>
        </is>
      </c>
      <c r="B1894" s="45" t="inlineStr">
        <is>
          <t>28877</t>
        </is>
      </c>
      <c r="C1894" s="45" t="inlineStr">
        <is>
          <t>67×431</t>
        </is>
      </c>
      <c r="D1894" s="45" t="inlineStr">
        <is>
          <t>—</t>
        </is>
      </c>
      <c r="E1894" s="45" t="inlineStr"/>
      <c r="F1894" s="45" t="inlineStr"/>
    </row>
    <row r="1895" ht="13" customHeight="1">
      <c r="A1895" s="41" t="inlineStr">
        <is>
          <t>16333</t>
        </is>
      </c>
      <c r="B1895" s="41" t="inlineStr">
        <is>
          <t>40352</t>
        </is>
      </c>
      <c r="C1895" s="41" t="inlineStr">
        <is>
          <t>2×2×2×2×2×13×97</t>
        </is>
      </c>
      <c r="D1895" s="41" t="inlineStr">
        <is>
          <t>2·13</t>
        </is>
      </c>
      <c r="E1895" s="41" t="inlineStr"/>
      <c r="F1895" s="41" t="inlineStr"/>
    </row>
    <row r="1896" ht="13" customHeight="1">
      <c r="A1896" s="51" t="inlineStr">
        <is>
          <t>16339</t>
        </is>
      </c>
      <c r="B1896" s="51" t="inlineStr">
        <is>
          <t>22458</t>
        </is>
      </c>
      <c r="C1896" s="51" t="inlineStr">
        <is>
          <t>2×3×19×197</t>
        </is>
      </c>
      <c r="D1896" s="51" t="inlineStr">
        <is>
          <t>2·3·19</t>
        </is>
      </c>
      <c r="E1896" s="51" t="inlineStr"/>
      <c r="F1896" s="51" t="inlineStr"/>
    </row>
    <row r="1897" ht="13" customHeight="1">
      <c r="A1897" s="49" t="inlineStr">
        <is>
          <t>16349</t>
        </is>
      </c>
      <c r="B1897" s="49" t="inlineStr">
        <is>
          <t>33126</t>
        </is>
      </c>
      <c r="C1897" s="49" t="inlineStr">
        <is>
          <t>2×3×5521</t>
        </is>
      </c>
      <c r="D1897" s="49" t="inlineStr">
        <is>
          <t>2·3</t>
        </is>
      </c>
      <c r="E1897" s="49" t="inlineStr"/>
      <c r="F1897" s="49" t="inlineStr"/>
    </row>
    <row r="1898" ht="13" customHeight="1">
      <c r="A1898" s="45" t="inlineStr">
        <is>
          <t>16361</t>
        </is>
      </c>
      <c r="B1898" s="45" t="inlineStr">
        <is>
          <t>40473</t>
        </is>
      </c>
      <c r="C1898" s="45" t="inlineStr">
        <is>
          <t>3×3×3×1499</t>
        </is>
      </c>
      <c r="D1898" s="45" t="inlineStr">
        <is>
          <t>3</t>
        </is>
      </c>
      <c r="E1898" s="45" t="inlineStr"/>
      <c r="F1898" s="45" t="inlineStr"/>
    </row>
    <row r="1899" ht="13" customHeight="1">
      <c r="A1899" s="49" t="inlineStr">
        <is>
          <t>16363</t>
        </is>
      </c>
      <c r="B1899" s="49" t="inlineStr">
        <is>
          <t>2507</t>
        </is>
      </c>
      <c r="C1899" s="49" t="inlineStr">
        <is>
          <t>23×109</t>
        </is>
      </c>
      <c r="D1899" s="49" t="inlineStr">
        <is>
          <t>—</t>
        </is>
      </c>
      <c r="E1899" s="49" t="inlineStr"/>
      <c r="F1899" s="49" t="inlineStr"/>
    </row>
    <row r="1900" ht="13" customHeight="1">
      <c r="A1900" s="45" t="inlineStr">
        <is>
          <t>16369</t>
        </is>
      </c>
      <c r="B1900" s="45" t="inlineStr">
        <is>
          <t>31648</t>
        </is>
      </c>
      <c r="C1900" s="45" t="inlineStr">
        <is>
          <t>2×2×2×2×2×23×43</t>
        </is>
      </c>
      <c r="D1900" s="45" t="inlineStr">
        <is>
          <t>2</t>
        </is>
      </c>
      <c r="E1900" s="45" t="inlineStr"/>
      <c r="F1900" s="45" t="inlineStr"/>
    </row>
    <row r="1901" ht="13" customHeight="1">
      <c r="A1901" s="43" t="inlineStr">
        <is>
          <t>16381</t>
        </is>
      </c>
      <c r="B1901" s="43" t="inlineStr">
        <is>
          <t>34122</t>
        </is>
      </c>
      <c r="C1901" s="43" t="inlineStr">
        <is>
          <t>2×3×11×11×47</t>
        </is>
      </c>
      <c r="D1901" s="43" t="inlineStr">
        <is>
          <t>2·3·11</t>
        </is>
      </c>
      <c r="E1901" s="43" t="inlineStr"/>
      <c r="F1901" s="43" t="inlineStr"/>
    </row>
    <row r="1902" ht="13" customHeight="1">
      <c r="A1902" s="45" t="inlineStr">
        <is>
          <t>16411</t>
        </is>
      </c>
      <c r="B1902" s="45" t="inlineStr">
        <is>
          <t>8510</t>
        </is>
      </c>
      <c r="C1902" s="45" t="inlineStr">
        <is>
          <t>2×5×23×37</t>
        </is>
      </c>
      <c r="D1902" s="45" t="inlineStr">
        <is>
          <t>2·5</t>
        </is>
      </c>
      <c r="E1902" s="45" t="inlineStr"/>
      <c r="F1902" s="45" t="inlineStr"/>
    </row>
    <row r="1903" ht="13" customHeight="1">
      <c r="A1903" s="49" t="inlineStr">
        <is>
          <t>16417</t>
        </is>
      </c>
      <c r="B1903" s="49" t="inlineStr">
        <is>
          <t>42838</t>
        </is>
      </c>
      <c r="C1903" s="49" t="inlineStr">
        <is>
          <t>2×21419</t>
        </is>
      </c>
      <c r="D1903" s="49" t="inlineStr">
        <is>
          <t>2</t>
        </is>
      </c>
      <c r="E1903" s="49" t="inlineStr"/>
      <c r="F1903" s="49" t="inlineStr"/>
    </row>
    <row r="1904" ht="13" customHeight="1">
      <c r="A1904" s="51" t="inlineStr">
        <is>
          <t>16421</t>
        </is>
      </c>
      <c r="B1904" s="51" t="inlineStr">
        <is>
          <t>39805</t>
        </is>
      </c>
      <c r="C1904" s="51" t="inlineStr">
        <is>
          <t>5×19×419</t>
        </is>
      </c>
      <c r="D1904" s="51" t="inlineStr">
        <is>
          <t>5·19</t>
        </is>
      </c>
      <c r="E1904" s="51" t="inlineStr"/>
      <c r="F1904" s="51" t="inlineStr"/>
    </row>
    <row r="1905" ht="13" customHeight="1">
      <c r="A1905" s="49" t="inlineStr">
        <is>
          <t>16427</t>
        </is>
      </c>
      <c r="B1905" s="49" t="inlineStr">
        <is>
          <t>17785</t>
        </is>
      </c>
      <c r="C1905" s="49" t="inlineStr">
        <is>
          <t>5×3557</t>
        </is>
      </c>
      <c r="D1905" s="49" t="inlineStr">
        <is>
          <t>5</t>
        </is>
      </c>
      <c r="E1905" s="49" t="inlineStr"/>
      <c r="F1905" s="49" t="inlineStr"/>
    </row>
    <row r="1906" ht="13" customHeight="1">
      <c r="A1906" s="41" t="inlineStr">
        <is>
          <t>16433</t>
        </is>
      </c>
      <c r="B1906" s="41" t="inlineStr">
        <is>
          <t>29900</t>
        </is>
      </c>
      <c r="C1906" s="41" t="inlineStr">
        <is>
          <t>2×2×5×5×13×23</t>
        </is>
      </c>
      <c r="D1906" s="41" t="inlineStr">
        <is>
          <t>2·5·13</t>
        </is>
      </c>
      <c r="E1906" s="41" t="inlineStr"/>
      <c r="F1906" s="41" t="inlineStr"/>
    </row>
    <row r="1907" ht="13" customHeight="1">
      <c r="A1907" s="49" t="inlineStr">
        <is>
          <t>16447</t>
        </is>
      </c>
      <c r="B1907" s="49" t="inlineStr">
        <is>
          <t>32380</t>
        </is>
      </c>
      <c r="C1907" s="49" t="inlineStr">
        <is>
          <t>2×2×5×1619</t>
        </is>
      </c>
      <c r="D1907" s="49" t="inlineStr">
        <is>
          <t>2·5</t>
        </is>
      </c>
      <c r="E1907" s="49" t="inlineStr"/>
      <c r="F1907" s="49" t="inlineStr"/>
    </row>
    <row r="1908" ht="13" customHeight="1">
      <c r="A1908" s="45" t="inlineStr">
        <is>
          <t>16451</t>
        </is>
      </c>
      <c r="B1908" s="45" t="inlineStr">
        <is>
          <t>22056</t>
        </is>
      </c>
      <c r="C1908" s="45" t="inlineStr">
        <is>
          <t>2×2×2×3×919</t>
        </is>
      </c>
      <c r="D1908" s="45" t="inlineStr">
        <is>
          <t>2·3</t>
        </is>
      </c>
      <c r="E1908" s="45" t="inlineStr"/>
      <c r="F1908" s="45" t="inlineStr"/>
    </row>
    <row r="1909" ht="13" customHeight="1">
      <c r="A1909" s="49" t="inlineStr">
        <is>
          <t>16453</t>
        </is>
      </c>
      <c r="B1909" s="49" t="inlineStr">
        <is>
          <t>1392</t>
        </is>
      </c>
      <c r="C1909" s="49" t="inlineStr">
        <is>
          <t>2×2×2×2×3×29</t>
        </is>
      </c>
      <c r="D1909" s="49" t="inlineStr">
        <is>
          <t>2·3</t>
        </is>
      </c>
      <c r="E1909" s="49" t="inlineStr"/>
      <c r="F1909" s="49" t="inlineStr"/>
    </row>
    <row r="1910" ht="13" customHeight="1">
      <c r="A1910" s="45" t="inlineStr">
        <is>
          <t>16477</t>
        </is>
      </c>
      <c r="B1910" s="45" t="inlineStr">
        <is>
          <t>34754</t>
        </is>
      </c>
      <c r="C1910" s="45" t="inlineStr">
        <is>
          <t>2×17377</t>
        </is>
      </c>
      <c r="D1910" s="45" t="inlineStr">
        <is>
          <t>2</t>
        </is>
      </c>
      <c r="E1910" s="45" t="inlineStr"/>
      <c r="F1910" s="45" t="inlineStr"/>
    </row>
    <row r="1911" ht="13" customHeight="1">
      <c r="A1911" s="41" t="inlineStr">
        <is>
          <t>16481</t>
        </is>
      </c>
      <c r="B1911" s="41" t="inlineStr">
        <is>
          <t>39702</t>
        </is>
      </c>
      <c r="C1911" s="41" t="inlineStr">
        <is>
          <t>2×3×13×509</t>
        </is>
      </c>
      <c r="D1911" s="41" t="inlineStr">
        <is>
          <t>2·3·13</t>
        </is>
      </c>
      <c r="E1911" s="41" t="inlineStr"/>
      <c r="F1911" s="41" t="inlineStr"/>
    </row>
    <row r="1912" ht="13" customHeight="1">
      <c r="A1912" s="45" t="inlineStr">
        <is>
          <t>16487</t>
        </is>
      </c>
      <c r="B1912" s="45" t="inlineStr">
        <is>
          <t>7946</t>
        </is>
      </c>
      <c r="C1912" s="45" t="inlineStr">
        <is>
          <t>2×29×137</t>
        </is>
      </c>
      <c r="D1912" s="45" t="inlineStr">
        <is>
          <t>2</t>
        </is>
      </c>
      <c r="E1912" s="45" t="inlineStr"/>
      <c r="F1912" s="45" t="inlineStr"/>
    </row>
    <row r="1913" ht="13" customHeight="1">
      <c r="A1913" s="41" t="inlineStr">
        <is>
          <t>16493</t>
        </is>
      </c>
      <c r="B1913" s="41" t="inlineStr">
        <is>
          <t>23137</t>
        </is>
      </c>
      <c r="C1913" s="41" t="inlineStr">
        <is>
          <t>17×1361</t>
        </is>
      </c>
      <c r="D1913" s="41" t="inlineStr">
        <is>
          <t>17</t>
        </is>
      </c>
      <c r="E1913" s="41" t="inlineStr"/>
      <c r="F1913" s="41" t="inlineStr"/>
    </row>
    <row r="1914" ht="13" customHeight="1">
      <c r="A1914" s="45" t="inlineStr">
        <is>
          <t>16519</t>
        </is>
      </c>
      <c r="B1914" s="45" t="inlineStr">
        <is>
          <t>9586</t>
        </is>
      </c>
      <c r="C1914" s="45" t="inlineStr">
        <is>
          <t>2×4793</t>
        </is>
      </c>
      <c r="D1914" s="45" t="inlineStr">
        <is>
          <t>2</t>
        </is>
      </c>
      <c r="E1914" s="45" t="inlineStr"/>
      <c r="F1914" s="45" t="inlineStr"/>
    </row>
    <row r="1915" ht="13" customHeight="1">
      <c r="A1915" s="49" t="inlineStr">
        <is>
          <t>16529</t>
        </is>
      </c>
      <c r="B1915" s="49" t="inlineStr">
        <is>
          <t>13944</t>
        </is>
      </c>
      <c r="C1915" s="49" t="inlineStr">
        <is>
          <t>2×2×2×3×7×83</t>
        </is>
      </c>
      <c r="D1915" s="49" t="inlineStr">
        <is>
          <t>2·3·7</t>
        </is>
      </c>
      <c r="E1915" s="49" t="inlineStr"/>
      <c r="F1915" s="49" t="inlineStr"/>
    </row>
    <row r="1916" ht="13" customHeight="1">
      <c r="A1916" s="41" t="inlineStr">
        <is>
          <t>16547</t>
        </is>
      </c>
      <c r="B1916" s="41" t="inlineStr">
        <is>
          <t>4726</t>
        </is>
      </c>
      <c r="C1916" s="41" t="inlineStr">
        <is>
          <t>2×17×139</t>
        </is>
      </c>
      <c r="D1916" s="41" t="inlineStr">
        <is>
          <t>2·17</t>
        </is>
      </c>
      <c r="E1916" s="41" t="inlineStr"/>
      <c r="F1916" s="41" t="inlineStr"/>
    </row>
    <row r="1917" ht="13" customHeight="1">
      <c r="A1917" s="41" t="inlineStr">
        <is>
          <t>16553</t>
        </is>
      </c>
      <c r="B1917" s="41" t="inlineStr">
        <is>
          <t>23052</t>
        </is>
      </c>
      <c r="C1917" s="41" t="inlineStr">
        <is>
          <t>2×2×3×17×113</t>
        </is>
      </c>
      <c r="D1917" s="41" t="inlineStr">
        <is>
          <t>2·3·17</t>
        </is>
      </c>
      <c r="E1917" s="41" t="inlineStr"/>
      <c r="F1917" s="41" t="inlineStr"/>
    </row>
    <row r="1918" ht="13" customHeight="1">
      <c r="A1918" s="45" t="inlineStr">
        <is>
          <t>16561</t>
        </is>
      </c>
      <c r="B1918" s="45" t="inlineStr">
        <is>
          <t>25877</t>
        </is>
      </c>
      <c r="C1918" s="45" t="inlineStr">
        <is>
          <t>113×229</t>
        </is>
      </c>
      <c r="D1918" s="45" t="inlineStr">
        <is>
          <t>—</t>
        </is>
      </c>
      <c r="E1918" s="45" t="inlineStr"/>
      <c r="F1918" s="45" t="inlineStr"/>
    </row>
    <row r="1919" ht="13" customHeight="1">
      <c r="A1919" s="49" t="inlineStr">
        <is>
          <t>16567</t>
        </is>
      </c>
      <c r="B1919" s="49" t="inlineStr">
        <is>
          <t>39487</t>
        </is>
      </c>
      <c r="C1919" s="49" t="inlineStr">
        <is>
          <t>7×5641</t>
        </is>
      </c>
      <c r="D1919" s="49" t="inlineStr">
        <is>
          <t>7</t>
        </is>
      </c>
      <c r="E1919" s="49" t="inlineStr"/>
      <c r="F1919" s="49" t="inlineStr"/>
    </row>
    <row r="1920" ht="13" customHeight="1">
      <c r="A1920" s="50" t="inlineStr">
        <is>
          <t>16573</t>
        </is>
      </c>
      <c r="B1920" s="50" t="inlineStr">
        <is>
          <t>26893</t>
        </is>
      </c>
      <c r="C1920" s="50" t="inlineStr">
        <is>
          <t>26893</t>
        </is>
      </c>
      <c r="D1920" s="50" t="inlineStr">
        <is>
          <t>—</t>
        </is>
      </c>
      <c r="E1920" s="50" t="inlineStr"/>
      <c r="F1920" s="50" t="inlineStr"/>
    </row>
    <row r="1921" ht="13" customHeight="1">
      <c r="A1921" s="49" t="inlineStr">
        <is>
          <t>16603</t>
        </is>
      </c>
      <c r="B1921" s="49" t="inlineStr">
        <is>
          <t>13657</t>
        </is>
      </c>
      <c r="C1921" s="49" t="inlineStr">
        <is>
          <t>7×1951</t>
        </is>
      </c>
      <c r="D1921" s="49" t="inlineStr">
        <is>
          <t>7</t>
        </is>
      </c>
      <c r="E1921" s="49" t="inlineStr"/>
      <c r="F1921" s="49" t="inlineStr"/>
    </row>
    <row r="1922" ht="13" customHeight="1">
      <c r="A1922" s="45" t="inlineStr">
        <is>
          <t>16607</t>
        </is>
      </c>
      <c r="B1922" s="45" t="inlineStr">
        <is>
          <t>34422</t>
        </is>
      </c>
      <c r="C1922" s="45" t="inlineStr">
        <is>
          <t>2×3×5737</t>
        </is>
      </c>
      <c r="D1922" s="45" t="inlineStr">
        <is>
          <t>2·3</t>
        </is>
      </c>
      <c r="E1922" s="45" t="inlineStr"/>
      <c r="F1922" s="45" t="inlineStr"/>
    </row>
    <row r="1923" ht="13" customHeight="1">
      <c r="A1923" s="41" t="inlineStr">
        <is>
          <t>16619</t>
        </is>
      </c>
      <c r="B1923" s="41" t="inlineStr">
        <is>
          <t>27248</t>
        </is>
      </c>
      <c r="C1923" s="41" t="inlineStr">
        <is>
          <t>2×2×2×2×13×131</t>
        </is>
      </c>
      <c r="D1923" s="41" t="inlineStr">
        <is>
          <t>2·13</t>
        </is>
      </c>
      <c r="E1923" s="41" t="inlineStr"/>
      <c r="F1923" s="41" t="inlineStr"/>
    </row>
    <row r="1924" ht="13" customHeight="1">
      <c r="A1924" s="45" t="inlineStr">
        <is>
          <t>16631</t>
        </is>
      </c>
      <c r="B1924" s="45" t="inlineStr">
        <is>
          <t>2930</t>
        </is>
      </c>
      <c r="C1924" s="45" t="inlineStr">
        <is>
          <t>2×5×293</t>
        </is>
      </c>
      <c r="D1924" s="45" t="inlineStr">
        <is>
          <t>2·5</t>
        </is>
      </c>
      <c r="E1924" s="45" t="inlineStr"/>
      <c r="F1924" s="45" t="inlineStr"/>
    </row>
    <row r="1925" ht="13" customHeight="1">
      <c r="A1925" s="49" t="inlineStr">
        <is>
          <t>16633</t>
        </is>
      </c>
      <c r="B1925" s="49" t="inlineStr">
        <is>
          <t>36401</t>
        </is>
      </c>
      <c r="C1925" s="49" t="inlineStr">
        <is>
          <t>89×409</t>
        </is>
      </c>
      <c r="D1925" s="49" t="inlineStr">
        <is>
          <t>—</t>
        </is>
      </c>
      <c r="E1925" s="49" t="inlineStr"/>
      <c r="F1925" s="49" t="inlineStr"/>
    </row>
    <row r="1926" ht="13" customHeight="1">
      <c r="A1926" s="45" t="inlineStr">
        <is>
          <t>16649</t>
        </is>
      </c>
      <c r="B1926" s="45" t="inlineStr">
        <is>
          <t>26931</t>
        </is>
      </c>
      <c r="C1926" s="45" t="inlineStr">
        <is>
          <t>3×47×191</t>
        </is>
      </c>
      <c r="D1926" s="45" t="inlineStr">
        <is>
          <t>3</t>
        </is>
      </c>
      <c r="E1926" s="45" t="inlineStr"/>
      <c r="F1926" s="45" t="inlineStr"/>
    </row>
    <row r="1927" ht="13" customHeight="1">
      <c r="A1927" s="50" t="inlineStr">
        <is>
          <t>16651</t>
        </is>
      </c>
      <c r="B1927" s="50" t="inlineStr">
        <is>
          <t>36697</t>
        </is>
      </c>
      <c r="C1927" s="50" t="inlineStr">
        <is>
          <t>36697</t>
        </is>
      </c>
      <c r="D1927" s="50" t="inlineStr">
        <is>
          <t>—</t>
        </is>
      </c>
      <c r="E1927" s="50" t="inlineStr"/>
      <c r="F1927" s="50" t="inlineStr"/>
    </row>
    <row r="1928" ht="13" customHeight="1">
      <c r="A1928" s="45" t="inlineStr">
        <is>
          <t>16657</t>
        </is>
      </c>
      <c r="B1928" s="45" t="inlineStr">
        <is>
          <t>37226</t>
        </is>
      </c>
      <c r="C1928" s="45" t="inlineStr">
        <is>
          <t>2×7×2659</t>
        </is>
      </c>
      <c r="D1928" s="45" t="inlineStr">
        <is>
          <t>2·7</t>
        </is>
      </c>
      <c r="E1928" s="45" t="inlineStr"/>
      <c r="F1928" s="45" t="inlineStr"/>
    </row>
    <row r="1929" ht="13" customHeight="1">
      <c r="A1929" s="50" t="inlineStr">
        <is>
          <t>16661</t>
        </is>
      </c>
      <c r="B1929" s="50" t="inlineStr">
        <is>
          <t>401</t>
        </is>
      </c>
      <c r="C1929" s="50" t="inlineStr">
        <is>
          <t>401</t>
        </is>
      </c>
      <c r="D1929" s="50" t="inlineStr">
        <is>
          <t>—</t>
        </is>
      </c>
      <c r="E1929" s="50" t="inlineStr"/>
      <c r="F1929" s="50" t="inlineStr"/>
    </row>
    <row r="1930" ht="13" customHeight="1">
      <c r="A1930" s="45" t="inlineStr">
        <is>
          <t>16673</t>
        </is>
      </c>
      <c r="B1930" s="45" t="inlineStr">
        <is>
          <t>28520</t>
        </is>
      </c>
      <c r="C1930" s="45" t="inlineStr">
        <is>
          <t>2×2×2×5×23×31</t>
        </is>
      </c>
      <c r="D1930" s="45" t="inlineStr">
        <is>
          <t>2·5</t>
        </is>
      </c>
      <c r="E1930" s="45" t="inlineStr"/>
      <c r="F1930" s="45" t="inlineStr"/>
    </row>
    <row r="1931" ht="13" customHeight="1">
      <c r="A1931" s="49" t="inlineStr">
        <is>
          <t>16691</t>
        </is>
      </c>
      <c r="B1931" s="49" t="inlineStr">
        <is>
          <t>27920</t>
        </is>
      </c>
      <c r="C1931" s="49" t="inlineStr">
        <is>
          <t>2×2×2×2×5×349</t>
        </is>
      </c>
      <c r="D1931" s="49" t="inlineStr">
        <is>
          <t>2·5</t>
        </is>
      </c>
      <c r="E1931" s="49" t="inlineStr"/>
      <c r="F1931" s="49" t="inlineStr"/>
    </row>
    <row r="1932" ht="13" customHeight="1">
      <c r="A1932" s="41" t="inlineStr">
        <is>
          <t>16693</t>
        </is>
      </c>
      <c r="B1932" s="41" t="inlineStr">
        <is>
          <t>19357</t>
        </is>
      </c>
      <c r="C1932" s="41" t="inlineStr">
        <is>
          <t>13×1489</t>
        </is>
      </c>
      <c r="D1932" s="41" t="inlineStr">
        <is>
          <t>13</t>
        </is>
      </c>
      <c r="E1932" s="41" t="inlineStr"/>
      <c r="F1932" s="41" t="inlineStr"/>
    </row>
    <row r="1933" ht="13" customHeight="1">
      <c r="A1933" s="49" t="inlineStr">
        <is>
          <t>16699</t>
        </is>
      </c>
      <c r="B1933" s="49" t="inlineStr">
        <is>
          <t>25459</t>
        </is>
      </c>
      <c r="C1933" s="49" t="inlineStr">
        <is>
          <t>7×3637</t>
        </is>
      </c>
      <c r="D1933" s="49" t="inlineStr">
        <is>
          <t>7</t>
        </is>
      </c>
      <c r="E1933" s="49" t="inlineStr"/>
      <c r="F1933" s="49" t="inlineStr"/>
    </row>
    <row r="1934" ht="13" customHeight="1">
      <c r="A1934" s="43" t="inlineStr">
        <is>
          <t>16703</t>
        </is>
      </c>
      <c r="B1934" s="43" t="inlineStr">
        <is>
          <t>34573</t>
        </is>
      </c>
      <c r="C1934" s="43" t="inlineStr">
        <is>
          <t>7×11×449</t>
        </is>
      </c>
      <c r="D1934" s="43" t="inlineStr">
        <is>
          <t>7·11</t>
        </is>
      </c>
      <c r="E1934" s="43" t="inlineStr"/>
      <c r="F1934" s="43" t="inlineStr"/>
    </row>
    <row r="1935" ht="13" customHeight="1">
      <c r="A1935" s="49" t="inlineStr">
        <is>
          <t>16729</t>
        </is>
      </c>
      <c r="B1935" s="49" t="inlineStr">
        <is>
          <t>7061</t>
        </is>
      </c>
      <c r="C1935" s="49" t="inlineStr">
        <is>
          <t>23×307</t>
        </is>
      </c>
      <c r="D1935" s="49" t="inlineStr">
        <is>
          <t>—</t>
        </is>
      </c>
      <c r="E1935" s="49" t="inlineStr"/>
      <c r="F1935" s="49" t="inlineStr"/>
    </row>
    <row r="1936" ht="13" customHeight="1">
      <c r="A1936" s="45" t="inlineStr">
        <is>
          <t>16741</t>
        </is>
      </c>
      <c r="B1936" s="45" t="inlineStr">
        <is>
          <t>19090</t>
        </is>
      </c>
      <c r="C1936" s="45" t="inlineStr">
        <is>
          <t>2×5×23×83</t>
        </is>
      </c>
      <c r="D1936" s="45" t="inlineStr">
        <is>
          <t>2·5</t>
        </is>
      </c>
      <c r="E1936" s="45" t="inlineStr"/>
      <c r="F1936" s="45" t="inlineStr"/>
    </row>
    <row r="1937" ht="13" customHeight="1">
      <c r="A1937" s="41" t="inlineStr">
        <is>
          <t>16747</t>
        </is>
      </c>
      <c r="B1937" s="41" t="inlineStr">
        <is>
          <t>27557</t>
        </is>
      </c>
      <c r="C1937" s="41" t="inlineStr">
        <is>
          <t>17×1621</t>
        </is>
      </c>
      <c r="D1937" s="41" t="inlineStr">
        <is>
          <t>17</t>
        </is>
      </c>
      <c r="E1937" s="41" t="inlineStr"/>
      <c r="F1937" s="41" t="inlineStr"/>
    </row>
    <row r="1938" ht="13" customHeight="1">
      <c r="A1938" s="45" t="inlineStr">
        <is>
          <t>16759</t>
        </is>
      </c>
      <c r="B1938" s="45" t="inlineStr">
        <is>
          <t>14505</t>
        </is>
      </c>
      <c r="C1938" s="45" t="inlineStr">
        <is>
          <t>3×5×967</t>
        </is>
      </c>
      <c r="D1938" s="45" t="inlineStr">
        <is>
          <t>3·5</t>
        </is>
      </c>
      <c r="E1938" s="45" t="inlineStr"/>
      <c r="F1938" s="45" t="inlineStr"/>
    </row>
    <row r="1939" ht="13" customHeight="1">
      <c r="A1939" s="41" t="inlineStr">
        <is>
          <t>16763</t>
        </is>
      </c>
      <c r="B1939" s="41" t="inlineStr">
        <is>
          <t>17953</t>
        </is>
      </c>
      <c r="C1939" s="41" t="inlineStr">
        <is>
          <t>13×1381</t>
        </is>
      </c>
      <c r="D1939" s="41" t="inlineStr">
        <is>
          <t>13</t>
        </is>
      </c>
      <c r="E1939" s="41" t="inlineStr"/>
      <c r="F1939" s="41" t="inlineStr"/>
    </row>
    <row r="1940" ht="13" customHeight="1">
      <c r="A1940" s="45" t="inlineStr">
        <is>
          <t>16787</t>
        </is>
      </c>
      <c r="B1940" s="45" t="inlineStr">
        <is>
          <t>31693</t>
        </is>
      </c>
      <c r="C1940" s="45" t="inlineStr">
        <is>
          <t>41×773</t>
        </is>
      </c>
      <c r="D1940" s="45" t="inlineStr">
        <is>
          <t>—</t>
        </is>
      </c>
      <c r="E1940" s="45" t="inlineStr"/>
      <c r="F1940" s="45" t="inlineStr"/>
    </row>
    <row r="1941" ht="13" customHeight="1">
      <c r="A1941" s="51" t="inlineStr">
        <is>
          <t>16811</t>
        </is>
      </c>
      <c r="B1941" s="51" t="inlineStr">
        <is>
          <t>33307</t>
        </is>
      </c>
      <c r="C1941" s="51" t="inlineStr">
        <is>
          <t>19×1753</t>
        </is>
      </c>
      <c r="D1941" s="51" t="inlineStr">
        <is>
          <t>19</t>
        </is>
      </c>
      <c r="E1941" s="51" t="inlineStr"/>
      <c r="F1941" s="51" t="inlineStr"/>
    </row>
    <row r="1942" ht="13" customHeight="1">
      <c r="A1942" s="45" t="inlineStr">
        <is>
          <t>16823</t>
        </is>
      </c>
      <c r="B1942" s="45" t="inlineStr">
        <is>
          <t>10071</t>
        </is>
      </c>
      <c r="C1942" s="45" t="inlineStr">
        <is>
          <t>3×3×3×373</t>
        </is>
      </c>
      <c r="D1942" s="45" t="inlineStr">
        <is>
          <t>3</t>
        </is>
      </c>
      <c r="E1942" s="45" t="inlineStr"/>
      <c r="F1942" s="45" t="inlineStr"/>
    </row>
    <row r="1943" ht="13" customHeight="1">
      <c r="A1943" s="49" t="inlineStr">
        <is>
          <t>16829</t>
        </is>
      </c>
      <c r="B1943" s="49" t="inlineStr">
        <is>
          <t>19388</t>
        </is>
      </c>
      <c r="C1943" s="49" t="inlineStr">
        <is>
          <t>2×2×37×131</t>
        </is>
      </c>
      <c r="D1943" s="49" t="inlineStr">
        <is>
          <t>2</t>
        </is>
      </c>
      <c r="E1943" s="49" t="inlineStr"/>
      <c r="F1943" s="49" t="inlineStr"/>
    </row>
    <row r="1944" ht="13" customHeight="1">
      <c r="A1944" s="50" t="inlineStr">
        <is>
          <t>16831</t>
        </is>
      </c>
      <c r="B1944" s="50" t="inlineStr">
        <is>
          <t>22901</t>
        </is>
      </c>
      <c r="C1944" s="50" t="inlineStr">
        <is>
          <t>22901</t>
        </is>
      </c>
      <c r="D1944" s="50" t="inlineStr">
        <is>
          <t>—</t>
        </is>
      </c>
      <c r="E1944" s="50" t="inlineStr"/>
      <c r="F1944" s="50" t="inlineStr"/>
    </row>
    <row r="1945" ht="13" customHeight="1">
      <c r="A1945" s="49" t="inlineStr">
        <is>
          <t>16843</t>
        </is>
      </c>
      <c r="B1945" s="49" t="inlineStr">
        <is>
          <t>39681</t>
        </is>
      </c>
      <c r="C1945" s="49" t="inlineStr">
        <is>
          <t>3×3×4409</t>
        </is>
      </c>
      <c r="D1945" s="49" t="inlineStr">
        <is>
          <t>3</t>
        </is>
      </c>
      <c r="E1945" s="49" t="inlineStr"/>
      <c r="F1945" s="49" t="inlineStr"/>
    </row>
    <row r="1946" ht="13" customHeight="1">
      <c r="A1946" s="43" t="inlineStr">
        <is>
          <t>16871</t>
        </is>
      </c>
      <c r="B1946" s="43" t="inlineStr">
        <is>
          <t>34419</t>
        </is>
      </c>
      <c r="C1946" s="43" t="inlineStr">
        <is>
          <t>3×7×11×149</t>
        </is>
      </c>
      <c r="D1946" s="43" t="inlineStr">
        <is>
          <t>3·7·11</t>
        </is>
      </c>
      <c r="E1946" s="43" t="inlineStr"/>
      <c r="F1946" s="43" t="inlineStr"/>
    </row>
    <row r="1947" ht="13" customHeight="1">
      <c r="A1947" s="49" t="inlineStr">
        <is>
          <t>16879</t>
        </is>
      </c>
      <c r="B1947" s="49" t="inlineStr">
        <is>
          <t>10068</t>
        </is>
      </c>
      <c r="C1947" s="49" t="inlineStr">
        <is>
          <t>2×2×3×839</t>
        </is>
      </c>
      <c r="D1947" s="49" t="inlineStr">
        <is>
          <t>2·3</t>
        </is>
      </c>
      <c r="E1947" s="49" t="inlineStr"/>
      <c r="F1947" s="49" t="inlineStr"/>
    </row>
    <row r="1948" ht="13" customHeight="1">
      <c r="A1948" s="45" t="inlineStr">
        <is>
          <t>16883</t>
        </is>
      </c>
      <c r="B1948" s="45" t="inlineStr">
        <is>
          <t>26548</t>
        </is>
      </c>
      <c r="C1948" s="45" t="inlineStr">
        <is>
          <t>2×2×6637</t>
        </is>
      </c>
      <c r="D1948" s="45" t="inlineStr">
        <is>
          <t>2</t>
        </is>
      </c>
      <c r="E1948" s="45" t="inlineStr"/>
      <c r="F1948" s="45" t="inlineStr"/>
    </row>
    <row r="1949" ht="13" customHeight="1">
      <c r="A1949" s="49" t="inlineStr">
        <is>
          <t>16889</t>
        </is>
      </c>
      <c r="B1949" s="49" t="inlineStr">
        <is>
          <t>34557</t>
        </is>
      </c>
      <c r="C1949" s="49" t="inlineStr">
        <is>
          <t>3×11519</t>
        </is>
      </c>
      <c r="D1949" s="49" t="inlineStr">
        <is>
          <t>3</t>
        </is>
      </c>
      <c r="E1949" s="49" t="inlineStr"/>
      <c r="F1949" s="49" t="inlineStr"/>
    </row>
    <row r="1950" ht="13" customHeight="1">
      <c r="A1950" s="41" t="inlineStr">
        <is>
          <t>16901</t>
        </is>
      </c>
      <c r="B1950" s="41" t="inlineStr">
        <is>
          <t>4069</t>
        </is>
      </c>
      <c r="C1950" s="41" t="inlineStr">
        <is>
          <t>13×313</t>
        </is>
      </c>
      <c r="D1950" s="41" t="inlineStr">
        <is>
          <t>13</t>
        </is>
      </c>
      <c r="E1950" s="41" t="inlineStr"/>
      <c r="F1950" s="41" t="inlineStr"/>
    </row>
    <row r="1951" ht="13" customHeight="1">
      <c r="A1951" s="49" t="inlineStr">
        <is>
          <t>16903</t>
        </is>
      </c>
      <c r="B1951" s="49" t="inlineStr">
        <is>
          <t>30112</t>
        </is>
      </c>
      <c r="C1951" s="49" t="inlineStr">
        <is>
          <t>2×2×2×2×2×941</t>
        </is>
      </c>
      <c r="D1951" s="49" t="inlineStr">
        <is>
          <t>2</t>
        </is>
      </c>
      <c r="E1951" s="49" t="inlineStr"/>
      <c r="F1951" s="49" t="inlineStr"/>
    </row>
    <row r="1952" ht="13" customHeight="1">
      <c r="A1952" s="45" t="inlineStr">
        <is>
          <t>16921</t>
        </is>
      </c>
      <c r="B1952" s="45" t="inlineStr">
        <is>
          <t>14710</t>
        </is>
      </c>
      <c r="C1952" s="45" t="inlineStr">
        <is>
          <t>2×5×1471</t>
        </is>
      </c>
      <c r="D1952" s="45" t="inlineStr">
        <is>
          <t>2·5</t>
        </is>
      </c>
      <c r="E1952" s="45" t="inlineStr"/>
      <c r="F1952" s="45" t="inlineStr"/>
    </row>
    <row r="1953" ht="13" customHeight="1">
      <c r="A1953" s="41" t="inlineStr">
        <is>
          <t>16927</t>
        </is>
      </c>
      <c r="B1953" s="41" t="inlineStr">
        <is>
          <t>9256</t>
        </is>
      </c>
      <c r="C1953" s="41" t="inlineStr">
        <is>
          <t>2×2×2×13×89</t>
        </is>
      </c>
      <c r="D1953" s="41" t="inlineStr">
        <is>
          <t>2·13</t>
        </is>
      </c>
      <c r="E1953" s="41" t="inlineStr"/>
      <c r="F1953" s="41" t="inlineStr"/>
    </row>
    <row r="1954" ht="13" customHeight="1">
      <c r="A1954" s="45" t="inlineStr">
        <is>
          <t>16931</t>
        </is>
      </c>
      <c r="B1954" s="45" t="inlineStr">
        <is>
          <t>26551</t>
        </is>
      </c>
      <c r="C1954" s="45" t="inlineStr">
        <is>
          <t>7×3793</t>
        </is>
      </c>
      <c r="D1954" s="45" t="inlineStr">
        <is>
          <t>7</t>
        </is>
      </c>
      <c r="E1954" s="45" t="inlineStr"/>
      <c r="F1954" s="45" t="inlineStr"/>
    </row>
    <row r="1955" ht="13" customHeight="1">
      <c r="A1955" s="49" t="inlineStr">
        <is>
          <t>16937</t>
        </is>
      </c>
      <c r="B1955" s="49" t="inlineStr">
        <is>
          <t>42290</t>
        </is>
      </c>
      <c r="C1955" s="49" t="inlineStr">
        <is>
          <t>2×5×4229</t>
        </is>
      </c>
      <c r="D1955" s="49" t="inlineStr">
        <is>
          <t>2·5</t>
        </is>
      </c>
      <c r="E1955" s="49" t="inlineStr"/>
      <c r="F1955" s="49" t="inlineStr"/>
    </row>
    <row r="1956" ht="13" customHeight="1">
      <c r="A1956" s="45" t="inlineStr">
        <is>
          <t>16943</t>
        </is>
      </c>
      <c r="B1956" s="45" t="inlineStr">
        <is>
          <t>16974</t>
        </is>
      </c>
      <c r="C1956" s="45" t="inlineStr">
        <is>
          <t>2×3×3×23×41</t>
        </is>
      </c>
      <c r="D1956" s="45" t="inlineStr">
        <is>
          <t>2·3</t>
        </is>
      </c>
      <c r="E1956" s="45" t="inlineStr"/>
      <c r="F1956" s="45" t="inlineStr"/>
    </row>
    <row r="1957" ht="13" customHeight="1">
      <c r="A1957" s="49" t="inlineStr">
        <is>
          <t>16963</t>
        </is>
      </c>
      <c r="B1957" s="49" t="inlineStr">
        <is>
          <t>16827</t>
        </is>
      </c>
      <c r="C1957" s="49" t="inlineStr">
        <is>
          <t>3×71×79</t>
        </is>
      </c>
      <c r="D1957" s="49" t="inlineStr">
        <is>
          <t>3</t>
        </is>
      </c>
      <c r="E1957" s="49" t="inlineStr"/>
      <c r="F1957" s="49" t="inlineStr"/>
    </row>
    <row r="1958" ht="13" customHeight="1">
      <c r="A1958" s="45" t="inlineStr">
        <is>
          <t>16979</t>
        </is>
      </c>
      <c r="B1958" s="45" t="inlineStr">
        <is>
          <t>41424</t>
        </is>
      </c>
      <c r="C1958" s="45" t="inlineStr">
        <is>
          <t>2×2×2×2×3×863</t>
        </is>
      </c>
      <c r="D1958" s="45" t="inlineStr">
        <is>
          <t>2·3</t>
        </is>
      </c>
      <c r="E1958" s="45" t="inlineStr"/>
      <c r="F1958" s="45" t="inlineStr"/>
    </row>
    <row r="1959" ht="13" customHeight="1">
      <c r="A1959" s="49" t="inlineStr">
        <is>
          <t>16981</t>
        </is>
      </c>
      <c r="B1959" s="49" t="inlineStr">
        <is>
          <t>41266</t>
        </is>
      </c>
      <c r="C1959" s="49" t="inlineStr">
        <is>
          <t>2×47×439</t>
        </is>
      </c>
      <c r="D1959" s="49" t="inlineStr">
        <is>
          <t>2</t>
        </is>
      </c>
      <c r="E1959" s="49" t="inlineStr"/>
      <c r="F1959" s="49" t="inlineStr"/>
    </row>
    <row r="1960" ht="13" customHeight="1">
      <c r="A1960" s="41" t="inlineStr">
        <is>
          <t>16987</t>
        </is>
      </c>
      <c r="B1960" s="41" t="inlineStr">
        <is>
          <t>42228</t>
        </is>
      </c>
      <c r="C1960" s="41" t="inlineStr">
        <is>
          <t>2×2×3×3×3×17×23</t>
        </is>
      </c>
      <c r="D1960" s="41" t="inlineStr">
        <is>
          <t>2·3·17</t>
        </is>
      </c>
      <c r="E1960" s="41" t="inlineStr"/>
      <c r="F1960" s="41" t="inlineStr"/>
    </row>
    <row r="1961" ht="13" customHeight="1">
      <c r="A1961" s="49" t="inlineStr">
        <is>
          <t>16993</t>
        </is>
      </c>
      <c r="B1961" s="49" t="inlineStr">
        <is>
          <t>13485</t>
        </is>
      </c>
      <c r="C1961" s="49" t="inlineStr">
        <is>
          <t>3×5×29×31</t>
        </is>
      </c>
      <c r="D1961" s="49" t="inlineStr">
        <is>
          <t>3·5</t>
        </is>
      </c>
      <c r="E1961" s="49" t="inlineStr"/>
      <c r="F1961" s="49" t="inlineStr"/>
    </row>
    <row r="1962" ht="13" customHeight="1">
      <c r="A1962" s="45" t="inlineStr">
        <is>
          <t>17011</t>
        </is>
      </c>
      <c r="B1962" s="45" t="inlineStr">
        <is>
          <t>30205</t>
        </is>
      </c>
      <c r="C1962" s="45" t="inlineStr">
        <is>
          <t>5×7×863</t>
        </is>
      </c>
      <c r="D1962" s="45" t="inlineStr">
        <is>
          <t>5·7</t>
        </is>
      </c>
      <c r="E1962" s="45" t="inlineStr"/>
      <c r="F1962" s="45" t="inlineStr"/>
    </row>
    <row r="1963" ht="13" customHeight="1">
      <c r="A1963" s="49" t="inlineStr">
        <is>
          <t>17021</t>
        </is>
      </c>
      <c r="B1963" s="49" t="inlineStr">
        <is>
          <t>42384</t>
        </is>
      </c>
      <c r="C1963" s="49" t="inlineStr">
        <is>
          <t>2×2×2×2×3×883</t>
        </is>
      </c>
      <c r="D1963" s="49" t="inlineStr">
        <is>
          <t>2·3</t>
        </is>
      </c>
      <c r="E1963" s="49" t="inlineStr"/>
      <c r="F1963" s="49" t="inlineStr"/>
    </row>
    <row r="1964" ht="13" customHeight="1">
      <c r="A1964" s="43" t="inlineStr">
        <is>
          <t>17027</t>
        </is>
      </c>
      <c r="B1964" s="43" t="inlineStr">
        <is>
          <t>20185</t>
        </is>
      </c>
      <c r="C1964" s="43" t="inlineStr">
        <is>
          <t>5×11×367</t>
        </is>
      </c>
      <c r="D1964" s="43" t="inlineStr">
        <is>
          <t>5·11</t>
        </is>
      </c>
      <c r="E1964" s="43" t="inlineStr"/>
      <c r="F1964" s="43" t="inlineStr"/>
    </row>
    <row r="1965" ht="13" customHeight="1">
      <c r="A1965" s="49" t="inlineStr">
        <is>
          <t>17029</t>
        </is>
      </c>
      <c r="B1965" s="49" t="inlineStr">
        <is>
          <t>14655</t>
        </is>
      </c>
      <c r="C1965" s="49" t="inlineStr">
        <is>
          <t>3×5×977</t>
        </is>
      </c>
      <c r="D1965" s="49" t="inlineStr">
        <is>
          <t>3·5</t>
        </is>
      </c>
      <c r="E1965" s="49" t="inlineStr"/>
      <c r="F1965" s="49" t="inlineStr"/>
    </row>
    <row r="1966" ht="13" customHeight="1">
      <c r="A1966" s="45" t="inlineStr">
        <is>
          <t>17033</t>
        </is>
      </c>
      <c r="B1966" s="45" t="inlineStr">
        <is>
          <t>4749</t>
        </is>
      </c>
      <c r="C1966" s="45" t="inlineStr">
        <is>
          <t>3×1583</t>
        </is>
      </c>
      <c r="D1966" s="45" t="inlineStr">
        <is>
          <t>3</t>
        </is>
      </c>
      <c r="E1966" s="45" t="inlineStr"/>
      <c r="F1966" s="45" t="inlineStr"/>
    </row>
    <row r="1967" ht="13" customHeight="1">
      <c r="A1967" s="49" t="inlineStr">
        <is>
          <t>17041</t>
        </is>
      </c>
      <c r="B1967" s="49" t="inlineStr">
        <is>
          <t>3324</t>
        </is>
      </c>
      <c r="C1967" s="49" t="inlineStr">
        <is>
          <t>2×2×3×277</t>
        </is>
      </c>
      <c r="D1967" s="49" t="inlineStr">
        <is>
          <t>2·3</t>
        </is>
      </c>
      <c r="E1967" s="49" t="inlineStr"/>
      <c r="F1967" s="49" t="inlineStr"/>
    </row>
    <row r="1968" ht="13" customHeight="1">
      <c r="A1968" s="45" t="inlineStr">
        <is>
          <t>17047</t>
        </is>
      </c>
      <c r="B1968" s="45" t="inlineStr">
        <is>
          <t>42485</t>
        </is>
      </c>
      <c r="C1968" s="45" t="inlineStr">
        <is>
          <t>5×29×293</t>
        </is>
      </c>
      <c r="D1968" s="45" t="inlineStr">
        <is>
          <t>5</t>
        </is>
      </c>
      <c r="E1968" s="45" t="inlineStr"/>
      <c r="F1968" s="45" t="inlineStr"/>
    </row>
    <row r="1969" ht="13" customHeight="1">
      <c r="A1969" s="49" t="inlineStr">
        <is>
          <t>17053</t>
        </is>
      </c>
      <c r="B1969" s="49" t="inlineStr">
        <is>
          <t>37654</t>
        </is>
      </c>
      <c r="C1969" s="49" t="inlineStr">
        <is>
          <t>2×67×281</t>
        </is>
      </c>
      <c r="D1969" s="49" t="inlineStr">
        <is>
          <t>2</t>
        </is>
      </c>
      <c r="E1969" s="49" t="inlineStr"/>
      <c r="F1969" s="49" t="inlineStr"/>
    </row>
    <row r="1970" ht="13" customHeight="1">
      <c r="A1970" s="50" t="inlineStr">
        <is>
          <t>17077</t>
        </is>
      </c>
      <c r="B1970" s="50" t="inlineStr">
        <is>
          <t>26597</t>
        </is>
      </c>
      <c r="C1970" s="50" t="inlineStr">
        <is>
          <t>26597</t>
        </is>
      </c>
      <c r="D1970" s="50" t="inlineStr">
        <is>
          <t>—</t>
        </is>
      </c>
      <c r="E1970" s="50" t="inlineStr"/>
      <c r="F1970" s="50" t="inlineStr"/>
    </row>
    <row r="1971" ht="13" customHeight="1">
      <c r="A1971" s="39" t="inlineStr">
        <is>
          <t>17093</t>
        </is>
      </c>
      <c r="B1971" s="39" t="inlineStr">
        <is>
          <t>34560</t>
        </is>
      </c>
      <c r="C1971" s="39" t="inlineStr">
        <is>
          <t>2×2×2×2×2×2×2×2×3×3×3×5</t>
        </is>
      </c>
      <c r="D1971" s="39" t="inlineStr">
        <is>
          <t>2·3·5</t>
        </is>
      </c>
      <c r="E1971" s="39" t="inlineStr"/>
      <c r="F1971" s="39" t="inlineStr"/>
    </row>
    <row r="1972" ht="13" customHeight="1">
      <c r="A1972" s="45" t="inlineStr">
        <is>
          <t>17099</t>
        </is>
      </c>
      <c r="B1972" s="45" t="inlineStr">
        <is>
          <t>30531</t>
        </is>
      </c>
      <c r="C1972" s="45" t="inlineStr">
        <is>
          <t>3×10177</t>
        </is>
      </c>
      <c r="D1972" s="45" t="inlineStr">
        <is>
          <t>3</t>
        </is>
      </c>
      <c r="E1972" s="45" t="inlineStr"/>
      <c r="F1972" s="45" t="inlineStr"/>
    </row>
    <row r="1973" ht="13" customHeight="1">
      <c r="A1973" s="49" t="inlineStr">
        <is>
          <t>17107</t>
        </is>
      </c>
      <c r="B1973" s="49" t="inlineStr">
        <is>
          <t>7407</t>
        </is>
      </c>
      <c r="C1973" s="49" t="inlineStr">
        <is>
          <t>3×3×823</t>
        </is>
      </c>
      <c r="D1973" s="49" t="inlineStr">
        <is>
          <t>3</t>
        </is>
      </c>
      <c r="E1973" s="49" t="inlineStr"/>
      <c r="F1973" s="49" t="inlineStr"/>
    </row>
    <row r="1974" ht="13" customHeight="1">
      <c r="A1974" s="45" t="inlineStr">
        <is>
          <t>17117</t>
        </is>
      </c>
      <c r="B1974" s="45" t="inlineStr">
        <is>
          <t>23451</t>
        </is>
      </c>
      <c r="C1974" s="45" t="inlineStr">
        <is>
          <t>3×7817</t>
        </is>
      </c>
      <c r="D1974" s="45" t="inlineStr">
        <is>
          <t>3</t>
        </is>
      </c>
      <c r="E1974" s="45" t="inlineStr"/>
      <c r="F1974" s="45" t="inlineStr"/>
    </row>
    <row r="1975" ht="13" customHeight="1">
      <c r="A1975" s="49" t="inlineStr">
        <is>
          <t>17123</t>
        </is>
      </c>
      <c r="B1975" s="49" t="inlineStr">
        <is>
          <t>31410</t>
        </is>
      </c>
      <c r="C1975" s="49" t="inlineStr">
        <is>
          <t>2×3×3×5×349</t>
        </is>
      </c>
      <c r="D1975" s="49" t="inlineStr">
        <is>
          <t>2·3·5</t>
        </is>
      </c>
      <c r="E1975" s="49" t="inlineStr"/>
      <c r="F1975" s="49" t="inlineStr"/>
    </row>
    <row r="1976" ht="13" customHeight="1">
      <c r="A1976" s="45" t="inlineStr">
        <is>
          <t>17137</t>
        </is>
      </c>
      <c r="B1976" s="45" t="inlineStr">
        <is>
          <t>12742</t>
        </is>
      </c>
      <c r="C1976" s="45" t="inlineStr">
        <is>
          <t>2×23×277</t>
        </is>
      </c>
      <c r="D1976" s="45" t="inlineStr">
        <is>
          <t>2</t>
        </is>
      </c>
      <c r="E1976" s="45" t="inlineStr"/>
      <c r="F1976" s="45" t="inlineStr"/>
    </row>
    <row r="1977" ht="13" customHeight="1">
      <c r="A1977" s="49" t="inlineStr">
        <is>
          <t>17159</t>
        </is>
      </c>
      <c r="B1977" s="49" t="inlineStr">
        <is>
          <t>28615</t>
        </is>
      </c>
      <c r="C1977" s="49" t="inlineStr">
        <is>
          <t>5×59×97</t>
        </is>
      </c>
      <c r="D1977" s="49" t="inlineStr">
        <is>
          <t>5</t>
        </is>
      </c>
      <c r="E1977" s="49" t="inlineStr"/>
      <c r="F1977" s="49" t="inlineStr"/>
    </row>
    <row r="1978" ht="13" customHeight="1">
      <c r="A1978" s="41" t="inlineStr">
        <is>
          <t>17167</t>
        </is>
      </c>
      <c r="B1978" s="41" t="inlineStr">
        <is>
          <t>29087</t>
        </is>
      </c>
      <c r="C1978" s="41" t="inlineStr">
        <is>
          <t>17×29×59</t>
        </is>
      </c>
      <c r="D1978" s="41" t="inlineStr">
        <is>
          <t>17</t>
        </is>
      </c>
      <c r="E1978" s="41" t="inlineStr"/>
      <c r="F1978" s="41" t="inlineStr"/>
    </row>
    <row r="1979" ht="13" customHeight="1">
      <c r="A1979" s="49" t="inlineStr">
        <is>
          <t>17183</t>
        </is>
      </c>
      <c r="B1979" s="49" t="inlineStr">
        <is>
          <t>30424</t>
        </is>
      </c>
      <c r="C1979" s="49" t="inlineStr">
        <is>
          <t>2×2×2×3803</t>
        </is>
      </c>
      <c r="D1979" s="49" t="inlineStr">
        <is>
          <t>2</t>
        </is>
      </c>
      <c r="E1979" s="49" t="inlineStr"/>
      <c r="F1979" s="49" t="inlineStr"/>
    </row>
    <row r="1980" ht="13" customHeight="1">
      <c r="A1980" s="45" t="inlineStr">
        <is>
          <t>17189</t>
        </is>
      </c>
      <c r="B1980" s="45" t="inlineStr">
        <is>
          <t>7323</t>
        </is>
      </c>
      <c r="C1980" s="45" t="inlineStr">
        <is>
          <t>3×2441</t>
        </is>
      </c>
      <c r="D1980" s="45" t="inlineStr">
        <is>
          <t>3</t>
        </is>
      </c>
      <c r="E1980" s="45" t="inlineStr"/>
      <c r="F1980" s="45" t="inlineStr"/>
    </row>
    <row r="1981" ht="13" customHeight="1">
      <c r="A1981" s="41" t="inlineStr">
        <is>
          <t>17191</t>
        </is>
      </c>
      <c r="B1981" s="41" t="inlineStr">
        <is>
          <t>7157</t>
        </is>
      </c>
      <c r="C1981" s="41" t="inlineStr">
        <is>
          <t>17×421</t>
        </is>
      </c>
      <c r="D1981" s="41" t="inlineStr">
        <is>
          <t>17</t>
        </is>
      </c>
      <c r="E1981" s="41" t="inlineStr"/>
      <c r="F1981" s="41" t="inlineStr"/>
    </row>
    <row r="1982" ht="13" customHeight="1">
      <c r="A1982" s="45" t="inlineStr">
        <is>
          <t>17203</t>
        </is>
      </c>
      <c r="B1982" s="45" t="inlineStr">
        <is>
          <t>39991</t>
        </is>
      </c>
      <c r="C1982" s="45" t="inlineStr">
        <is>
          <t>7×29×197</t>
        </is>
      </c>
      <c r="D1982" s="45" t="inlineStr">
        <is>
          <t>7</t>
        </is>
      </c>
      <c r="E1982" s="45" t="inlineStr"/>
      <c r="F1982" s="45" t="inlineStr"/>
    </row>
    <row r="1983" ht="13" customHeight="1">
      <c r="A1983" s="41" t="inlineStr">
        <is>
          <t>17207</t>
        </is>
      </c>
      <c r="B1983" s="41" t="inlineStr">
        <is>
          <t>14484</t>
        </is>
      </c>
      <c r="C1983" s="41" t="inlineStr">
        <is>
          <t>2×2×3×17×71</t>
        </is>
      </c>
      <c r="D1983" s="41" t="inlineStr">
        <is>
          <t>2·3·17</t>
        </is>
      </c>
      <c r="E1983" s="41" t="inlineStr"/>
      <c r="F1983" s="41" t="inlineStr"/>
    </row>
    <row r="1984" ht="13" customHeight="1">
      <c r="A1984" s="45" t="inlineStr">
        <is>
          <t>17209</t>
        </is>
      </c>
      <c r="B1984" s="45" t="inlineStr">
        <is>
          <t>12854</t>
        </is>
      </c>
      <c r="C1984" s="45" t="inlineStr">
        <is>
          <t>2×6427</t>
        </is>
      </c>
      <c r="D1984" s="45" t="inlineStr">
        <is>
          <t>2</t>
        </is>
      </c>
      <c r="E1984" s="45" t="inlineStr"/>
      <c r="F1984" s="45" t="inlineStr"/>
    </row>
    <row r="1985" ht="13" customHeight="1">
      <c r="A1985" s="49" t="inlineStr">
        <is>
          <t>17231</t>
        </is>
      </c>
      <c r="B1985" s="49" t="inlineStr">
        <is>
          <t>23988</t>
        </is>
      </c>
      <c r="C1985" s="49" t="inlineStr">
        <is>
          <t>2×2×3×1999</t>
        </is>
      </c>
      <c r="D1985" s="49" t="inlineStr">
        <is>
          <t>2·3</t>
        </is>
      </c>
      <c r="E1985" s="49" t="inlineStr"/>
      <c r="F1985" s="49" t="inlineStr"/>
    </row>
    <row r="1986" ht="13" customHeight="1">
      <c r="A1986" s="41" t="inlineStr">
        <is>
          <t>17239</t>
        </is>
      </c>
      <c r="B1986" s="41" t="inlineStr">
        <is>
          <t>1274</t>
        </is>
      </c>
      <c r="C1986" s="41" t="inlineStr">
        <is>
          <t>2×7×7×13</t>
        </is>
      </c>
      <c r="D1986" s="41" t="inlineStr">
        <is>
          <t>2·7·13</t>
        </is>
      </c>
      <c r="E1986" s="41" t="inlineStr"/>
      <c r="F1986" s="41" t="inlineStr"/>
    </row>
    <row r="1987" ht="13" customHeight="1">
      <c r="A1987" s="49" t="inlineStr">
        <is>
          <t>17257</t>
        </is>
      </c>
      <c r="B1987" s="49" t="inlineStr">
        <is>
          <t>8154</t>
        </is>
      </c>
      <c r="C1987" s="49" t="inlineStr">
        <is>
          <t>2×3×3×3×151</t>
        </is>
      </c>
      <c r="D1987" s="49" t="inlineStr">
        <is>
          <t>2·3</t>
        </is>
      </c>
      <c r="E1987" s="49" t="inlineStr"/>
      <c r="F1987" s="49" t="inlineStr"/>
    </row>
    <row r="1988" ht="13" customHeight="1">
      <c r="A1988" s="45" t="inlineStr">
        <is>
          <t>17291</t>
        </is>
      </c>
      <c r="B1988" s="45" t="inlineStr">
        <is>
          <t>28326</t>
        </is>
      </c>
      <c r="C1988" s="45" t="inlineStr">
        <is>
          <t>2×3×4721</t>
        </is>
      </c>
      <c r="D1988" s="45" t="inlineStr">
        <is>
          <t>2·3</t>
        </is>
      </c>
      <c r="E1988" s="45" t="inlineStr"/>
      <c r="F1988" s="45" t="inlineStr"/>
    </row>
    <row r="1989" ht="13" customHeight="1">
      <c r="A1989" s="49" t="inlineStr">
        <is>
          <t>17293</t>
        </is>
      </c>
      <c r="B1989" s="49" t="inlineStr">
        <is>
          <t>10674</t>
        </is>
      </c>
      <c r="C1989" s="49" t="inlineStr">
        <is>
          <t>2×3×3×593</t>
        </is>
      </c>
      <c r="D1989" s="49" t="inlineStr">
        <is>
          <t>2·3</t>
        </is>
      </c>
      <c r="E1989" s="49" t="inlineStr"/>
      <c r="F1989" s="49" t="inlineStr"/>
    </row>
    <row r="1990" ht="13" customHeight="1">
      <c r="A1990" s="43" t="inlineStr">
        <is>
          <t>17299</t>
        </is>
      </c>
      <c r="B1990" s="43" t="inlineStr">
        <is>
          <t>36718</t>
        </is>
      </c>
      <c r="C1990" s="43" t="inlineStr">
        <is>
          <t>2×11×1669</t>
        </is>
      </c>
      <c r="D1990" s="43" t="inlineStr">
        <is>
          <t>2·11</t>
        </is>
      </c>
      <c r="E1990" s="43" t="inlineStr"/>
      <c r="F1990" s="43" t="inlineStr"/>
    </row>
    <row r="1991" ht="13" customHeight="1">
      <c r="A1991" s="49" t="inlineStr">
        <is>
          <t>17317</t>
        </is>
      </c>
      <c r="B1991" s="49" t="inlineStr">
        <is>
          <t>29459</t>
        </is>
      </c>
      <c r="C1991" s="49" t="inlineStr">
        <is>
          <t>89×331</t>
        </is>
      </c>
      <c r="D1991" s="49" t="inlineStr">
        <is>
          <t>—</t>
        </is>
      </c>
      <c r="E1991" s="49" t="inlineStr"/>
      <c r="F1991" s="49" t="inlineStr"/>
    </row>
    <row r="1992" ht="13" customHeight="1">
      <c r="A1992" s="41" t="inlineStr">
        <is>
          <t>17321</t>
        </is>
      </c>
      <c r="B1992" s="41" t="inlineStr">
        <is>
          <t>31756</t>
        </is>
      </c>
      <c r="C1992" s="41" t="inlineStr">
        <is>
          <t>2×2×17×467</t>
        </is>
      </c>
      <c r="D1992" s="41" t="inlineStr">
        <is>
          <t>2·17</t>
        </is>
      </c>
      <c r="E1992" s="41" t="inlineStr"/>
      <c r="F1992" s="41" t="inlineStr"/>
    </row>
    <row r="1993" ht="13" customHeight="1">
      <c r="A1993" s="50" t="inlineStr">
        <is>
          <t>17327</t>
        </is>
      </c>
      <c r="B1993" s="50" t="inlineStr">
        <is>
          <t>13063</t>
        </is>
      </c>
      <c r="C1993" s="50" t="inlineStr">
        <is>
          <t>13063</t>
        </is>
      </c>
      <c r="D1993" s="50" t="inlineStr">
        <is>
          <t>—</t>
        </is>
      </c>
      <c r="E1993" s="50" t="inlineStr"/>
      <c r="F1993" s="50" t="inlineStr"/>
    </row>
    <row r="1994" ht="13" customHeight="1">
      <c r="A1994" s="45" t="inlineStr">
        <is>
          <t>17333</t>
        </is>
      </c>
      <c r="B1994" s="45" t="inlineStr">
        <is>
          <t>25474</t>
        </is>
      </c>
      <c r="C1994" s="45" t="inlineStr">
        <is>
          <t>2×47×271</t>
        </is>
      </c>
      <c r="D1994" s="45" t="inlineStr">
        <is>
          <t>2</t>
        </is>
      </c>
      <c r="E1994" s="45" t="inlineStr"/>
      <c r="F1994" s="45" t="inlineStr"/>
    </row>
    <row r="1995" ht="13" customHeight="1">
      <c r="A1995" s="49" t="inlineStr">
        <is>
          <t>17341</t>
        </is>
      </c>
      <c r="B1995" s="49" t="inlineStr">
        <is>
          <t>35356</t>
        </is>
      </c>
      <c r="C1995" s="49" t="inlineStr">
        <is>
          <t>2×2×8839</t>
        </is>
      </c>
      <c r="D1995" s="49" t="inlineStr">
        <is>
          <t>2</t>
        </is>
      </c>
      <c r="E1995" s="49" t="inlineStr"/>
      <c r="F1995" s="49" t="inlineStr"/>
    </row>
    <row r="1996" ht="13" customHeight="1">
      <c r="A1996" s="45" t="inlineStr">
        <is>
          <t>17351</t>
        </is>
      </c>
      <c r="B1996" s="45" t="inlineStr">
        <is>
          <t>12942</t>
        </is>
      </c>
      <c r="C1996" s="45" t="inlineStr">
        <is>
          <t>2×3×3×719</t>
        </is>
      </c>
      <c r="D1996" s="45" t="inlineStr">
        <is>
          <t>2·3</t>
        </is>
      </c>
      <c r="E1996" s="45" t="inlineStr"/>
      <c r="F1996" s="45" t="inlineStr"/>
    </row>
    <row r="1997" ht="13" customHeight="1">
      <c r="A1997" s="49" t="inlineStr">
        <is>
          <t>17359</t>
        </is>
      </c>
      <c r="B1997" s="49" t="inlineStr">
        <is>
          <t>36459</t>
        </is>
      </c>
      <c r="C1997" s="49" t="inlineStr">
        <is>
          <t>3×3×4051</t>
        </is>
      </c>
      <c r="D1997" s="49" t="inlineStr">
        <is>
          <t>3</t>
        </is>
      </c>
      <c r="E1997" s="49" t="inlineStr"/>
      <c r="F1997" s="49" t="inlineStr"/>
    </row>
    <row r="1998" ht="13" customHeight="1">
      <c r="A1998" s="45" t="inlineStr">
        <is>
          <t>17377</t>
        </is>
      </c>
      <c r="B1998" s="45" t="inlineStr">
        <is>
          <t>354</t>
        </is>
      </c>
      <c r="C1998" s="45" t="inlineStr">
        <is>
          <t>2×3×59</t>
        </is>
      </c>
      <c r="D1998" s="45" t="inlineStr">
        <is>
          <t>2·3</t>
        </is>
      </c>
      <c r="E1998" s="45" t="inlineStr"/>
      <c r="F1998" s="45" t="inlineStr"/>
    </row>
    <row r="1999" ht="13" customHeight="1">
      <c r="A1999" s="41" t="inlineStr">
        <is>
          <t>17383</t>
        </is>
      </c>
      <c r="B1999" s="41" t="inlineStr">
        <is>
          <t>5576</t>
        </is>
      </c>
      <c r="C1999" s="41" t="inlineStr">
        <is>
          <t>2×2×2×17×41</t>
        </is>
      </c>
      <c r="D1999" s="41" t="inlineStr">
        <is>
          <t>2·17</t>
        </is>
      </c>
      <c r="E1999" s="41" t="inlineStr"/>
      <c r="F1999" s="41" t="inlineStr"/>
    </row>
    <row r="2000" ht="13" customHeight="1">
      <c r="A2000" s="45" t="inlineStr">
        <is>
          <t>17387</t>
        </is>
      </c>
      <c r="B2000" s="45" t="inlineStr">
        <is>
          <t>23170</t>
        </is>
      </c>
      <c r="C2000" s="45" t="inlineStr">
        <is>
          <t>2×5×7×331</t>
        </is>
      </c>
      <c r="D2000" s="45" t="inlineStr">
        <is>
          <t>2·5·7</t>
        </is>
      </c>
      <c r="E2000" s="45" t="inlineStr"/>
      <c r="F2000" s="45" t="inlineStr"/>
    </row>
    <row r="2001" ht="13" customHeight="1">
      <c r="A2001" s="49" t="inlineStr">
        <is>
          <t>17389</t>
        </is>
      </c>
      <c r="B2001" s="49" t="inlineStr">
        <is>
          <t>42774</t>
        </is>
      </c>
      <c r="C2001" s="49" t="inlineStr">
        <is>
          <t>2×3×7129</t>
        </is>
      </c>
      <c r="D2001" s="49" t="inlineStr">
        <is>
          <t>2·3</t>
        </is>
      </c>
      <c r="E2001" s="49" t="inlineStr"/>
      <c r="F2001" s="49" t="inlineStr"/>
    </row>
    <row r="2002" ht="13" customHeight="1">
      <c r="A2002" s="41" t="inlineStr">
        <is>
          <t>17393</t>
        </is>
      </c>
      <c r="B2002" s="41" t="inlineStr">
        <is>
          <t>32997</t>
        </is>
      </c>
      <c r="C2002" s="41" t="inlineStr">
        <is>
          <t>3×17×647</t>
        </is>
      </c>
      <c r="D2002" s="41" t="inlineStr">
        <is>
          <t>3·17</t>
        </is>
      </c>
      <c r="E2002" s="41" t="inlineStr"/>
      <c r="F2002" s="41" t="inlineStr"/>
    </row>
    <row r="2003" ht="13" customHeight="1">
      <c r="A2003" s="50" t="inlineStr">
        <is>
          <t>17401</t>
        </is>
      </c>
      <c r="B2003" s="50" t="inlineStr">
        <is>
          <t>2531</t>
        </is>
      </c>
      <c r="C2003" s="50" t="inlineStr">
        <is>
          <t>2531</t>
        </is>
      </c>
      <c r="D2003" s="50" t="inlineStr">
        <is>
          <t>—</t>
        </is>
      </c>
      <c r="E2003" s="50" t="inlineStr"/>
      <c r="F2003" s="50" t="inlineStr"/>
    </row>
    <row r="2004" ht="13" customHeight="1">
      <c r="A2004" s="45" t="inlineStr">
        <is>
          <t>17417</t>
        </is>
      </c>
      <c r="B2004" s="45" t="inlineStr">
        <is>
          <t>4072</t>
        </is>
      </c>
      <c r="C2004" s="45" t="inlineStr">
        <is>
          <t>2×2×2×509</t>
        </is>
      </c>
      <c r="D2004" s="45" t="inlineStr">
        <is>
          <t>2</t>
        </is>
      </c>
      <c r="E2004" s="45" t="inlineStr"/>
      <c r="F2004" s="45" t="inlineStr"/>
    </row>
    <row r="2005" ht="13" customHeight="1">
      <c r="A2005" s="50" t="inlineStr">
        <is>
          <t>17419</t>
        </is>
      </c>
      <c r="B2005" s="50" t="inlineStr">
        <is>
          <t>36299</t>
        </is>
      </c>
      <c r="C2005" s="50" t="inlineStr">
        <is>
          <t>36299</t>
        </is>
      </c>
      <c r="D2005" s="50" t="inlineStr">
        <is>
          <t>—</t>
        </is>
      </c>
      <c r="E2005" s="50" t="inlineStr"/>
      <c r="F2005" s="50" t="inlineStr"/>
    </row>
    <row r="2006" ht="13" customHeight="1">
      <c r="A2006" s="51" t="inlineStr">
        <is>
          <t>17431</t>
        </is>
      </c>
      <c r="B2006" s="51" t="inlineStr">
        <is>
          <t>9918</t>
        </is>
      </c>
      <c r="C2006" s="51" t="inlineStr">
        <is>
          <t>2×3×3×19×29</t>
        </is>
      </c>
      <c r="D2006" s="51" t="inlineStr">
        <is>
          <t>2·3·19</t>
        </is>
      </c>
      <c r="E2006" s="51" t="inlineStr"/>
      <c r="F2006" s="51" t="inlineStr"/>
    </row>
    <row r="2007" ht="13" customHeight="1">
      <c r="A2007" s="49" t="inlineStr">
        <is>
          <t>17443</t>
        </is>
      </c>
      <c r="B2007" s="49" t="inlineStr">
        <is>
          <t>32242</t>
        </is>
      </c>
      <c r="C2007" s="49" t="inlineStr">
        <is>
          <t>2×7×7×7×47</t>
        </is>
      </c>
      <c r="D2007" s="49" t="inlineStr">
        <is>
          <t>2·7</t>
        </is>
      </c>
      <c r="E2007" s="49" t="inlineStr"/>
      <c r="F2007" s="49" t="inlineStr"/>
    </row>
    <row r="2008" ht="13" customHeight="1">
      <c r="A2008" s="45" t="inlineStr">
        <is>
          <t>17449</t>
        </is>
      </c>
      <c r="B2008" s="45" t="inlineStr">
        <is>
          <t>23535</t>
        </is>
      </c>
      <c r="C2008" s="45" t="inlineStr">
        <is>
          <t>3×3×5×523</t>
        </is>
      </c>
      <c r="D2008" s="45" t="inlineStr">
        <is>
          <t>3·5</t>
        </is>
      </c>
      <c r="E2008" s="45" t="inlineStr"/>
      <c r="F2008" s="45" t="inlineStr"/>
    </row>
    <row r="2009" ht="13" customHeight="1">
      <c r="A2009" s="43" t="inlineStr">
        <is>
          <t>17467</t>
        </is>
      </c>
      <c r="B2009" s="43" t="inlineStr">
        <is>
          <t>9482</t>
        </is>
      </c>
      <c r="C2009" s="43" t="inlineStr">
        <is>
          <t>2×11×431</t>
        </is>
      </c>
      <c r="D2009" s="43" t="inlineStr">
        <is>
          <t>2·11</t>
        </is>
      </c>
      <c r="E2009" s="43" t="inlineStr"/>
      <c r="F2009" s="43" t="inlineStr"/>
    </row>
    <row r="2010" ht="13" customHeight="1">
      <c r="A2010" s="51" t="inlineStr">
        <is>
          <t>17471</t>
        </is>
      </c>
      <c r="B2010" s="51" t="inlineStr">
        <is>
          <t>30115</t>
        </is>
      </c>
      <c r="C2010" s="51" t="inlineStr">
        <is>
          <t>5×19×317</t>
        </is>
      </c>
      <c r="D2010" s="51" t="inlineStr">
        <is>
          <t>5·19</t>
        </is>
      </c>
      <c r="E2010" s="51" t="inlineStr"/>
      <c r="F2010" s="51" t="inlineStr"/>
    </row>
    <row r="2011" ht="13" customHeight="1">
      <c r="A2011" s="49" t="inlineStr">
        <is>
          <t>17477</t>
        </is>
      </c>
      <c r="B2011" s="49" t="inlineStr">
        <is>
          <t>36675</t>
        </is>
      </c>
      <c r="C2011" s="49" t="inlineStr">
        <is>
          <t>3×3×5×5×163</t>
        </is>
      </c>
      <c r="D2011" s="49" t="inlineStr">
        <is>
          <t>3·5</t>
        </is>
      </c>
      <c r="E2011" s="49" t="inlineStr"/>
      <c r="F2011" s="49" t="inlineStr"/>
    </row>
    <row r="2012" ht="13" customHeight="1">
      <c r="A2012" s="45" t="inlineStr">
        <is>
          <t>17483</t>
        </is>
      </c>
      <c r="B2012" s="45" t="inlineStr">
        <is>
          <t>20037</t>
        </is>
      </c>
      <c r="C2012" s="45" t="inlineStr">
        <is>
          <t>3×6679</t>
        </is>
      </c>
      <c r="D2012" s="45" t="inlineStr">
        <is>
          <t>3</t>
        </is>
      </c>
      <c r="E2012" s="45" t="inlineStr"/>
      <c r="F2012" s="45" t="inlineStr"/>
    </row>
    <row r="2013" ht="13" customHeight="1">
      <c r="A2013" s="49" t="inlineStr">
        <is>
          <t>17489</t>
        </is>
      </c>
      <c r="B2013" s="49" t="inlineStr">
        <is>
          <t>22855</t>
        </is>
      </c>
      <c r="C2013" s="49" t="inlineStr">
        <is>
          <t>5×7×653</t>
        </is>
      </c>
      <c r="D2013" s="49" t="inlineStr">
        <is>
          <t>5·7</t>
        </is>
      </c>
      <c r="E2013" s="49" t="inlineStr"/>
      <c r="F2013" s="49" t="inlineStr"/>
    </row>
    <row r="2014" ht="13" customHeight="1">
      <c r="A2014" s="45" t="inlineStr">
        <is>
          <t>17491</t>
        </is>
      </c>
      <c r="B2014" s="45" t="inlineStr">
        <is>
          <t>30648</t>
        </is>
      </c>
      <c r="C2014" s="45" t="inlineStr">
        <is>
          <t>2×2×2×3×1277</t>
        </is>
      </c>
      <c r="D2014" s="45" t="inlineStr">
        <is>
          <t>2·3</t>
        </is>
      </c>
      <c r="E2014" s="45" t="inlineStr"/>
      <c r="F2014" s="45" t="inlineStr"/>
    </row>
    <row r="2015" ht="13" customHeight="1">
      <c r="A2015" s="41" t="inlineStr">
        <is>
          <t>17497</t>
        </is>
      </c>
      <c r="B2015" s="41" t="inlineStr">
        <is>
          <t>12701</t>
        </is>
      </c>
      <c r="C2015" s="41" t="inlineStr">
        <is>
          <t>13×977</t>
        </is>
      </c>
      <c r="D2015" s="41" t="inlineStr">
        <is>
          <t>13</t>
        </is>
      </c>
      <c r="E2015" s="41" t="inlineStr"/>
      <c r="F2015" s="41" t="inlineStr"/>
    </row>
    <row r="2016" ht="13" customHeight="1">
      <c r="A2016" s="45" t="inlineStr">
        <is>
          <t>17509</t>
        </is>
      </c>
      <c r="B2016" s="45" t="inlineStr">
        <is>
          <t>32815</t>
        </is>
      </c>
      <c r="C2016" s="45" t="inlineStr">
        <is>
          <t>5×6563</t>
        </is>
      </c>
      <c r="D2016" s="45" t="inlineStr">
        <is>
          <t>5</t>
        </is>
      </c>
      <c r="E2016" s="45" t="inlineStr"/>
      <c r="F2016" s="45" t="inlineStr"/>
    </row>
    <row r="2017" ht="13" customHeight="1">
      <c r="A2017" s="43" t="inlineStr">
        <is>
          <t>17519</t>
        </is>
      </c>
      <c r="B2017" s="43" t="inlineStr">
        <is>
          <t>39787</t>
        </is>
      </c>
      <c r="C2017" s="43" t="inlineStr">
        <is>
          <t>11×3617</t>
        </is>
      </c>
      <c r="D2017" s="43" t="inlineStr">
        <is>
          <t>11</t>
        </is>
      </c>
      <c r="E2017" s="43" t="inlineStr"/>
      <c r="F2017" s="43" t="inlineStr"/>
    </row>
    <row r="2018" ht="13" customHeight="1">
      <c r="A2018" s="45" t="inlineStr">
        <is>
          <t>17539</t>
        </is>
      </c>
      <c r="B2018" s="45" t="inlineStr">
        <is>
          <t>14095</t>
        </is>
      </c>
      <c r="C2018" s="45" t="inlineStr">
        <is>
          <t>5×2819</t>
        </is>
      </c>
      <c r="D2018" s="45" t="inlineStr">
        <is>
          <t>5</t>
        </is>
      </c>
      <c r="E2018" s="45" t="inlineStr"/>
      <c r="F2018" s="45" t="inlineStr"/>
    </row>
    <row r="2019" ht="13" customHeight="1">
      <c r="A2019" s="49" t="inlineStr">
        <is>
          <t>17551</t>
        </is>
      </c>
      <c r="B2019" s="49" t="inlineStr">
        <is>
          <t>39180</t>
        </is>
      </c>
      <c r="C2019" s="49" t="inlineStr">
        <is>
          <t>2×2×3×5×653</t>
        </is>
      </c>
      <c r="D2019" s="49" t="inlineStr">
        <is>
          <t>2·3·5</t>
        </is>
      </c>
      <c r="E2019" s="49" t="inlineStr"/>
      <c r="F2019" s="49" t="inlineStr"/>
    </row>
    <row r="2020" ht="13" customHeight="1">
      <c r="A2020" s="45" t="inlineStr">
        <is>
          <t>17569</t>
        </is>
      </c>
      <c r="B2020" s="45" t="inlineStr">
        <is>
          <t>10295</t>
        </is>
      </c>
      <c r="C2020" s="45" t="inlineStr">
        <is>
          <t>5×29×71</t>
        </is>
      </c>
      <c r="D2020" s="45" t="inlineStr">
        <is>
          <t>5</t>
        </is>
      </c>
      <c r="E2020" s="45" t="inlineStr"/>
      <c r="F2020" s="45" t="inlineStr"/>
    </row>
    <row r="2021" ht="13" customHeight="1">
      <c r="A2021" s="49" t="inlineStr">
        <is>
          <t>17573</t>
        </is>
      </c>
      <c r="B2021" s="49" t="inlineStr">
        <is>
          <t>5516</t>
        </is>
      </c>
      <c r="C2021" s="49" t="inlineStr">
        <is>
          <t>2×2×7×197</t>
        </is>
      </c>
      <c r="D2021" s="49" t="inlineStr">
        <is>
          <t>2·7</t>
        </is>
      </c>
      <c r="E2021" s="49" t="inlineStr"/>
      <c r="F2021" s="49" t="inlineStr"/>
    </row>
    <row r="2022" ht="13" customHeight="1">
      <c r="A2022" s="50" t="inlineStr">
        <is>
          <t>17579</t>
        </is>
      </c>
      <c r="B2022" s="50" t="inlineStr">
        <is>
          <t>7207</t>
        </is>
      </c>
      <c r="C2022" s="50" t="inlineStr">
        <is>
          <t>7207</t>
        </is>
      </c>
      <c r="D2022" s="50" t="inlineStr">
        <is>
          <t>—</t>
        </is>
      </c>
      <c r="E2022" s="50" t="inlineStr"/>
      <c r="F2022" s="50" t="inlineStr"/>
    </row>
    <row r="2023" ht="13" customHeight="1">
      <c r="A2023" s="49" t="inlineStr">
        <is>
          <t>17581</t>
        </is>
      </c>
      <c r="B2023" s="49" t="inlineStr">
        <is>
          <t>42819</t>
        </is>
      </c>
      <c r="C2023" s="49" t="inlineStr">
        <is>
          <t>3×7×2039</t>
        </is>
      </c>
      <c r="D2023" s="49" t="inlineStr">
        <is>
          <t>3·7</t>
        </is>
      </c>
      <c r="E2023" s="49" t="inlineStr"/>
      <c r="F2023" s="49" t="inlineStr"/>
    </row>
    <row r="2024" ht="13" customHeight="1">
      <c r="A2024" s="45" t="inlineStr">
        <is>
          <t>17597</t>
        </is>
      </c>
      <c r="B2024" s="45" t="inlineStr">
        <is>
          <t>29100</t>
        </is>
      </c>
      <c r="C2024" s="45" t="inlineStr">
        <is>
          <t>2×2×3×5×5×97</t>
        </is>
      </c>
      <c r="D2024" s="45" t="inlineStr">
        <is>
          <t>2·3·5</t>
        </is>
      </c>
      <c r="E2024" s="45" t="inlineStr"/>
      <c r="F2024" s="45" t="inlineStr"/>
    </row>
    <row r="2025" ht="13" customHeight="1">
      <c r="A2025" s="43" t="inlineStr">
        <is>
          <t>17599</t>
        </is>
      </c>
      <c r="B2025" s="43" t="inlineStr">
        <is>
          <t>8393</t>
        </is>
      </c>
      <c r="C2025" s="43" t="inlineStr">
        <is>
          <t>7×11×109</t>
        </is>
      </c>
      <c r="D2025" s="43" t="inlineStr">
        <is>
          <t>7·11</t>
        </is>
      </c>
      <c r="E2025" s="43" t="inlineStr"/>
      <c r="F2025" s="43" t="inlineStr"/>
    </row>
    <row r="2026" ht="13" customHeight="1">
      <c r="A2026" s="43" t="inlineStr">
        <is>
          <t>17609</t>
        </is>
      </c>
      <c r="B2026" s="43" t="inlineStr">
        <is>
          <t>36861</t>
        </is>
      </c>
      <c r="C2026" s="43" t="inlineStr">
        <is>
          <t>3×11×1117</t>
        </is>
      </c>
      <c r="D2026" s="43" t="inlineStr">
        <is>
          <t>3·11</t>
        </is>
      </c>
      <c r="E2026" s="43" t="inlineStr"/>
      <c r="F2026" s="43" t="inlineStr"/>
    </row>
    <row r="2027" ht="13" customHeight="1">
      <c r="A2027" s="41" t="inlineStr">
        <is>
          <t>17623</t>
        </is>
      </c>
      <c r="B2027" s="41" t="inlineStr">
        <is>
          <t>31416</t>
        </is>
      </c>
      <c r="C2027" s="41" t="inlineStr">
        <is>
          <t>2×2×2×3×7×11×17</t>
        </is>
      </c>
      <c r="D2027" s="41" t="inlineStr">
        <is>
          <t>2·3·7·11·17</t>
        </is>
      </c>
      <c r="E2027" s="41" t="inlineStr"/>
      <c r="F2027" s="41" t="inlineStr"/>
    </row>
    <row r="2028" ht="13" customHeight="1">
      <c r="A2028" s="50" t="inlineStr">
        <is>
          <t>17627</t>
        </is>
      </c>
      <c r="B2028" s="50" t="inlineStr">
        <is>
          <t>36653</t>
        </is>
      </c>
      <c r="C2028" s="50" t="inlineStr">
        <is>
          <t>36653</t>
        </is>
      </c>
      <c r="D2028" s="50" t="inlineStr">
        <is>
          <t>—</t>
        </is>
      </c>
      <c r="E2028" s="50" t="inlineStr"/>
      <c r="F2028" s="50" t="inlineStr"/>
    </row>
    <row r="2029" ht="13" customHeight="1">
      <c r="A2029" s="49" t="inlineStr">
        <is>
          <t>17657</t>
        </is>
      </c>
      <c r="B2029" s="49" t="inlineStr">
        <is>
          <t>14750</t>
        </is>
      </c>
      <c r="C2029" s="49" t="inlineStr">
        <is>
          <t>2×5×5×5×59</t>
        </is>
      </c>
      <c r="D2029" s="49" t="inlineStr">
        <is>
          <t>2·5</t>
        </is>
      </c>
      <c r="E2029" s="49" t="inlineStr"/>
      <c r="F2029" s="49" t="inlineStr"/>
    </row>
    <row r="2030" ht="13" customHeight="1">
      <c r="A2030" s="43" t="inlineStr">
        <is>
          <t>17659</t>
        </is>
      </c>
      <c r="B2030" s="43" t="inlineStr">
        <is>
          <t>14454</t>
        </is>
      </c>
      <c r="C2030" s="43" t="inlineStr">
        <is>
          <t>2×3×3×11×73</t>
        </is>
      </c>
      <c r="D2030" s="43" t="inlineStr">
        <is>
          <t>2·3·11</t>
        </is>
      </c>
      <c r="E2030" s="43" t="inlineStr"/>
      <c r="F2030" s="43" t="inlineStr"/>
    </row>
    <row r="2031" ht="13" customHeight="1">
      <c r="A2031" s="49" t="inlineStr">
        <is>
          <t>17669</t>
        </is>
      </c>
      <c r="B2031" s="49" t="inlineStr">
        <is>
          <t>30556</t>
        </is>
      </c>
      <c r="C2031" s="49" t="inlineStr">
        <is>
          <t>2×2×7639</t>
        </is>
      </c>
      <c r="D2031" s="49" t="inlineStr">
        <is>
          <t>2</t>
        </is>
      </c>
      <c r="E2031" s="49" t="inlineStr"/>
      <c r="F2031" s="49" t="inlineStr"/>
    </row>
    <row r="2032" ht="13" customHeight="1">
      <c r="A2032" s="45" t="inlineStr">
        <is>
          <t>17681</t>
        </is>
      </c>
      <c r="B2032" s="45" t="inlineStr">
        <is>
          <t>10888</t>
        </is>
      </c>
      <c r="C2032" s="45" t="inlineStr">
        <is>
          <t>2×2×2×1361</t>
        </is>
      </c>
      <c r="D2032" s="45" t="inlineStr">
        <is>
          <t>2</t>
        </is>
      </c>
      <c r="E2032" s="45" t="inlineStr"/>
      <c r="F2032" s="45" t="inlineStr"/>
    </row>
    <row r="2033" ht="13" customHeight="1">
      <c r="A2033" s="41" t="inlineStr">
        <is>
          <t>17683</t>
        </is>
      </c>
      <c r="B2033" s="41" t="inlineStr">
        <is>
          <t>20891</t>
        </is>
      </c>
      <c r="C2033" s="41" t="inlineStr">
        <is>
          <t>13×1607</t>
        </is>
      </c>
      <c r="D2033" s="41" t="inlineStr">
        <is>
          <t>13</t>
        </is>
      </c>
      <c r="E2033" s="41" t="inlineStr"/>
      <c r="F2033" s="41" t="inlineStr"/>
    </row>
    <row r="2034" ht="13" customHeight="1">
      <c r="A2034" s="45" t="inlineStr">
        <is>
          <t>17707</t>
        </is>
      </c>
      <c r="B2034" s="45" t="inlineStr">
        <is>
          <t>29430</t>
        </is>
      </c>
      <c r="C2034" s="45" t="inlineStr">
        <is>
          <t>2×3×3×3×5×109</t>
        </is>
      </c>
      <c r="D2034" s="45" t="inlineStr">
        <is>
          <t>2·3·5</t>
        </is>
      </c>
      <c r="E2034" s="45" t="inlineStr"/>
      <c r="F2034" s="45" t="inlineStr"/>
    </row>
    <row r="2035" ht="13" customHeight="1">
      <c r="A2035" s="49" t="inlineStr">
        <is>
          <t>17713</t>
        </is>
      </c>
      <c r="B2035" s="49" t="inlineStr">
        <is>
          <t>36042</t>
        </is>
      </c>
      <c r="C2035" s="49" t="inlineStr">
        <is>
          <t>2×3×6007</t>
        </is>
      </c>
      <c r="D2035" s="49" t="inlineStr">
        <is>
          <t>2·3</t>
        </is>
      </c>
      <c r="E2035" s="49" t="inlineStr"/>
      <c r="F2035" s="49" t="inlineStr"/>
    </row>
    <row r="2036" ht="13" customHeight="1">
      <c r="A2036" s="45" t="inlineStr">
        <is>
          <t>17729</t>
        </is>
      </c>
      <c r="B2036" s="45" t="inlineStr">
        <is>
          <t>19504</t>
        </is>
      </c>
      <c r="C2036" s="45" t="inlineStr">
        <is>
          <t>2×2×2×2×23×53</t>
        </is>
      </c>
      <c r="D2036" s="45" t="inlineStr">
        <is>
          <t>2</t>
        </is>
      </c>
      <c r="E2036" s="45" t="inlineStr"/>
      <c r="F2036" s="45" t="inlineStr"/>
    </row>
    <row r="2037" ht="13" customHeight="1">
      <c r="A2037" s="49" t="inlineStr">
        <is>
          <t>17737</t>
        </is>
      </c>
      <c r="B2037" s="49" t="inlineStr">
        <is>
          <t>6895</t>
        </is>
      </c>
      <c r="C2037" s="49" t="inlineStr">
        <is>
          <t>5×7×197</t>
        </is>
      </c>
      <c r="D2037" s="49" t="inlineStr">
        <is>
          <t>5·7</t>
        </is>
      </c>
      <c r="E2037" s="49" t="inlineStr"/>
      <c r="F2037" s="49" t="inlineStr"/>
    </row>
    <row r="2038" ht="13" customHeight="1">
      <c r="A2038" s="45" t="inlineStr">
        <is>
          <t>17747</t>
        </is>
      </c>
      <c r="B2038" s="45" t="inlineStr">
        <is>
          <t>41520</t>
        </is>
      </c>
      <c r="C2038" s="45" t="inlineStr">
        <is>
          <t>2×2×2×2×3×5×173</t>
        </is>
      </c>
      <c r="D2038" s="45" t="inlineStr">
        <is>
          <t>2·3·5</t>
        </is>
      </c>
      <c r="E2038" s="45" t="inlineStr"/>
      <c r="F2038" s="45" t="inlineStr"/>
    </row>
    <row r="2039" ht="13" customHeight="1">
      <c r="A2039" s="49" t="inlineStr">
        <is>
          <t>17749</t>
        </is>
      </c>
      <c r="B2039" s="49" t="inlineStr">
        <is>
          <t>36292</t>
        </is>
      </c>
      <c r="C2039" s="49" t="inlineStr">
        <is>
          <t>2×2×43×211</t>
        </is>
      </c>
      <c r="D2039" s="49" t="inlineStr">
        <is>
          <t>2</t>
        </is>
      </c>
      <c r="E2039" s="49" t="inlineStr"/>
      <c r="F2039" s="49" t="inlineStr"/>
    </row>
    <row r="2040" ht="13" customHeight="1">
      <c r="A2040" s="45" t="inlineStr">
        <is>
          <t>17761</t>
        </is>
      </c>
      <c r="B2040" s="45" t="inlineStr">
        <is>
          <t>38238</t>
        </is>
      </c>
      <c r="C2040" s="45" t="inlineStr">
        <is>
          <t>2×3×6373</t>
        </is>
      </c>
      <c r="D2040" s="45" t="inlineStr">
        <is>
          <t>2·3</t>
        </is>
      </c>
      <c r="E2040" s="45" t="inlineStr"/>
      <c r="F2040" s="45" t="inlineStr"/>
    </row>
    <row r="2041" ht="13" customHeight="1">
      <c r="A2041" s="49" t="inlineStr">
        <is>
          <t>17783</t>
        </is>
      </c>
      <c r="B2041" s="49" t="inlineStr">
        <is>
          <t>14070</t>
        </is>
      </c>
      <c r="C2041" s="49" t="inlineStr">
        <is>
          <t>2×3×5×7×67</t>
        </is>
      </c>
      <c r="D2041" s="49" t="inlineStr">
        <is>
          <t>2·3·5·7</t>
        </is>
      </c>
      <c r="E2041" s="49" t="inlineStr"/>
      <c r="F2041" s="49" t="inlineStr"/>
    </row>
    <row r="2042" ht="13" customHeight="1">
      <c r="A2042" s="45" t="inlineStr">
        <is>
          <t>17789</t>
        </is>
      </c>
      <c r="B2042" s="45" t="inlineStr">
        <is>
          <t>23444</t>
        </is>
      </c>
      <c r="C2042" s="45" t="inlineStr">
        <is>
          <t>2×2×5861</t>
        </is>
      </c>
      <c r="D2042" s="45" t="inlineStr">
        <is>
          <t>2</t>
        </is>
      </c>
      <c r="E2042" s="45" t="inlineStr"/>
      <c r="F2042" s="45" t="inlineStr"/>
    </row>
    <row r="2043" ht="13" customHeight="1">
      <c r="A2043" s="49" t="inlineStr">
        <is>
          <t>17791</t>
        </is>
      </c>
      <c r="B2043" s="49" t="inlineStr">
        <is>
          <t>25370</t>
        </is>
      </c>
      <c r="C2043" s="49" t="inlineStr">
        <is>
          <t>2×5×43×59</t>
        </is>
      </c>
      <c r="D2043" s="49" t="inlineStr">
        <is>
          <t>2·5</t>
        </is>
      </c>
      <c r="E2043" s="49" t="inlineStr"/>
      <c r="F2043" s="49" t="inlineStr"/>
    </row>
    <row r="2044" ht="13" customHeight="1">
      <c r="A2044" s="45" t="inlineStr">
        <is>
          <t>17807</t>
        </is>
      </c>
      <c r="B2044" s="45" t="inlineStr">
        <is>
          <t>38540</t>
        </is>
      </c>
      <c r="C2044" s="45" t="inlineStr">
        <is>
          <t>2×2×5×41×47</t>
        </is>
      </c>
      <c r="D2044" s="45" t="inlineStr">
        <is>
          <t>2·5</t>
        </is>
      </c>
      <c r="E2044" s="45" t="inlineStr"/>
      <c r="F2044" s="45" t="inlineStr"/>
    </row>
    <row r="2045" ht="13" customHeight="1">
      <c r="A2045" s="51" t="inlineStr">
        <is>
          <t>17827</t>
        </is>
      </c>
      <c r="B2045" s="51" t="inlineStr">
        <is>
          <t>16340</t>
        </is>
      </c>
      <c r="C2045" s="51" t="inlineStr">
        <is>
          <t>2×2×5×19×43</t>
        </is>
      </c>
      <c r="D2045" s="51" t="inlineStr">
        <is>
          <t>2·5·19</t>
        </is>
      </c>
      <c r="E2045" s="51" t="inlineStr"/>
      <c r="F2045" s="51" t="inlineStr"/>
    </row>
    <row r="2046" ht="13" customHeight="1">
      <c r="A2046" s="45" t="inlineStr">
        <is>
          <t>17837</t>
        </is>
      </c>
      <c r="B2046" s="45" t="inlineStr">
        <is>
          <t>40047</t>
        </is>
      </c>
      <c r="C2046" s="45" t="inlineStr">
        <is>
          <t>3×7×1907</t>
        </is>
      </c>
      <c r="D2046" s="45" t="inlineStr">
        <is>
          <t>3·7</t>
        </is>
      </c>
      <c r="E2046" s="45" t="inlineStr"/>
      <c r="F2046" s="45" t="inlineStr"/>
    </row>
    <row r="2047" ht="13" customHeight="1">
      <c r="A2047" s="49" t="inlineStr">
        <is>
          <t>17839</t>
        </is>
      </c>
      <c r="B2047" s="49" t="inlineStr">
        <is>
          <t>15779</t>
        </is>
      </c>
      <c r="C2047" s="49" t="inlineStr">
        <is>
          <t>31×509</t>
        </is>
      </c>
      <c r="D2047" s="49" t="inlineStr">
        <is>
          <t>—</t>
        </is>
      </c>
      <c r="E2047" s="49" t="inlineStr"/>
      <c r="F2047" s="49" t="inlineStr"/>
    </row>
    <row r="2048" ht="13" customHeight="1">
      <c r="A2048" s="45" t="inlineStr">
        <is>
          <t>17851</t>
        </is>
      </c>
      <c r="B2048" s="45" t="inlineStr">
        <is>
          <t>8044</t>
        </is>
      </c>
      <c r="C2048" s="45" t="inlineStr">
        <is>
          <t>2×2×2011</t>
        </is>
      </c>
      <c r="D2048" s="45" t="inlineStr">
        <is>
          <t>2</t>
        </is>
      </c>
      <c r="E2048" s="45" t="inlineStr"/>
      <c r="F2048" s="45" t="inlineStr"/>
    </row>
    <row r="2049" ht="13" customHeight="1">
      <c r="A2049" s="49" t="inlineStr">
        <is>
          <t>17863</t>
        </is>
      </c>
      <c r="B2049" s="49" t="inlineStr">
        <is>
          <t>33216</t>
        </is>
      </c>
      <c r="C2049" s="49" t="inlineStr">
        <is>
          <t>2×2×2×2×2×2×3×173</t>
        </is>
      </c>
      <c r="D2049" s="49" t="inlineStr">
        <is>
          <t>2·3</t>
        </is>
      </c>
      <c r="E2049" s="49" t="inlineStr"/>
      <c r="F2049" s="49" t="inlineStr"/>
    </row>
    <row r="2050" ht="13" customHeight="1">
      <c r="A2050" s="45" t="inlineStr">
        <is>
          <t>17881</t>
        </is>
      </c>
      <c r="B2050" s="45" t="inlineStr">
        <is>
          <t>2598</t>
        </is>
      </c>
      <c r="C2050" s="45" t="inlineStr">
        <is>
          <t>2×3×433</t>
        </is>
      </c>
      <c r="D2050" s="45" t="inlineStr">
        <is>
          <t>2·3</t>
        </is>
      </c>
      <c r="E2050" s="45" t="inlineStr"/>
      <c r="F2050" s="45" t="inlineStr"/>
    </row>
    <row r="2051" ht="13" customHeight="1">
      <c r="A2051" s="49" t="inlineStr">
        <is>
          <t>17891</t>
        </is>
      </c>
      <c r="B2051" s="49" t="inlineStr">
        <is>
          <t>32427</t>
        </is>
      </c>
      <c r="C2051" s="49" t="inlineStr">
        <is>
          <t>3×3×3×1201</t>
        </is>
      </c>
      <c r="D2051" s="49" t="inlineStr">
        <is>
          <t>3</t>
        </is>
      </c>
      <c r="E2051" s="49" t="inlineStr"/>
      <c r="F2051" s="49" t="inlineStr"/>
    </row>
    <row r="2052" ht="13" customHeight="1">
      <c r="A2052" s="45" t="inlineStr">
        <is>
          <t>17903</t>
        </is>
      </c>
      <c r="B2052" s="45" t="inlineStr">
        <is>
          <t>20652</t>
        </is>
      </c>
      <c r="C2052" s="45" t="inlineStr">
        <is>
          <t>2×2×3×1721</t>
        </is>
      </c>
      <c r="D2052" s="45" t="inlineStr">
        <is>
          <t>2·3</t>
        </is>
      </c>
      <c r="E2052" s="45" t="inlineStr"/>
      <c r="F2052" s="45" t="inlineStr"/>
    </row>
    <row r="2053" ht="13" customHeight="1">
      <c r="A2053" s="50" t="inlineStr">
        <is>
          <t>17909</t>
        </is>
      </c>
      <c r="B2053" s="50" t="inlineStr">
        <is>
          <t>39419</t>
        </is>
      </c>
      <c r="C2053" s="50" t="inlineStr">
        <is>
          <t>39419</t>
        </is>
      </c>
      <c r="D2053" s="50" t="inlineStr">
        <is>
          <t>—</t>
        </is>
      </c>
      <c r="E2053" s="50" t="inlineStr"/>
      <c r="F2053" s="50" t="inlineStr"/>
    </row>
    <row r="2054" ht="13" customHeight="1">
      <c r="A2054" s="45" t="inlineStr">
        <is>
          <t>17911</t>
        </is>
      </c>
      <c r="B2054" s="45" t="inlineStr">
        <is>
          <t>35946</t>
        </is>
      </c>
      <c r="C2054" s="45" t="inlineStr">
        <is>
          <t>2×3×3×1997</t>
        </is>
      </c>
      <c r="D2054" s="45" t="inlineStr">
        <is>
          <t>2·3</t>
        </is>
      </c>
      <c r="E2054" s="45" t="inlineStr"/>
      <c r="F2054" s="45" t="inlineStr"/>
    </row>
    <row r="2055" ht="13" customHeight="1">
      <c r="A2055" s="41" t="inlineStr">
        <is>
          <t>17921</t>
        </is>
      </c>
      <c r="B2055" s="41" t="inlineStr">
        <is>
          <t>37196</t>
        </is>
      </c>
      <c r="C2055" s="41" t="inlineStr">
        <is>
          <t>2×2×17×547</t>
        </is>
      </c>
      <c r="D2055" s="41" t="inlineStr">
        <is>
          <t>2·17</t>
        </is>
      </c>
      <c r="E2055" s="41" t="inlineStr"/>
      <c r="F2055" s="41" t="inlineStr"/>
    </row>
    <row r="2056" ht="13" customHeight="1">
      <c r="A2056" s="41" t="inlineStr">
        <is>
          <t>17923</t>
        </is>
      </c>
      <c r="B2056" s="41" t="inlineStr">
        <is>
          <t>1581</t>
        </is>
      </c>
      <c r="C2056" s="41" t="inlineStr">
        <is>
          <t>3×17×31</t>
        </is>
      </c>
      <c r="D2056" s="41" t="inlineStr">
        <is>
          <t>3·17</t>
        </is>
      </c>
      <c r="E2056" s="41" t="inlineStr"/>
      <c r="F2056" s="41" t="inlineStr"/>
    </row>
    <row r="2057" ht="13" customHeight="1">
      <c r="A2057" s="43" t="inlineStr">
        <is>
          <t>17929</t>
        </is>
      </c>
      <c r="B2057" s="43" t="inlineStr">
        <is>
          <t>42174</t>
        </is>
      </c>
      <c r="C2057" s="43" t="inlineStr">
        <is>
          <t>2×3×3×3×11×71</t>
        </is>
      </c>
      <c r="D2057" s="43" t="inlineStr">
        <is>
          <t>2·3·11</t>
        </is>
      </c>
      <c r="E2057" s="43" t="inlineStr"/>
      <c r="F2057" s="43" t="inlineStr"/>
    </row>
    <row r="2058" ht="13" customHeight="1">
      <c r="A2058" s="45" t="inlineStr">
        <is>
          <t>17939</t>
        </is>
      </c>
      <c r="B2058" s="45" t="inlineStr">
        <is>
          <t>11377</t>
        </is>
      </c>
      <c r="C2058" s="45" t="inlineStr">
        <is>
          <t>31×367</t>
        </is>
      </c>
      <c r="D2058" s="45" t="inlineStr">
        <is>
          <t>—</t>
        </is>
      </c>
      <c r="E2058" s="45" t="inlineStr"/>
      <c r="F2058" s="45" t="inlineStr"/>
    </row>
    <row r="2059" ht="13" customHeight="1">
      <c r="A2059" s="50" t="inlineStr">
        <is>
          <t>17957</t>
        </is>
      </c>
      <c r="B2059" s="50" t="inlineStr">
        <is>
          <t>14713</t>
        </is>
      </c>
      <c r="C2059" s="50" t="inlineStr">
        <is>
          <t>14713</t>
        </is>
      </c>
      <c r="D2059" s="50" t="inlineStr">
        <is>
          <t>—</t>
        </is>
      </c>
      <c r="E2059" s="50" t="inlineStr"/>
      <c r="F2059" s="50" t="inlineStr"/>
    </row>
    <row r="2060" ht="13" customHeight="1">
      <c r="A2060" s="41" t="inlineStr">
        <is>
          <t>17959</t>
        </is>
      </c>
      <c r="B2060" s="41" t="inlineStr">
        <is>
          <t>32521</t>
        </is>
      </c>
      <c r="C2060" s="41" t="inlineStr">
        <is>
          <t>17×1913</t>
        </is>
      </c>
      <c r="D2060" s="41" t="inlineStr">
        <is>
          <t>17</t>
        </is>
      </c>
      <c r="E2060" s="41" t="inlineStr"/>
      <c r="F2060" s="41" t="inlineStr"/>
    </row>
    <row r="2061" ht="13" customHeight="1">
      <c r="A2061" s="49" t="inlineStr">
        <is>
          <t>17971</t>
        </is>
      </c>
      <c r="B2061" s="49" t="inlineStr">
        <is>
          <t>18067</t>
        </is>
      </c>
      <c r="C2061" s="49" t="inlineStr">
        <is>
          <t>7×29×89</t>
        </is>
      </c>
      <c r="D2061" s="49" t="inlineStr">
        <is>
          <t>7</t>
        </is>
      </c>
      <c r="E2061" s="49" t="inlineStr"/>
      <c r="F2061" s="49" t="inlineStr"/>
    </row>
    <row r="2062" ht="13" customHeight="1">
      <c r="A2062" s="43" t="inlineStr">
        <is>
          <t>17977</t>
        </is>
      </c>
      <c r="B2062" s="43" t="inlineStr">
        <is>
          <t>1639</t>
        </is>
      </c>
      <c r="C2062" s="43" t="inlineStr">
        <is>
          <t>11×149</t>
        </is>
      </c>
      <c r="D2062" s="43" t="inlineStr">
        <is>
          <t>11</t>
        </is>
      </c>
      <c r="E2062" s="43" t="inlineStr"/>
      <c r="F2062" s="43" t="inlineStr"/>
    </row>
    <row r="2063" ht="13" customHeight="1">
      <c r="A2063" s="49" t="inlineStr">
        <is>
          <t>17981</t>
        </is>
      </c>
      <c r="B2063" s="49" t="inlineStr">
        <is>
          <t>8318</t>
        </is>
      </c>
      <c r="C2063" s="49" t="inlineStr">
        <is>
          <t>2×4159</t>
        </is>
      </c>
      <c r="D2063" s="49" t="inlineStr">
        <is>
          <t>2</t>
        </is>
      </c>
      <c r="E2063" s="49" t="inlineStr"/>
      <c r="F2063" s="49" t="inlineStr"/>
    </row>
    <row r="2064" ht="13" customHeight="1">
      <c r="A2064" s="50" t="inlineStr">
        <is>
          <t>17987</t>
        </is>
      </c>
      <c r="B2064" s="50" t="inlineStr">
        <is>
          <t>26347</t>
        </is>
      </c>
      <c r="C2064" s="50" t="inlineStr">
        <is>
          <t>26347</t>
        </is>
      </c>
      <c r="D2064" s="50" t="inlineStr">
        <is>
          <t>—</t>
        </is>
      </c>
      <c r="E2064" s="50" t="inlineStr"/>
      <c r="F2064" s="50" t="inlineStr"/>
    </row>
    <row r="2065" ht="13" customHeight="1">
      <c r="A2065" s="51" t="inlineStr">
        <is>
          <t>17989</t>
        </is>
      </c>
      <c r="B2065" s="51" t="inlineStr">
        <is>
          <t>33611</t>
        </is>
      </c>
      <c r="C2065" s="51" t="inlineStr">
        <is>
          <t>19×29×61</t>
        </is>
      </c>
      <c r="D2065" s="51" t="inlineStr">
        <is>
          <t>19</t>
        </is>
      </c>
      <c r="E2065" s="51" t="inlineStr"/>
      <c r="F2065" s="51" t="inlineStr"/>
    </row>
    <row r="2066" ht="13" customHeight="1">
      <c r="A2066" s="45" t="inlineStr">
        <is>
          <t>18013</t>
        </is>
      </c>
      <c r="B2066" s="45" t="inlineStr">
        <is>
          <t>32068</t>
        </is>
      </c>
      <c r="C2066" s="45" t="inlineStr">
        <is>
          <t>2×2×8017</t>
        </is>
      </c>
      <c r="D2066" s="45" t="inlineStr">
        <is>
          <t>2</t>
        </is>
      </c>
      <c r="E2066" s="45" t="inlineStr"/>
      <c r="F2066" s="45" t="inlineStr"/>
    </row>
    <row r="2067" ht="13" customHeight="1">
      <c r="A2067" s="50" t="inlineStr">
        <is>
          <t>18041</t>
        </is>
      </c>
      <c r="B2067" s="50" t="inlineStr">
        <is>
          <t>40597</t>
        </is>
      </c>
      <c r="C2067" s="50" t="inlineStr">
        <is>
          <t>40597</t>
        </is>
      </c>
      <c r="D2067" s="50" t="inlineStr">
        <is>
          <t>—</t>
        </is>
      </c>
      <c r="E2067" s="50" t="inlineStr"/>
      <c r="F2067" s="50" t="inlineStr"/>
    </row>
    <row r="2068" ht="13" customHeight="1">
      <c r="A2068" s="45" t="inlineStr">
        <is>
          <t>18043</t>
        </is>
      </c>
      <c r="B2068" s="45" t="inlineStr">
        <is>
          <t>24800</t>
        </is>
      </c>
      <c r="C2068" s="45" t="inlineStr">
        <is>
          <t>2×2×2×2×2×5×5×31</t>
        </is>
      </c>
      <c r="D2068" s="45" t="inlineStr">
        <is>
          <t>2·5</t>
        </is>
      </c>
      <c r="E2068" s="45" t="inlineStr"/>
      <c r="F2068" s="45" t="inlineStr"/>
    </row>
    <row r="2069" ht="13" customHeight="1">
      <c r="A2069" s="49" t="inlineStr">
        <is>
          <t>18047</t>
        </is>
      </c>
      <c r="B2069" s="49" t="inlineStr">
        <is>
          <t>5374</t>
        </is>
      </c>
      <c r="C2069" s="49" t="inlineStr">
        <is>
          <t>2×2687</t>
        </is>
      </c>
      <c r="D2069" s="49" t="inlineStr">
        <is>
          <t>2</t>
        </is>
      </c>
      <c r="E2069" s="49" t="inlineStr"/>
      <c r="F2069" s="49" t="inlineStr"/>
    </row>
    <row r="2070" ht="13" customHeight="1">
      <c r="A2070" s="43" t="inlineStr">
        <is>
          <t>18049</t>
        </is>
      </c>
      <c r="B2070" s="43" t="inlineStr">
        <is>
          <t>4961</t>
        </is>
      </c>
      <c r="C2070" s="43" t="inlineStr">
        <is>
          <t>11×11×41</t>
        </is>
      </c>
      <c r="D2070" s="43" t="inlineStr">
        <is>
          <t>11</t>
        </is>
      </c>
      <c r="E2070" s="43" t="inlineStr"/>
      <c r="F2070" s="43" t="inlineStr"/>
    </row>
    <row r="2071" ht="13" customHeight="1">
      <c r="A2071" s="49" t="inlineStr">
        <is>
          <t>18059</t>
        </is>
      </c>
      <c r="B2071" s="49" t="inlineStr">
        <is>
          <t>6471</t>
        </is>
      </c>
      <c r="C2071" s="49" t="inlineStr">
        <is>
          <t>3×3×719</t>
        </is>
      </c>
      <c r="D2071" s="49" t="inlineStr">
        <is>
          <t>3</t>
        </is>
      </c>
      <c r="E2071" s="49" t="inlineStr"/>
      <c r="F2071" s="49" t="inlineStr"/>
    </row>
    <row r="2072" ht="13" customHeight="1">
      <c r="A2072" s="50" t="inlineStr">
        <is>
          <t>18061</t>
        </is>
      </c>
      <c r="B2072" s="50" t="inlineStr">
        <is>
          <t>10957</t>
        </is>
      </c>
      <c r="C2072" s="50" t="inlineStr">
        <is>
          <t>10957</t>
        </is>
      </c>
      <c r="D2072" s="50" t="inlineStr">
        <is>
          <t>—</t>
        </is>
      </c>
      <c r="E2072" s="50" t="inlineStr"/>
      <c r="F2072" s="50" t="inlineStr"/>
    </row>
    <row r="2073" ht="13" customHeight="1">
      <c r="A2073" s="41" t="inlineStr">
        <is>
          <t>18077</t>
        </is>
      </c>
      <c r="B2073" s="41" t="inlineStr">
        <is>
          <t>23478</t>
        </is>
      </c>
      <c r="C2073" s="41" t="inlineStr">
        <is>
          <t>2×3×7×13×43</t>
        </is>
      </c>
      <c r="D2073" s="41" t="inlineStr">
        <is>
          <t>2·3·7·13</t>
        </is>
      </c>
      <c r="E2073" s="41" t="inlineStr"/>
      <c r="F2073" s="41" t="inlineStr"/>
    </row>
    <row r="2074" ht="13" customHeight="1">
      <c r="A2074" s="45" t="inlineStr">
        <is>
          <t>18089</t>
        </is>
      </c>
      <c r="B2074" s="45" t="inlineStr">
        <is>
          <t>16930</t>
        </is>
      </c>
      <c r="C2074" s="45" t="inlineStr">
        <is>
          <t>2×5×1693</t>
        </is>
      </c>
      <c r="D2074" s="45" t="inlineStr">
        <is>
          <t>2·5</t>
        </is>
      </c>
      <c r="E2074" s="45" t="inlineStr"/>
      <c r="F2074" s="45" t="inlineStr"/>
    </row>
    <row r="2075" ht="13" customHeight="1">
      <c r="A2075" s="49" t="inlineStr">
        <is>
          <t>18097</t>
        </is>
      </c>
      <c r="B2075" s="49" t="inlineStr">
        <is>
          <t>15308</t>
        </is>
      </c>
      <c r="C2075" s="49" t="inlineStr">
        <is>
          <t>2×2×43×89</t>
        </is>
      </c>
      <c r="D2075" s="49" t="inlineStr">
        <is>
          <t>2</t>
        </is>
      </c>
      <c r="E2075" s="49" t="inlineStr"/>
      <c r="F2075" s="49" t="inlineStr"/>
    </row>
    <row r="2076" ht="13" customHeight="1">
      <c r="A2076" s="45" t="inlineStr">
        <is>
          <t>18119</t>
        </is>
      </c>
      <c r="B2076" s="45" t="inlineStr">
        <is>
          <t>9259</t>
        </is>
      </c>
      <c r="C2076" s="45" t="inlineStr">
        <is>
          <t>47×197</t>
        </is>
      </c>
      <c r="D2076" s="45" t="inlineStr">
        <is>
          <t>—</t>
        </is>
      </c>
      <c r="E2076" s="45" t="inlineStr"/>
      <c r="F2076" s="45" t="inlineStr"/>
    </row>
    <row r="2077" ht="13" customHeight="1">
      <c r="A2077" s="49" t="inlineStr">
        <is>
          <t>18121</t>
        </is>
      </c>
      <c r="B2077" s="49" t="inlineStr">
        <is>
          <t>345</t>
        </is>
      </c>
      <c r="C2077" s="49" t="inlineStr">
        <is>
          <t>3×5×23</t>
        </is>
      </c>
      <c r="D2077" s="49" t="inlineStr">
        <is>
          <t>3·5</t>
        </is>
      </c>
      <c r="E2077" s="49" t="inlineStr"/>
      <c r="F2077" s="49" t="inlineStr"/>
    </row>
    <row r="2078" ht="13" customHeight="1">
      <c r="A2078" s="41" t="inlineStr">
        <is>
          <t>18127</t>
        </is>
      </c>
      <c r="B2078" s="41" t="inlineStr">
        <is>
          <t>28220</t>
        </is>
      </c>
      <c r="C2078" s="41" t="inlineStr">
        <is>
          <t>2×2×5×17×83</t>
        </is>
      </c>
      <c r="D2078" s="41" t="inlineStr">
        <is>
          <t>2·5·17</t>
        </is>
      </c>
      <c r="E2078" s="41" t="inlineStr"/>
      <c r="F2078" s="41" t="inlineStr"/>
    </row>
    <row r="2079" ht="13" customHeight="1">
      <c r="A2079" s="49" t="inlineStr">
        <is>
          <t>18131</t>
        </is>
      </c>
      <c r="B2079" s="49" t="inlineStr">
        <is>
          <t>4577</t>
        </is>
      </c>
      <c r="C2079" s="49" t="inlineStr">
        <is>
          <t>23×199</t>
        </is>
      </c>
      <c r="D2079" s="49" t="inlineStr">
        <is>
          <t>—</t>
        </is>
      </c>
      <c r="E2079" s="49" t="inlineStr"/>
      <c r="F2079" s="49" t="inlineStr"/>
    </row>
    <row r="2080" ht="13" customHeight="1">
      <c r="A2080" s="50" t="inlineStr">
        <is>
          <t>18133</t>
        </is>
      </c>
      <c r="B2080" s="50" t="inlineStr">
        <is>
          <t>24421</t>
        </is>
      </c>
      <c r="C2080" s="50" t="inlineStr">
        <is>
          <t>24421</t>
        </is>
      </c>
      <c r="D2080" s="50" t="inlineStr">
        <is>
          <t>—</t>
        </is>
      </c>
      <c r="E2080" s="50" t="inlineStr"/>
      <c r="F2080" s="50" t="inlineStr"/>
    </row>
    <row r="2081" ht="13" customHeight="1">
      <c r="A2081" s="49" t="inlineStr">
        <is>
          <t>18143</t>
        </is>
      </c>
      <c r="B2081" s="49" t="inlineStr">
        <is>
          <t>21266</t>
        </is>
      </c>
      <c r="C2081" s="49" t="inlineStr">
        <is>
          <t>2×7×7×7×31</t>
        </is>
      </c>
      <c r="D2081" s="49" t="inlineStr">
        <is>
          <t>2·7</t>
        </is>
      </c>
      <c r="E2081" s="49" t="inlineStr"/>
      <c r="F2081" s="49" t="inlineStr"/>
    </row>
    <row r="2082" ht="13" customHeight="1">
      <c r="A2082" s="45" t="inlineStr">
        <is>
          <t>18149</t>
        </is>
      </c>
      <c r="B2082" s="45" t="inlineStr">
        <is>
          <t>11075</t>
        </is>
      </c>
      <c r="C2082" s="45" t="inlineStr">
        <is>
          <t>5×5×443</t>
        </is>
      </c>
      <c r="D2082" s="45" t="inlineStr">
        <is>
          <t>5</t>
        </is>
      </c>
      <c r="E2082" s="45" t="inlineStr"/>
      <c r="F2082" s="45" t="inlineStr"/>
    </row>
    <row r="2083" ht="13" customHeight="1">
      <c r="A2083" s="49" t="inlineStr">
        <is>
          <t>18169</t>
        </is>
      </c>
      <c r="B2083" s="49" t="inlineStr">
        <is>
          <t>39713</t>
        </is>
      </c>
      <c r="C2083" s="49" t="inlineStr">
        <is>
          <t>151×263</t>
        </is>
      </c>
      <c r="D2083" s="49" t="inlineStr">
        <is>
          <t>—</t>
        </is>
      </c>
      <c r="E2083" s="49" t="inlineStr"/>
      <c r="F2083" s="49" t="inlineStr"/>
    </row>
    <row r="2084" ht="13" customHeight="1">
      <c r="A2084" s="43" t="inlineStr">
        <is>
          <t>18181</t>
        </is>
      </c>
      <c r="B2084" s="43" t="inlineStr">
        <is>
          <t>18777</t>
        </is>
      </c>
      <c r="C2084" s="43" t="inlineStr">
        <is>
          <t>3×11×569</t>
        </is>
      </c>
      <c r="D2084" s="43" t="inlineStr">
        <is>
          <t>3·11</t>
        </is>
      </c>
      <c r="E2084" s="43" t="inlineStr"/>
      <c r="F2084" s="43" t="inlineStr"/>
    </row>
    <row r="2085" ht="13" customHeight="1">
      <c r="A2085" s="49" t="inlineStr">
        <is>
          <t>18191</t>
        </is>
      </c>
      <c r="B2085" s="49" t="inlineStr">
        <is>
          <t>9076</t>
        </is>
      </c>
      <c r="C2085" s="49" t="inlineStr">
        <is>
          <t>2×2×2269</t>
        </is>
      </c>
      <c r="D2085" s="49" t="inlineStr">
        <is>
          <t>2</t>
        </is>
      </c>
      <c r="E2085" s="49" t="inlineStr"/>
      <c r="F2085" s="49" t="inlineStr"/>
    </row>
    <row r="2086" ht="13" customHeight="1">
      <c r="A2086" s="45" t="inlineStr">
        <is>
          <t>18199</t>
        </is>
      </c>
      <c r="B2086" s="45" t="inlineStr">
        <is>
          <t>37385</t>
        </is>
      </c>
      <c r="C2086" s="45" t="inlineStr">
        <is>
          <t>5×7477</t>
        </is>
      </c>
      <c r="D2086" s="45" t="inlineStr">
        <is>
          <t>5</t>
        </is>
      </c>
      <c r="E2086" s="45" t="inlineStr"/>
      <c r="F2086" s="45" t="inlineStr"/>
    </row>
    <row r="2087" ht="13" customHeight="1">
      <c r="A2087" s="49" t="inlineStr">
        <is>
          <t>18211</t>
        </is>
      </c>
      <c r="B2087" s="49" t="inlineStr">
        <is>
          <t>18042</t>
        </is>
      </c>
      <c r="C2087" s="49" t="inlineStr">
        <is>
          <t>2×3×31×97</t>
        </is>
      </c>
      <c r="D2087" s="49" t="inlineStr">
        <is>
          <t>2·3</t>
        </is>
      </c>
      <c r="E2087" s="49" t="inlineStr"/>
      <c r="F2087" s="49" t="inlineStr"/>
    </row>
    <row r="2088" ht="13" customHeight="1">
      <c r="A2088" s="45" t="inlineStr">
        <is>
          <t>18217</t>
        </is>
      </c>
      <c r="B2088" s="45" t="inlineStr">
        <is>
          <t>41984</t>
        </is>
      </c>
      <c r="C2088" s="45" t="inlineStr">
        <is>
          <t>2×2×2×2×2×2×2×2×2×2×41</t>
        </is>
      </c>
      <c r="D2088" s="45" t="inlineStr">
        <is>
          <t>2</t>
        </is>
      </c>
      <c r="E2088" s="45" t="inlineStr"/>
      <c r="F2088" s="45" t="inlineStr"/>
    </row>
    <row r="2089" ht="13" customHeight="1">
      <c r="A2089" s="51" t="inlineStr">
        <is>
          <t>18223</t>
        </is>
      </c>
      <c r="B2089" s="51" t="inlineStr">
        <is>
          <t>25669</t>
        </is>
      </c>
      <c r="C2089" s="51" t="inlineStr">
        <is>
          <t>7×19×193</t>
        </is>
      </c>
      <c r="D2089" s="51" t="inlineStr">
        <is>
          <t>7·19</t>
        </is>
      </c>
      <c r="E2089" s="51" t="inlineStr"/>
      <c r="F2089" s="51" t="inlineStr"/>
    </row>
    <row r="2090" ht="13" customHeight="1">
      <c r="A2090" s="45" t="inlineStr">
        <is>
          <t>18229</t>
        </is>
      </c>
      <c r="B2090" s="45" t="inlineStr">
        <is>
          <t>30840</t>
        </is>
      </c>
      <c r="C2090" s="45" t="inlineStr">
        <is>
          <t>2×2×2×3×5×257</t>
        </is>
      </c>
      <c r="D2090" s="45" t="inlineStr">
        <is>
          <t>2·3·5</t>
        </is>
      </c>
      <c r="E2090" s="45" t="inlineStr"/>
      <c r="F2090" s="45" t="inlineStr"/>
    </row>
    <row r="2091" ht="13" customHeight="1">
      <c r="A2091" s="49" t="inlineStr">
        <is>
          <t>18233</t>
        </is>
      </c>
      <c r="B2091" s="49" t="inlineStr">
        <is>
          <t>17300</t>
        </is>
      </c>
      <c r="C2091" s="49" t="inlineStr">
        <is>
          <t>2×2×5×5×173</t>
        </is>
      </c>
      <c r="D2091" s="49" t="inlineStr">
        <is>
          <t>2·5</t>
        </is>
      </c>
      <c r="E2091" s="49" t="inlineStr"/>
      <c r="F2091" s="49" t="inlineStr"/>
    </row>
    <row r="2092" ht="13" customHeight="1">
      <c r="A2092" s="45" t="inlineStr">
        <is>
          <t>18251</t>
        </is>
      </c>
      <c r="B2092" s="45" t="inlineStr">
        <is>
          <t>22080</t>
        </is>
      </c>
      <c r="C2092" s="45" t="inlineStr">
        <is>
          <t>2×2×2×2×2×2×3×5×23</t>
        </is>
      </c>
      <c r="D2092" s="45" t="inlineStr">
        <is>
          <t>2·3·5</t>
        </is>
      </c>
      <c r="E2092" s="45" t="inlineStr"/>
      <c r="F2092" s="45" t="inlineStr"/>
    </row>
    <row r="2093" ht="13" customHeight="1">
      <c r="A2093" s="49" t="inlineStr">
        <is>
          <t>18253</t>
        </is>
      </c>
      <c r="B2093" s="49" t="inlineStr">
        <is>
          <t>13837</t>
        </is>
      </c>
      <c r="C2093" s="49" t="inlineStr">
        <is>
          <t>101×137</t>
        </is>
      </c>
      <c r="D2093" s="49" t="inlineStr">
        <is>
          <t>—</t>
        </is>
      </c>
      <c r="E2093" s="49" t="inlineStr"/>
      <c r="F2093" s="49" t="inlineStr"/>
    </row>
    <row r="2094" ht="13" customHeight="1">
      <c r="A2094" s="45" t="inlineStr">
        <is>
          <t>18257</t>
        </is>
      </c>
      <c r="B2094" s="45" t="inlineStr">
        <is>
          <t>10801</t>
        </is>
      </c>
      <c r="C2094" s="45" t="inlineStr">
        <is>
          <t>7×1543</t>
        </is>
      </c>
      <c r="D2094" s="45" t="inlineStr">
        <is>
          <t>7</t>
        </is>
      </c>
      <c r="E2094" s="45" t="inlineStr"/>
      <c r="F2094" s="45" t="inlineStr"/>
    </row>
    <row r="2095" ht="13" customHeight="1">
      <c r="A2095" s="49" t="inlineStr">
        <is>
          <t>18269</t>
        </is>
      </c>
      <c r="B2095" s="49" t="inlineStr">
        <is>
          <t>28172</t>
        </is>
      </c>
      <c r="C2095" s="49" t="inlineStr">
        <is>
          <t>2×2×7043</t>
        </is>
      </c>
      <c r="D2095" s="49" t="inlineStr">
        <is>
          <t>2</t>
        </is>
      </c>
      <c r="E2095" s="49" t="inlineStr"/>
      <c r="F2095" s="49" t="inlineStr"/>
    </row>
    <row r="2096" ht="13" customHeight="1">
      <c r="A2096" s="45" t="inlineStr">
        <is>
          <t>18287</t>
        </is>
      </c>
      <c r="B2096" s="45" t="inlineStr">
        <is>
          <t>20275</t>
        </is>
      </c>
      <c r="C2096" s="45" t="inlineStr">
        <is>
          <t>5×5×811</t>
        </is>
      </c>
      <c r="D2096" s="45" t="inlineStr">
        <is>
          <t>5</t>
        </is>
      </c>
      <c r="E2096" s="45" t="inlineStr"/>
      <c r="F2096" s="45" t="inlineStr"/>
    </row>
    <row r="2097" ht="13" customHeight="1">
      <c r="A2097" s="50" t="inlineStr">
        <is>
          <t>18289</t>
        </is>
      </c>
      <c r="B2097" s="50" t="inlineStr">
        <is>
          <t>4937</t>
        </is>
      </c>
      <c r="C2097" s="50" t="inlineStr">
        <is>
          <t>4937</t>
        </is>
      </c>
      <c r="D2097" s="50" t="inlineStr">
        <is>
          <t>—</t>
        </is>
      </c>
      <c r="E2097" s="50" t="inlineStr"/>
      <c r="F2097" s="50" t="inlineStr"/>
    </row>
    <row r="2098" ht="13" customHeight="1">
      <c r="A2098" s="45" t="inlineStr">
        <is>
          <t>18301</t>
        </is>
      </c>
      <c r="B2098" s="45" t="inlineStr">
        <is>
          <t>23354</t>
        </is>
      </c>
      <c r="C2098" s="45" t="inlineStr">
        <is>
          <t>2×11677</t>
        </is>
      </c>
      <c r="D2098" s="45" t="inlineStr">
        <is>
          <t>2</t>
        </is>
      </c>
      <c r="E2098" s="45" t="inlineStr"/>
      <c r="F2098" s="45" t="inlineStr"/>
    </row>
    <row r="2099" ht="13" customHeight="1">
      <c r="A2099" s="41" t="inlineStr">
        <is>
          <t>18307</t>
        </is>
      </c>
      <c r="B2099" s="41" t="inlineStr">
        <is>
          <t>21930</t>
        </is>
      </c>
      <c r="C2099" s="41" t="inlineStr">
        <is>
          <t>2×3×5×17×43</t>
        </is>
      </c>
      <c r="D2099" s="41" t="inlineStr">
        <is>
          <t>2·3·5·17</t>
        </is>
      </c>
      <c r="E2099" s="41" t="inlineStr"/>
      <c r="F2099" s="41" t="inlineStr"/>
    </row>
    <row r="2100" ht="13" customHeight="1">
      <c r="A2100" s="45" t="inlineStr">
        <is>
          <t>18311</t>
        </is>
      </c>
      <c r="B2100" s="45" t="inlineStr">
        <is>
          <t>13826</t>
        </is>
      </c>
      <c r="C2100" s="45" t="inlineStr">
        <is>
          <t>2×31×223</t>
        </is>
      </c>
      <c r="D2100" s="45" t="inlineStr">
        <is>
          <t>2</t>
        </is>
      </c>
      <c r="E2100" s="45" t="inlineStr"/>
      <c r="F2100" s="45" t="inlineStr"/>
    </row>
    <row r="2101" ht="13" customHeight="1">
      <c r="A2101" s="49" t="inlineStr">
        <is>
          <t>18313</t>
        </is>
      </c>
      <c r="B2101" s="49" t="inlineStr">
        <is>
          <t>14471</t>
        </is>
      </c>
      <c r="C2101" s="49" t="inlineStr">
        <is>
          <t>29×499</t>
        </is>
      </c>
      <c r="D2101" s="49" t="inlineStr">
        <is>
          <t>—</t>
        </is>
      </c>
      <c r="E2101" s="49" t="inlineStr"/>
      <c r="F2101" s="49" t="inlineStr"/>
    </row>
    <row r="2102" ht="13" customHeight="1">
      <c r="A2102" s="45" t="inlineStr">
        <is>
          <t>18329</t>
        </is>
      </c>
      <c r="B2102" s="45" t="inlineStr">
        <is>
          <t>26815</t>
        </is>
      </c>
      <c r="C2102" s="45" t="inlineStr">
        <is>
          <t>5×31×173</t>
        </is>
      </c>
      <c r="D2102" s="45" t="inlineStr">
        <is>
          <t>5</t>
        </is>
      </c>
      <c r="E2102" s="45" t="inlineStr"/>
      <c r="F2102" s="45" t="inlineStr"/>
    </row>
    <row r="2103" ht="13" customHeight="1">
      <c r="A2103" s="50" t="inlineStr">
        <is>
          <t>18341</t>
        </is>
      </c>
      <c r="B2103" s="50" t="inlineStr">
        <is>
          <t>34949</t>
        </is>
      </c>
      <c r="C2103" s="50" t="inlineStr">
        <is>
          <t>34949</t>
        </is>
      </c>
      <c r="D2103" s="50" t="inlineStr">
        <is>
          <t>—</t>
        </is>
      </c>
      <c r="E2103" s="50" t="inlineStr"/>
      <c r="F2103" s="50" t="inlineStr"/>
    </row>
    <row r="2104" ht="13" customHeight="1">
      <c r="A2104" s="45" t="inlineStr">
        <is>
          <t>18353</t>
        </is>
      </c>
      <c r="B2104" s="45" t="inlineStr">
        <is>
          <t>33380</t>
        </is>
      </c>
      <c r="C2104" s="45" t="inlineStr">
        <is>
          <t>2×2×5×1669</t>
        </is>
      </c>
      <c r="D2104" s="45" t="inlineStr">
        <is>
          <t>2·5</t>
        </is>
      </c>
      <c r="E2104" s="45" t="inlineStr"/>
      <c r="F2104" s="45" t="inlineStr"/>
    </row>
    <row r="2105" ht="13" customHeight="1">
      <c r="A2105" s="41" t="inlineStr">
        <is>
          <t>18367</t>
        </is>
      </c>
      <c r="B2105" s="41" t="inlineStr">
        <is>
          <t>27859</t>
        </is>
      </c>
      <c r="C2105" s="41" t="inlineStr">
        <is>
          <t>13×2143</t>
        </is>
      </c>
      <c r="D2105" s="41" t="inlineStr">
        <is>
          <t>13</t>
        </is>
      </c>
      <c r="E2105" s="41" t="inlineStr"/>
      <c r="F2105" s="41" t="inlineStr"/>
    </row>
    <row r="2106" ht="13" customHeight="1">
      <c r="A2106" s="50" t="inlineStr">
        <is>
          <t>18371</t>
        </is>
      </c>
      <c r="B2106" s="50" t="inlineStr">
        <is>
          <t>35201</t>
        </is>
      </c>
      <c r="C2106" s="50" t="inlineStr">
        <is>
          <t>35201</t>
        </is>
      </c>
      <c r="D2106" s="50" t="inlineStr">
        <is>
          <t>—</t>
        </is>
      </c>
      <c r="E2106" s="50" t="inlineStr"/>
      <c r="F2106" s="50" t="inlineStr"/>
    </row>
    <row r="2107" ht="13" customHeight="1">
      <c r="A2107" s="41" t="inlineStr">
        <is>
          <t>18379</t>
        </is>
      </c>
      <c r="B2107" s="41" t="inlineStr">
        <is>
          <t>10642</t>
        </is>
      </c>
      <c r="C2107" s="41" t="inlineStr">
        <is>
          <t>2×17×313</t>
        </is>
      </c>
      <c r="D2107" s="41" t="inlineStr">
        <is>
          <t>2·17</t>
        </is>
      </c>
      <c r="E2107" s="41" t="inlineStr"/>
      <c r="F2107" s="41" t="inlineStr"/>
    </row>
    <row r="2108" ht="13" customHeight="1">
      <c r="A2108" s="43" t="inlineStr">
        <is>
          <t>18397</t>
        </is>
      </c>
      <c r="B2108" s="43" t="inlineStr">
        <is>
          <t>18480</t>
        </is>
      </c>
      <c r="C2108" s="43" t="inlineStr">
        <is>
          <t>2×2×2×2×3×5×7×11</t>
        </is>
      </c>
      <c r="D2108" s="43" t="inlineStr">
        <is>
          <t>2·3·5·7·11</t>
        </is>
      </c>
      <c r="E2108" s="43" t="inlineStr"/>
      <c r="F2108" s="43" t="inlineStr"/>
    </row>
    <row r="2109" ht="13" customHeight="1">
      <c r="A2109" s="49" t="inlineStr">
        <is>
          <t>18401</t>
        </is>
      </c>
      <c r="B2109" s="49" t="inlineStr">
        <is>
          <t>22245</t>
        </is>
      </c>
      <c r="C2109" s="49" t="inlineStr">
        <is>
          <t>3×5×1483</t>
        </is>
      </c>
      <c r="D2109" s="49" t="inlineStr">
        <is>
          <t>3·5</t>
        </is>
      </c>
      <c r="E2109" s="49" t="inlineStr"/>
      <c r="F2109" s="49" t="inlineStr"/>
    </row>
    <row r="2110" ht="13" customHeight="1">
      <c r="A2110" s="41" t="inlineStr">
        <is>
          <t>18413</t>
        </is>
      </c>
      <c r="B2110" s="41" t="inlineStr">
        <is>
          <t>15665</t>
        </is>
      </c>
      <c r="C2110" s="41" t="inlineStr">
        <is>
          <t>5×13×241</t>
        </is>
      </c>
      <c r="D2110" s="41" t="inlineStr">
        <is>
          <t>5·13</t>
        </is>
      </c>
      <c r="E2110" s="41" t="inlineStr"/>
      <c r="F2110" s="41" t="inlineStr"/>
    </row>
    <row r="2111" ht="13" customHeight="1">
      <c r="A2111" s="49" t="inlineStr">
        <is>
          <t>18427</t>
        </is>
      </c>
      <c r="B2111" s="49" t="inlineStr">
        <is>
          <t>19362</t>
        </is>
      </c>
      <c r="C2111" s="49" t="inlineStr">
        <is>
          <t>2×3×7×461</t>
        </is>
      </c>
      <c r="D2111" s="49" t="inlineStr">
        <is>
          <t>2·3·7</t>
        </is>
      </c>
      <c r="E2111" s="49" t="inlineStr"/>
      <c r="F2111" s="49" t="inlineStr"/>
    </row>
    <row r="2112" ht="13" customHeight="1">
      <c r="A2112" s="45" t="inlineStr">
        <is>
          <t>18433</t>
        </is>
      </c>
      <c r="B2112" s="45" t="inlineStr">
        <is>
          <t>22801</t>
        </is>
      </c>
      <c r="C2112" s="45" t="inlineStr">
        <is>
          <t>151×151</t>
        </is>
      </c>
      <c r="D2112" s="45" t="inlineStr">
        <is>
          <t>—</t>
        </is>
      </c>
      <c r="E2112" s="45" t="inlineStr"/>
      <c r="F2112" s="45" t="inlineStr"/>
    </row>
    <row r="2113" ht="13" customHeight="1">
      <c r="A2113" s="43" t="inlineStr">
        <is>
          <t>18439</t>
        </is>
      </c>
      <c r="B2113" s="43" t="inlineStr">
        <is>
          <t>25113</t>
        </is>
      </c>
      <c r="C2113" s="43" t="inlineStr">
        <is>
          <t>3×11×761</t>
        </is>
      </c>
      <c r="D2113" s="43" t="inlineStr">
        <is>
          <t>3·11</t>
        </is>
      </c>
      <c r="E2113" s="43" t="inlineStr"/>
      <c r="F2113" s="43" t="inlineStr"/>
    </row>
    <row r="2114" ht="13" customHeight="1">
      <c r="A2114" s="45" t="inlineStr">
        <is>
          <t>18443</t>
        </is>
      </c>
      <c r="B2114" s="45" t="inlineStr">
        <is>
          <t>18365</t>
        </is>
      </c>
      <c r="C2114" s="45" t="inlineStr">
        <is>
          <t>5×3673</t>
        </is>
      </c>
      <c r="D2114" s="45" t="inlineStr">
        <is>
          <t>5</t>
        </is>
      </c>
      <c r="E2114" s="45" t="inlineStr"/>
      <c r="F2114" s="45" t="inlineStr"/>
    </row>
    <row r="2115" ht="13" customHeight="1">
      <c r="A2115" s="49" t="inlineStr">
        <is>
          <t>18451</t>
        </is>
      </c>
      <c r="B2115" s="49" t="inlineStr">
        <is>
          <t>1455</t>
        </is>
      </c>
      <c r="C2115" s="49" t="inlineStr">
        <is>
          <t>3×5×97</t>
        </is>
      </c>
      <c r="D2115" s="49" t="inlineStr">
        <is>
          <t>3·5</t>
        </is>
      </c>
      <c r="E2115" s="49" t="inlineStr"/>
      <c r="F2115" s="49" t="inlineStr"/>
    </row>
    <row r="2116" ht="13" customHeight="1">
      <c r="A2116" s="50" t="inlineStr">
        <is>
          <t>18457</t>
        </is>
      </c>
      <c r="B2116" s="50" t="inlineStr">
        <is>
          <t>8089</t>
        </is>
      </c>
      <c r="C2116" s="50" t="inlineStr">
        <is>
          <t>8089</t>
        </is>
      </c>
      <c r="D2116" s="50" t="inlineStr">
        <is>
          <t>—</t>
        </is>
      </c>
      <c r="E2116" s="50" t="inlineStr"/>
      <c r="F2116" s="50" t="inlineStr"/>
    </row>
    <row r="2117" ht="13" customHeight="1">
      <c r="A2117" s="43" t="inlineStr">
        <is>
          <t>18461</t>
        </is>
      </c>
      <c r="B2117" s="43" t="inlineStr">
        <is>
          <t>6424</t>
        </is>
      </c>
      <c r="C2117" s="43" t="inlineStr">
        <is>
          <t>2×2×2×11×73</t>
        </is>
      </c>
      <c r="D2117" s="43" t="inlineStr">
        <is>
          <t>2·11</t>
        </is>
      </c>
      <c r="E2117" s="43" t="inlineStr"/>
      <c r="F2117" s="43" t="inlineStr"/>
    </row>
    <row r="2118" ht="13" customHeight="1">
      <c r="A2118" s="45" t="inlineStr">
        <is>
          <t>18481</t>
        </is>
      </c>
      <c r="B2118" s="45" t="inlineStr">
        <is>
          <t>20192</t>
        </is>
      </c>
      <c r="C2118" s="45" t="inlineStr">
        <is>
          <t>2×2×2×2×2×631</t>
        </is>
      </c>
      <c r="D2118" s="45" t="inlineStr">
        <is>
          <t>2</t>
        </is>
      </c>
      <c r="E2118" s="45" t="inlineStr"/>
      <c r="F2118" s="45" t="inlineStr"/>
    </row>
    <row r="2119" ht="13" customHeight="1">
      <c r="A2119" s="43" t="inlineStr">
        <is>
          <t>18493</t>
        </is>
      </c>
      <c r="B2119" s="43" t="inlineStr">
        <is>
          <t>24915</t>
        </is>
      </c>
      <c r="C2119" s="43" t="inlineStr">
        <is>
          <t>3×5×11×151</t>
        </is>
      </c>
      <c r="D2119" s="43" t="inlineStr">
        <is>
          <t>3·5·11</t>
        </is>
      </c>
      <c r="E2119" s="43" t="inlineStr"/>
      <c r="F2119" s="43" t="inlineStr"/>
    </row>
    <row r="2120" ht="13" customHeight="1">
      <c r="A2120" s="45" t="inlineStr">
        <is>
          <t>18503</t>
        </is>
      </c>
      <c r="B2120" s="45" t="inlineStr">
        <is>
          <t>321</t>
        </is>
      </c>
      <c r="C2120" s="45" t="inlineStr">
        <is>
          <t>3×107</t>
        </is>
      </c>
      <c r="D2120" s="45" t="inlineStr">
        <is>
          <t>3</t>
        </is>
      </c>
      <c r="E2120" s="45" t="inlineStr"/>
      <c r="F2120" s="45" t="inlineStr"/>
    </row>
    <row r="2121" ht="13" customHeight="1">
      <c r="A2121" s="49" t="inlineStr">
        <is>
          <t>18517</t>
        </is>
      </c>
      <c r="B2121" s="49" t="inlineStr">
        <is>
          <t>34134</t>
        </is>
      </c>
      <c r="C2121" s="49" t="inlineStr">
        <is>
          <t>2×3×5689</t>
        </is>
      </c>
      <c r="D2121" s="49" t="inlineStr">
        <is>
          <t>2·3</t>
        </is>
      </c>
      <c r="E2121" s="49" t="inlineStr"/>
      <c r="F2121" s="49" t="inlineStr"/>
    </row>
    <row r="2122" ht="13" customHeight="1">
      <c r="A2122" s="50" t="inlineStr">
        <is>
          <t>18521</t>
        </is>
      </c>
      <c r="B2122" s="50" t="inlineStr">
        <is>
          <t>5297</t>
        </is>
      </c>
      <c r="C2122" s="50" t="inlineStr">
        <is>
          <t>5297</t>
        </is>
      </c>
      <c r="D2122" s="50" t="inlineStr">
        <is>
          <t>—</t>
        </is>
      </c>
      <c r="E2122" s="50" t="inlineStr"/>
      <c r="F2122" s="50" t="inlineStr"/>
    </row>
    <row r="2123" ht="13" customHeight="1">
      <c r="A2123" s="49" t="inlineStr">
        <is>
          <t>18523</t>
        </is>
      </c>
      <c r="B2123" s="49" t="inlineStr">
        <is>
          <t>1592</t>
        </is>
      </c>
      <c r="C2123" s="49" t="inlineStr">
        <is>
          <t>2×2×2×199</t>
        </is>
      </c>
      <c r="D2123" s="49" t="inlineStr">
        <is>
          <t>2</t>
        </is>
      </c>
      <c r="E2123" s="49" t="inlineStr"/>
      <c r="F2123" s="49" t="inlineStr"/>
    </row>
    <row r="2124" ht="13" customHeight="1">
      <c r="A2124" s="45" t="inlineStr">
        <is>
          <t>18539</t>
        </is>
      </c>
      <c r="B2124" s="45" t="inlineStr">
        <is>
          <t>10719</t>
        </is>
      </c>
      <c r="C2124" s="45" t="inlineStr">
        <is>
          <t>3×3×3×397</t>
        </is>
      </c>
      <c r="D2124" s="45" t="inlineStr">
        <is>
          <t>3</t>
        </is>
      </c>
      <c r="E2124" s="45" t="inlineStr"/>
      <c r="F2124" s="45" t="inlineStr"/>
    </row>
    <row r="2125" ht="13" customHeight="1">
      <c r="A2125" s="49" t="inlineStr">
        <is>
          <t>18541</t>
        </is>
      </c>
      <c r="B2125" s="49" t="inlineStr">
        <is>
          <t>23113</t>
        </is>
      </c>
      <c r="C2125" s="49" t="inlineStr">
        <is>
          <t>29×797</t>
        </is>
      </c>
      <c r="D2125" s="49" t="inlineStr">
        <is>
          <t>—</t>
        </is>
      </c>
      <c r="E2125" s="49" t="inlineStr"/>
      <c r="F2125" s="49" t="inlineStr"/>
    </row>
    <row r="2126" ht="13" customHeight="1">
      <c r="A2126" s="51" t="inlineStr">
        <is>
          <t>18553</t>
        </is>
      </c>
      <c r="B2126" s="51" t="inlineStr">
        <is>
          <t>14554</t>
        </is>
      </c>
      <c r="C2126" s="51" t="inlineStr">
        <is>
          <t>2×19×383</t>
        </is>
      </c>
      <c r="D2126" s="51" t="inlineStr">
        <is>
          <t>2·19</t>
        </is>
      </c>
      <c r="E2126" s="51" t="inlineStr"/>
      <c r="F2126" s="51" t="inlineStr"/>
    </row>
    <row r="2127" ht="13" customHeight="1">
      <c r="A2127" s="49" t="inlineStr">
        <is>
          <t>18583</t>
        </is>
      </c>
      <c r="B2127" s="49" t="inlineStr">
        <is>
          <t>8538</t>
        </is>
      </c>
      <c r="C2127" s="49" t="inlineStr">
        <is>
          <t>2×3×1423</t>
        </is>
      </c>
      <c r="D2127" s="49" t="inlineStr">
        <is>
          <t>2·3</t>
        </is>
      </c>
      <c r="E2127" s="49" t="inlineStr"/>
      <c r="F2127" s="49" t="inlineStr"/>
    </row>
    <row r="2128" ht="13" customHeight="1">
      <c r="A2128" s="50" t="inlineStr">
        <is>
          <t>18587</t>
        </is>
      </c>
      <c r="B2128" s="50" t="inlineStr">
        <is>
          <t>12211</t>
        </is>
      </c>
      <c r="C2128" s="50" t="inlineStr">
        <is>
          <t>12211</t>
        </is>
      </c>
      <c r="D2128" s="50" t="inlineStr">
        <is>
          <t>—</t>
        </is>
      </c>
      <c r="E2128" s="50" t="inlineStr"/>
      <c r="F2128" s="50" t="inlineStr"/>
    </row>
    <row r="2129" ht="13" customHeight="1">
      <c r="A2129" s="41" t="inlineStr">
        <is>
          <t>18593</t>
        </is>
      </c>
      <c r="B2129" s="41" t="inlineStr">
        <is>
          <t>31314</t>
        </is>
      </c>
      <c r="C2129" s="41" t="inlineStr">
        <is>
          <t>2×3×17×307</t>
        </is>
      </c>
      <c r="D2129" s="41" t="inlineStr">
        <is>
          <t>2·3·17</t>
        </is>
      </c>
      <c r="E2129" s="41" t="inlineStr"/>
      <c r="F2129" s="41" t="inlineStr"/>
    </row>
    <row r="2130" ht="13" customHeight="1">
      <c r="A2130" s="45" t="inlineStr">
        <is>
          <t>18617</t>
        </is>
      </c>
      <c r="B2130" s="45" t="inlineStr">
        <is>
          <t>38398</t>
        </is>
      </c>
      <c r="C2130" s="45" t="inlineStr">
        <is>
          <t>2×73×263</t>
        </is>
      </c>
      <c r="D2130" s="45" t="inlineStr">
        <is>
          <t>2</t>
        </is>
      </c>
      <c r="E2130" s="45" t="inlineStr"/>
      <c r="F2130" s="45" t="inlineStr"/>
    </row>
    <row r="2131" ht="13" customHeight="1">
      <c r="A2131" s="41" t="inlineStr">
        <is>
          <t>18637</t>
        </is>
      </c>
      <c r="B2131" s="41" t="inlineStr">
        <is>
          <t>32357</t>
        </is>
      </c>
      <c r="C2131" s="41" t="inlineStr">
        <is>
          <t>13×19×131</t>
        </is>
      </c>
      <c r="D2131" s="41" t="inlineStr">
        <is>
          <t>13·19</t>
        </is>
      </c>
      <c r="E2131" s="41" t="inlineStr"/>
      <c r="F2131" s="41" t="inlineStr"/>
    </row>
    <row r="2132" ht="13" customHeight="1">
      <c r="A2132" s="45" t="inlineStr">
        <is>
          <t>18661</t>
        </is>
      </c>
      <c r="B2132" s="45" t="inlineStr">
        <is>
          <t>29923</t>
        </is>
      </c>
      <c r="C2132" s="45" t="inlineStr">
        <is>
          <t>23×1301</t>
        </is>
      </c>
      <c r="D2132" s="45" t="inlineStr">
        <is>
          <t>—</t>
        </is>
      </c>
      <c r="E2132" s="45" t="inlineStr"/>
      <c r="F2132" s="45" t="inlineStr"/>
    </row>
    <row r="2133" ht="13" customHeight="1">
      <c r="A2133" s="50" t="inlineStr">
        <is>
          <t>18671</t>
        </is>
      </c>
      <c r="B2133" s="50" t="inlineStr">
        <is>
          <t>21031</t>
        </is>
      </c>
      <c r="C2133" s="50" t="inlineStr">
        <is>
          <t>21031</t>
        </is>
      </c>
      <c r="D2133" s="50" t="inlineStr">
        <is>
          <t>—</t>
        </is>
      </c>
      <c r="E2133" s="50" t="inlineStr"/>
      <c r="F2133" s="50" t="inlineStr"/>
    </row>
    <row r="2134" ht="13" customHeight="1">
      <c r="A2134" s="41" t="inlineStr">
        <is>
          <t>18679</t>
        </is>
      </c>
      <c r="B2134" s="41" t="inlineStr">
        <is>
          <t>43265</t>
        </is>
      </c>
      <c r="C2134" s="41" t="inlineStr">
        <is>
          <t>5×17×509</t>
        </is>
      </c>
      <c r="D2134" s="41" t="inlineStr">
        <is>
          <t>5·17</t>
        </is>
      </c>
      <c r="E2134" s="41" t="inlineStr"/>
      <c r="F2134" s="41" t="inlineStr"/>
    </row>
    <row r="2135" ht="13" customHeight="1">
      <c r="A2135" s="49" t="inlineStr">
        <is>
          <t>18691</t>
        </is>
      </c>
      <c r="B2135" s="49" t="inlineStr">
        <is>
          <t>18704</t>
        </is>
      </c>
      <c r="C2135" s="49" t="inlineStr">
        <is>
          <t>2×2×2×2×7×167</t>
        </is>
      </c>
      <c r="D2135" s="49" t="inlineStr">
        <is>
          <t>2·7</t>
        </is>
      </c>
      <c r="E2135" s="49" t="inlineStr"/>
      <c r="F2135" s="49" t="inlineStr"/>
    </row>
    <row r="2136" ht="13" customHeight="1">
      <c r="A2136" s="51" t="inlineStr">
        <is>
          <t>18701</t>
        </is>
      </c>
      <c r="B2136" s="51" t="inlineStr">
        <is>
          <t>6840</t>
        </is>
      </c>
      <c r="C2136" s="51" t="inlineStr">
        <is>
          <t>2×2×2×3×3×5×19</t>
        </is>
      </c>
      <c r="D2136" s="51" t="inlineStr">
        <is>
          <t>2·3·5·19</t>
        </is>
      </c>
      <c r="E2136" s="51" t="inlineStr"/>
      <c r="F2136" s="51" t="inlineStr"/>
    </row>
    <row r="2137" ht="13" customHeight="1">
      <c r="A2137" s="49" t="inlineStr">
        <is>
          <t>18713</t>
        </is>
      </c>
      <c r="B2137" s="49" t="inlineStr">
        <is>
          <t>37484</t>
        </is>
      </c>
      <c r="C2137" s="49" t="inlineStr">
        <is>
          <t>2×2×9371</t>
        </is>
      </c>
      <c r="D2137" s="49" t="inlineStr">
        <is>
          <t>2</t>
        </is>
      </c>
      <c r="E2137" s="49" t="inlineStr"/>
      <c r="F2137" s="49" t="inlineStr"/>
    </row>
    <row r="2138" ht="13" customHeight="1">
      <c r="A2138" s="41" t="inlineStr">
        <is>
          <t>18719</t>
        </is>
      </c>
      <c r="B2138" s="41" t="inlineStr">
        <is>
          <t>12597</t>
        </is>
      </c>
      <c r="C2138" s="41" t="inlineStr">
        <is>
          <t>3×13×17×19</t>
        </is>
      </c>
      <c r="D2138" s="41" t="inlineStr">
        <is>
          <t>3·13·17·19</t>
        </is>
      </c>
      <c r="E2138" s="41" t="inlineStr"/>
      <c r="F2138" s="41" t="inlineStr"/>
    </row>
    <row r="2139" ht="13" customHeight="1">
      <c r="A2139" s="49" t="inlineStr">
        <is>
          <t>18731</t>
        </is>
      </c>
      <c r="B2139" s="49" t="inlineStr">
        <is>
          <t>8769</t>
        </is>
      </c>
      <c r="C2139" s="49" t="inlineStr">
        <is>
          <t>3×37×79</t>
        </is>
      </c>
      <c r="D2139" s="49" t="inlineStr">
        <is>
          <t>3</t>
        </is>
      </c>
      <c r="E2139" s="49" t="inlineStr"/>
      <c r="F2139" s="49" t="inlineStr"/>
    </row>
    <row r="2140" ht="13" customHeight="1">
      <c r="A2140" s="45" t="inlineStr">
        <is>
          <t>18743</t>
        </is>
      </c>
      <c r="B2140" s="45" t="inlineStr">
        <is>
          <t>8057</t>
        </is>
      </c>
      <c r="C2140" s="45" t="inlineStr">
        <is>
          <t>7×1151</t>
        </is>
      </c>
      <c r="D2140" s="45" t="inlineStr">
        <is>
          <t>7</t>
        </is>
      </c>
      <c r="E2140" s="45" t="inlineStr"/>
      <c r="F2140" s="45" t="inlineStr"/>
    </row>
    <row r="2141" ht="13" customHeight="1">
      <c r="A2141" s="49" t="inlineStr">
        <is>
          <t>18749</t>
        </is>
      </c>
      <c r="B2141" s="49" t="inlineStr">
        <is>
          <t>39738</t>
        </is>
      </c>
      <c r="C2141" s="49" t="inlineStr">
        <is>
          <t>2×3×37×179</t>
        </is>
      </c>
      <c r="D2141" s="49" t="inlineStr">
        <is>
          <t>2·3</t>
        </is>
      </c>
      <c r="E2141" s="49" t="inlineStr"/>
      <c r="F2141" s="49" t="inlineStr"/>
    </row>
    <row r="2142" ht="13" customHeight="1">
      <c r="A2142" s="45" t="inlineStr">
        <is>
          <t>18757</t>
        </is>
      </c>
      <c r="B2142" s="45" t="inlineStr">
        <is>
          <t>17089</t>
        </is>
      </c>
      <c r="C2142" s="45" t="inlineStr">
        <is>
          <t>23×743</t>
        </is>
      </c>
      <c r="D2142" s="45" t="inlineStr">
        <is>
          <t>—</t>
        </is>
      </c>
      <c r="E2142" s="45" t="inlineStr"/>
      <c r="F2142" s="45" t="inlineStr"/>
    </row>
    <row r="2143" ht="13" customHeight="1">
      <c r="A2143" s="50" t="inlineStr">
        <is>
          <t>18773</t>
        </is>
      </c>
      <c r="B2143" s="50" t="inlineStr">
        <is>
          <t>21341</t>
        </is>
      </c>
      <c r="C2143" s="50" t="inlineStr">
        <is>
          <t>21341</t>
        </is>
      </c>
      <c r="D2143" s="50" t="inlineStr">
        <is>
          <t>—</t>
        </is>
      </c>
      <c r="E2143" s="50" t="inlineStr"/>
      <c r="F2143" s="50" t="inlineStr"/>
    </row>
    <row r="2144" ht="13" customHeight="1">
      <c r="A2144" s="45" t="inlineStr">
        <is>
          <t>18787</t>
        </is>
      </c>
      <c r="B2144" s="45" t="inlineStr">
        <is>
          <t>29660</t>
        </is>
      </c>
      <c r="C2144" s="45" t="inlineStr">
        <is>
          <t>2×2×5×1483</t>
        </is>
      </c>
      <c r="D2144" s="45" t="inlineStr">
        <is>
          <t>2·5</t>
        </is>
      </c>
      <c r="E2144" s="45" t="inlineStr"/>
      <c r="F2144" s="45" t="inlineStr"/>
    </row>
    <row r="2145" ht="13" customHeight="1">
      <c r="A2145" s="49" t="inlineStr">
        <is>
          <t>18793</t>
        </is>
      </c>
      <c r="B2145" s="49" t="inlineStr">
        <is>
          <t>14356</t>
        </is>
      </c>
      <c r="C2145" s="49" t="inlineStr">
        <is>
          <t>2×2×37×97</t>
        </is>
      </c>
      <c r="D2145" s="49" t="inlineStr">
        <is>
          <t>2</t>
        </is>
      </c>
      <c r="E2145" s="49" t="inlineStr"/>
      <c r="F2145" s="49" t="inlineStr"/>
    </row>
    <row r="2146" ht="13" customHeight="1">
      <c r="A2146" s="45" t="inlineStr">
        <is>
          <t>18797</t>
        </is>
      </c>
      <c r="B2146" s="45" t="inlineStr">
        <is>
          <t>20699</t>
        </is>
      </c>
      <c r="C2146" s="45" t="inlineStr">
        <is>
          <t>7×2957</t>
        </is>
      </c>
      <c r="D2146" s="45" t="inlineStr">
        <is>
          <t>7</t>
        </is>
      </c>
      <c r="E2146" s="45" t="inlineStr"/>
      <c r="F2146" s="45" t="inlineStr"/>
    </row>
    <row r="2147" ht="13" customHeight="1">
      <c r="A2147" s="49" t="inlineStr">
        <is>
          <t>18803</t>
        </is>
      </c>
      <c r="B2147" s="49" t="inlineStr">
        <is>
          <t>28092</t>
        </is>
      </c>
      <c r="C2147" s="49" t="inlineStr">
        <is>
          <t>2×2×3×2341</t>
        </is>
      </c>
      <c r="D2147" s="49" t="inlineStr">
        <is>
          <t>2·3</t>
        </is>
      </c>
      <c r="E2147" s="49" t="inlineStr"/>
      <c r="F2147" s="49" t="inlineStr"/>
    </row>
    <row r="2148" ht="13" customHeight="1">
      <c r="A2148" s="39" t="inlineStr">
        <is>
          <t>18839</t>
        </is>
      </c>
      <c r="B2148" s="39" t="inlineStr">
        <is>
          <t>23040</t>
        </is>
      </c>
      <c r="C2148" s="39" t="inlineStr">
        <is>
          <t>2×2×2×2×2×2×2×2×2×3×3×5</t>
        </is>
      </c>
      <c r="D2148" s="39" t="inlineStr">
        <is>
          <t>2·3·5</t>
        </is>
      </c>
      <c r="E2148" s="39" t="inlineStr"/>
      <c r="F2148" s="39" t="inlineStr"/>
    </row>
    <row r="2149" ht="13" customHeight="1">
      <c r="A2149" s="49" t="inlineStr">
        <is>
          <t>18859</t>
        </is>
      </c>
      <c r="B2149" s="49" t="inlineStr">
        <is>
          <t>35876</t>
        </is>
      </c>
      <c r="C2149" s="49" t="inlineStr">
        <is>
          <t>2×2×8969</t>
        </is>
      </c>
      <c r="D2149" s="49" t="inlineStr">
        <is>
          <t>2</t>
        </is>
      </c>
      <c r="E2149" s="49" t="inlineStr"/>
      <c r="F2149" s="49" t="inlineStr"/>
    </row>
    <row r="2150" ht="13" customHeight="1">
      <c r="A2150" s="51" t="inlineStr">
        <is>
          <t>18869</t>
        </is>
      </c>
      <c r="B2150" s="51" t="inlineStr">
        <is>
          <t>2888</t>
        </is>
      </c>
      <c r="C2150" s="51" t="inlineStr">
        <is>
          <t>2×2×2×19×19</t>
        </is>
      </c>
      <c r="D2150" s="51" t="inlineStr">
        <is>
          <t>2·19</t>
        </is>
      </c>
      <c r="E2150" s="51" t="inlineStr"/>
      <c r="F2150" s="51" t="inlineStr"/>
    </row>
    <row r="2151" ht="13" customHeight="1">
      <c r="A2151" s="49" t="inlineStr">
        <is>
          <t>18899</t>
        </is>
      </c>
      <c r="B2151" s="49" t="inlineStr">
        <is>
          <t>12381</t>
        </is>
      </c>
      <c r="C2151" s="49" t="inlineStr">
        <is>
          <t>3×4127</t>
        </is>
      </c>
      <c r="D2151" s="49" t="inlineStr">
        <is>
          <t>3</t>
        </is>
      </c>
      <c r="E2151" s="49" t="inlineStr"/>
      <c r="F2151" s="49" t="inlineStr"/>
    </row>
    <row r="2152" ht="13" customHeight="1">
      <c r="A2152" s="41" t="inlineStr">
        <is>
          <t>18911</t>
        </is>
      </c>
      <c r="B2152" s="41" t="inlineStr">
        <is>
          <t>37700</t>
        </is>
      </c>
      <c r="C2152" s="41" t="inlineStr">
        <is>
          <t>2×2×5×5×13×29</t>
        </is>
      </c>
      <c r="D2152" s="41" t="inlineStr">
        <is>
          <t>2·5·13</t>
        </is>
      </c>
      <c r="E2152" s="41" t="inlineStr"/>
      <c r="F2152" s="41" t="inlineStr"/>
    </row>
    <row r="2153" ht="13" customHeight="1">
      <c r="A2153" s="49" t="inlineStr">
        <is>
          <t>18913</t>
        </is>
      </c>
      <c r="B2153" s="49" t="inlineStr">
        <is>
          <t>34602</t>
        </is>
      </c>
      <c r="C2153" s="49" t="inlineStr">
        <is>
          <t>2×3×73×79</t>
        </is>
      </c>
      <c r="D2153" s="49" t="inlineStr">
        <is>
          <t>2·3</t>
        </is>
      </c>
      <c r="E2153" s="49" t="inlineStr"/>
      <c r="F2153" s="49" t="inlineStr"/>
    </row>
    <row r="2154" ht="13" customHeight="1">
      <c r="A2154" s="45" t="inlineStr">
        <is>
          <t>18917</t>
        </is>
      </c>
      <c r="B2154" s="45" t="inlineStr">
        <is>
          <t>16138</t>
        </is>
      </c>
      <c r="C2154" s="45" t="inlineStr">
        <is>
          <t>2×8069</t>
        </is>
      </c>
      <c r="D2154" s="45" t="inlineStr">
        <is>
          <t>2</t>
        </is>
      </c>
      <c r="E2154" s="45" t="inlineStr"/>
      <c r="F2154" s="45" t="inlineStr"/>
    </row>
    <row r="2155" ht="13" customHeight="1">
      <c r="A2155" s="49" t="inlineStr">
        <is>
          <t>18919</t>
        </is>
      </c>
      <c r="B2155" s="49" t="inlineStr">
        <is>
          <t>37491</t>
        </is>
      </c>
      <c r="C2155" s="49" t="inlineStr">
        <is>
          <t>3×12497</t>
        </is>
      </c>
      <c r="D2155" s="49" t="inlineStr">
        <is>
          <t>3</t>
        </is>
      </c>
      <c r="E2155" s="49" t="inlineStr"/>
      <c r="F2155" s="49" t="inlineStr"/>
    </row>
    <row r="2156" ht="13" customHeight="1">
      <c r="A2156" s="45" t="inlineStr">
        <is>
          <t>18947</t>
        </is>
      </c>
      <c r="B2156" s="45" t="inlineStr">
        <is>
          <t>4263</t>
        </is>
      </c>
      <c r="C2156" s="45" t="inlineStr">
        <is>
          <t>3×7×7×29</t>
        </is>
      </c>
      <c r="D2156" s="45" t="inlineStr">
        <is>
          <t>3·7</t>
        </is>
      </c>
      <c r="E2156" s="45" t="inlineStr"/>
      <c r="F2156" s="45" t="inlineStr"/>
    </row>
    <row r="2157" ht="13" customHeight="1">
      <c r="A2157" s="41" t="inlineStr">
        <is>
          <t>18959</t>
        </is>
      </c>
      <c r="B2157" s="41" t="inlineStr">
        <is>
          <t>7995</t>
        </is>
      </c>
      <c r="C2157" s="41" t="inlineStr">
        <is>
          <t>3×5×13×41</t>
        </is>
      </c>
      <c r="D2157" s="41" t="inlineStr">
        <is>
          <t>3·5·13</t>
        </is>
      </c>
      <c r="E2157" s="41" t="inlineStr"/>
      <c r="F2157" s="41" t="inlineStr"/>
    </row>
    <row r="2158" ht="13" customHeight="1">
      <c r="A2158" s="45" t="inlineStr">
        <is>
          <t>18973</t>
        </is>
      </c>
      <c r="B2158" s="45" t="inlineStr">
        <is>
          <t>17621</t>
        </is>
      </c>
      <c r="C2158" s="45" t="inlineStr">
        <is>
          <t>67×263</t>
        </is>
      </c>
      <c r="D2158" s="45" t="inlineStr">
        <is>
          <t>—</t>
        </is>
      </c>
      <c r="E2158" s="45" t="inlineStr"/>
      <c r="F2158" s="45" t="inlineStr"/>
    </row>
    <row r="2159" ht="13" customHeight="1">
      <c r="A2159" s="51" t="inlineStr">
        <is>
          <t>18979</t>
        </is>
      </c>
      <c r="B2159" s="51" t="inlineStr">
        <is>
          <t>25175</t>
        </is>
      </c>
      <c r="C2159" s="51" t="inlineStr">
        <is>
          <t>5×5×19×53</t>
        </is>
      </c>
      <c r="D2159" s="51" t="inlineStr">
        <is>
          <t>5·19</t>
        </is>
      </c>
      <c r="E2159" s="51" t="inlineStr"/>
      <c r="F2159" s="51" t="inlineStr"/>
    </row>
    <row r="2160" ht="13" customHeight="1">
      <c r="A2160" s="45" t="inlineStr">
        <is>
          <t>19001</t>
        </is>
      </c>
      <c r="B2160" s="45" t="inlineStr">
        <is>
          <t>38279</t>
        </is>
      </c>
      <c r="C2160" s="45" t="inlineStr">
        <is>
          <t>101×379</t>
        </is>
      </c>
      <c r="D2160" s="45" t="inlineStr">
        <is>
          <t>—</t>
        </is>
      </c>
      <c r="E2160" s="45" t="inlineStr"/>
      <c r="F2160" s="45" t="inlineStr"/>
    </row>
    <row r="2161" ht="13" customHeight="1">
      <c r="A2161" s="49" t="inlineStr">
        <is>
          <t>19009</t>
        </is>
      </c>
      <c r="B2161" s="49" t="inlineStr">
        <is>
          <t>25887</t>
        </is>
      </c>
      <c r="C2161" s="49" t="inlineStr">
        <is>
          <t>3×8629</t>
        </is>
      </c>
      <c r="D2161" s="49" t="inlineStr">
        <is>
          <t>3</t>
        </is>
      </c>
      <c r="E2161" s="49" t="inlineStr"/>
      <c r="F2161" s="49" t="inlineStr"/>
    </row>
    <row r="2162" ht="13" customHeight="1">
      <c r="A2162" s="43" t="inlineStr">
        <is>
          <t>19013</t>
        </is>
      </c>
      <c r="B2162" s="43" t="inlineStr">
        <is>
          <t>25256</t>
        </is>
      </c>
      <c r="C2162" s="43" t="inlineStr">
        <is>
          <t>2×2×2×7×11×41</t>
        </is>
      </c>
      <c r="D2162" s="43" t="inlineStr">
        <is>
          <t>2·7·11</t>
        </is>
      </c>
      <c r="E2162" s="43" t="inlineStr"/>
      <c r="F2162" s="43" t="inlineStr"/>
    </row>
    <row r="2163" ht="13" customHeight="1">
      <c r="A2163" s="51" t="inlineStr">
        <is>
          <t>19031</t>
        </is>
      </c>
      <c r="B2163" s="51" t="inlineStr">
        <is>
          <t>31179</t>
        </is>
      </c>
      <c r="C2163" s="51" t="inlineStr">
        <is>
          <t>3×19×547</t>
        </is>
      </c>
      <c r="D2163" s="51" t="inlineStr">
        <is>
          <t>3·19</t>
        </is>
      </c>
      <c r="E2163" s="51" t="inlineStr"/>
      <c r="F2163" s="51" t="inlineStr"/>
    </row>
    <row r="2164" ht="13" customHeight="1">
      <c r="A2164" s="45" t="inlineStr">
        <is>
          <t>19037</t>
        </is>
      </c>
      <c r="B2164" s="45" t="inlineStr">
        <is>
          <t>16429</t>
        </is>
      </c>
      <c r="C2164" s="45" t="inlineStr">
        <is>
          <t>7×2347</t>
        </is>
      </c>
      <c r="D2164" s="45" t="inlineStr">
        <is>
          <t>7</t>
        </is>
      </c>
      <c r="E2164" s="45" t="inlineStr"/>
      <c r="F2164" s="45" t="inlineStr"/>
    </row>
    <row r="2165" ht="13" customHeight="1">
      <c r="A2165" s="41" t="inlineStr">
        <is>
          <t>19051</t>
        </is>
      </c>
      <c r="B2165" s="41" t="inlineStr">
        <is>
          <t>36329</t>
        </is>
      </c>
      <c r="C2165" s="41" t="inlineStr">
        <is>
          <t>17×2137</t>
        </is>
      </c>
      <c r="D2165" s="41" t="inlineStr">
        <is>
          <t>17</t>
        </is>
      </c>
      <c r="E2165" s="41" t="inlineStr"/>
      <c r="F2165" s="41" t="inlineStr"/>
    </row>
    <row r="2166" ht="13" customHeight="1">
      <c r="A2166" s="45" t="inlineStr">
        <is>
          <t>19069</t>
        </is>
      </c>
      <c r="B2166" s="45" t="inlineStr">
        <is>
          <t>21315</t>
        </is>
      </c>
      <c r="C2166" s="45" t="inlineStr">
        <is>
          <t>3×5×7×7×29</t>
        </is>
      </c>
      <c r="D2166" s="45" t="inlineStr">
        <is>
          <t>3·5·7</t>
        </is>
      </c>
      <c r="E2166" s="45" t="inlineStr"/>
      <c r="F2166" s="45" t="inlineStr"/>
    </row>
    <row r="2167" ht="13" customHeight="1">
      <c r="A2167" s="41" t="inlineStr">
        <is>
          <t>19073</t>
        </is>
      </c>
      <c r="B2167" s="41" t="inlineStr">
        <is>
          <t>7480</t>
        </is>
      </c>
      <c r="C2167" s="41" t="inlineStr">
        <is>
          <t>2×2×2×5×11×17</t>
        </is>
      </c>
      <c r="D2167" s="41" t="inlineStr">
        <is>
          <t>2·5·11·17</t>
        </is>
      </c>
      <c r="E2167" s="41" t="inlineStr"/>
      <c r="F2167" s="41" t="inlineStr"/>
    </row>
    <row r="2168" ht="13" customHeight="1">
      <c r="A2168" s="45" t="inlineStr">
        <is>
          <t>19079</t>
        </is>
      </c>
      <c r="B2168" s="45" t="inlineStr">
        <is>
          <t>602</t>
        </is>
      </c>
      <c r="C2168" s="45" t="inlineStr">
        <is>
          <t>2×7×43</t>
        </is>
      </c>
      <c r="D2168" s="45" t="inlineStr">
        <is>
          <t>2·7</t>
        </is>
      </c>
      <c r="E2168" s="45" t="inlineStr"/>
      <c r="F2168" s="45" t="inlineStr"/>
    </row>
    <row r="2169" ht="13" customHeight="1">
      <c r="A2169" s="49" t="inlineStr">
        <is>
          <t>19081</t>
        </is>
      </c>
      <c r="B2169" s="49" t="inlineStr">
        <is>
          <t>1227</t>
        </is>
      </c>
      <c r="C2169" s="49" t="inlineStr">
        <is>
          <t>3×409</t>
        </is>
      </c>
      <c r="D2169" s="49" t="inlineStr">
        <is>
          <t>3</t>
        </is>
      </c>
      <c r="E2169" s="49" t="inlineStr"/>
      <c r="F2169" s="49" t="inlineStr"/>
    </row>
    <row r="2170" ht="13" customHeight="1">
      <c r="A2170" s="45" t="inlineStr">
        <is>
          <t>19087</t>
        </is>
      </c>
      <c r="B2170" s="45" t="inlineStr">
        <is>
          <t>36031</t>
        </is>
      </c>
      <c r="C2170" s="45" t="inlineStr">
        <is>
          <t>137×263</t>
        </is>
      </c>
      <c r="D2170" s="45" t="inlineStr">
        <is>
          <t>—</t>
        </is>
      </c>
      <c r="E2170" s="45" t="inlineStr"/>
      <c r="F2170" s="45" t="inlineStr"/>
    </row>
    <row r="2171" ht="13" customHeight="1">
      <c r="A2171" s="49" t="inlineStr">
        <is>
          <t>19121</t>
        </is>
      </c>
      <c r="B2171" s="49" t="inlineStr">
        <is>
          <t>36064</t>
        </is>
      </c>
      <c r="C2171" s="49" t="inlineStr">
        <is>
          <t>2×2×2×2×2×7×7×23</t>
        </is>
      </c>
      <c r="D2171" s="49" t="inlineStr">
        <is>
          <t>2·7</t>
        </is>
      </c>
      <c r="E2171" s="49" t="inlineStr"/>
      <c r="F2171" s="49" t="inlineStr"/>
    </row>
    <row r="2172" ht="13" customHeight="1">
      <c r="A2172" s="50" t="inlineStr">
        <is>
          <t>19139</t>
        </is>
      </c>
      <c r="B2172" s="50" t="inlineStr">
        <is>
          <t>16493</t>
        </is>
      </c>
      <c r="C2172" s="50" t="inlineStr">
        <is>
          <t>16493</t>
        </is>
      </c>
      <c r="D2172" s="50" t="inlineStr">
        <is>
          <t>—</t>
        </is>
      </c>
      <c r="E2172" s="50" t="inlineStr"/>
      <c r="F2172" s="50" t="inlineStr"/>
    </row>
    <row r="2173" ht="13" customHeight="1">
      <c r="A2173" s="49" t="inlineStr">
        <is>
          <t>19141</t>
        </is>
      </c>
      <c r="B2173" s="49" t="inlineStr">
        <is>
          <t>19147</t>
        </is>
      </c>
      <c r="C2173" s="49" t="inlineStr">
        <is>
          <t>41×467</t>
        </is>
      </c>
      <c r="D2173" s="49" t="inlineStr">
        <is>
          <t>—</t>
        </is>
      </c>
      <c r="E2173" s="49" t="inlineStr"/>
      <c r="F2173" s="49" t="inlineStr"/>
    </row>
    <row r="2174" ht="13" customHeight="1">
      <c r="A2174" s="45" t="inlineStr">
        <is>
          <t>19157</t>
        </is>
      </c>
      <c r="B2174" s="45" t="inlineStr">
        <is>
          <t>12018</t>
        </is>
      </c>
      <c r="C2174" s="45" t="inlineStr">
        <is>
          <t>2×3×2003</t>
        </is>
      </c>
      <c r="D2174" s="45" t="inlineStr">
        <is>
          <t>2·3</t>
        </is>
      </c>
      <c r="E2174" s="45" t="inlineStr"/>
      <c r="F2174" s="45" t="inlineStr"/>
    </row>
    <row r="2175" ht="13" customHeight="1">
      <c r="A2175" s="49" t="inlineStr">
        <is>
          <t>19163</t>
        </is>
      </c>
      <c r="B2175" s="49" t="inlineStr">
        <is>
          <t>25056</t>
        </is>
      </c>
      <c r="C2175" s="49" t="inlineStr">
        <is>
          <t>2×2×2×2×2×3×3×3×29</t>
        </is>
      </c>
      <c r="D2175" s="49" t="inlineStr">
        <is>
          <t>2·3</t>
        </is>
      </c>
      <c r="E2175" s="49" t="inlineStr"/>
      <c r="F2175" s="49" t="inlineStr"/>
    </row>
    <row r="2176" ht="13" customHeight="1">
      <c r="A2176" s="45" t="inlineStr">
        <is>
          <t>19181</t>
        </is>
      </c>
      <c r="B2176" s="45" t="inlineStr">
        <is>
          <t>4790</t>
        </is>
      </c>
      <c r="C2176" s="45" t="inlineStr">
        <is>
          <t>2×5×479</t>
        </is>
      </c>
      <c r="D2176" s="45" t="inlineStr">
        <is>
          <t>2·5</t>
        </is>
      </c>
      <c r="E2176" s="45" t="inlineStr"/>
      <c r="F2176" s="45" t="inlineStr"/>
    </row>
    <row r="2177" ht="13" customHeight="1">
      <c r="A2177" s="50" t="inlineStr">
        <is>
          <t>19183</t>
        </is>
      </c>
      <c r="B2177" s="50" t="inlineStr">
        <is>
          <t>7103</t>
        </is>
      </c>
      <c r="C2177" s="50" t="inlineStr">
        <is>
          <t>7103</t>
        </is>
      </c>
      <c r="D2177" s="50" t="inlineStr">
        <is>
          <t>—</t>
        </is>
      </c>
      <c r="E2177" s="50" t="inlineStr"/>
      <c r="F2177" s="50" t="inlineStr"/>
    </row>
    <row r="2178" ht="13" customHeight="1">
      <c r="A2178" s="45" t="inlineStr">
        <is>
          <t>19207</t>
        </is>
      </c>
      <c r="B2178" s="45" t="inlineStr">
        <is>
          <t>15157</t>
        </is>
      </c>
      <c r="C2178" s="45" t="inlineStr">
        <is>
          <t>23×659</t>
        </is>
      </c>
      <c r="D2178" s="45" t="inlineStr">
        <is>
          <t>—</t>
        </is>
      </c>
      <c r="E2178" s="45" t="inlineStr"/>
      <c r="F2178" s="45" t="inlineStr"/>
    </row>
    <row r="2179" ht="13" customHeight="1">
      <c r="A2179" s="49" t="inlineStr">
        <is>
          <t>19211</t>
        </is>
      </c>
      <c r="B2179" s="49" t="inlineStr">
        <is>
          <t>10425</t>
        </is>
      </c>
      <c r="C2179" s="49" t="inlineStr">
        <is>
          <t>3×5×5×139</t>
        </is>
      </c>
      <c r="D2179" s="49" t="inlineStr">
        <is>
          <t>3·5</t>
        </is>
      </c>
      <c r="E2179" s="49" t="inlineStr"/>
      <c r="F2179" s="49" t="inlineStr"/>
    </row>
    <row r="2180" ht="13" customHeight="1">
      <c r="A2180" s="41" t="inlineStr">
        <is>
          <t>19213</t>
        </is>
      </c>
      <c r="B2180" s="41" t="inlineStr">
        <is>
          <t>2951</t>
        </is>
      </c>
      <c r="C2180" s="41" t="inlineStr">
        <is>
          <t>13×227</t>
        </is>
      </c>
      <c r="D2180" s="41" t="inlineStr">
        <is>
          <t>13</t>
        </is>
      </c>
      <c r="E2180" s="41" t="inlineStr"/>
      <c r="F2180" s="41" t="inlineStr"/>
    </row>
    <row r="2181" ht="13" customHeight="1">
      <c r="A2181" s="49" t="inlineStr">
        <is>
          <t>19219</t>
        </is>
      </c>
      <c r="B2181" s="49" t="inlineStr">
        <is>
          <t>6326</t>
        </is>
      </c>
      <c r="C2181" s="49" t="inlineStr">
        <is>
          <t>2×3163</t>
        </is>
      </c>
      <c r="D2181" s="49" t="inlineStr">
        <is>
          <t>2</t>
        </is>
      </c>
      <c r="E2181" s="49" t="inlineStr"/>
      <c r="F2181" s="49" t="inlineStr"/>
    </row>
    <row r="2182" ht="13" customHeight="1">
      <c r="A2182" s="45" t="inlineStr">
        <is>
          <t>19231</t>
        </is>
      </c>
      <c r="B2182" s="45" t="inlineStr">
        <is>
          <t>32822</t>
        </is>
      </c>
      <c r="C2182" s="45" t="inlineStr">
        <is>
          <t>2×16411</t>
        </is>
      </c>
      <c r="D2182" s="45" t="inlineStr">
        <is>
          <t>2</t>
        </is>
      </c>
      <c r="E2182" s="45" t="inlineStr"/>
      <c r="F2182" s="45" t="inlineStr"/>
    </row>
    <row r="2183" ht="13" customHeight="1">
      <c r="A2183" s="49" t="inlineStr">
        <is>
          <t>19237</t>
        </is>
      </c>
      <c r="B2183" s="49" t="inlineStr">
        <is>
          <t>2681</t>
        </is>
      </c>
      <c r="C2183" s="49" t="inlineStr">
        <is>
          <t>7×383</t>
        </is>
      </c>
      <c r="D2183" s="49" t="inlineStr">
        <is>
          <t>7</t>
        </is>
      </c>
      <c r="E2183" s="49" t="inlineStr"/>
      <c r="F2183" s="49" t="inlineStr"/>
    </row>
    <row r="2184" ht="13" customHeight="1">
      <c r="A2184" s="43" t="inlineStr">
        <is>
          <t>19249</t>
        </is>
      </c>
      <c r="B2184" s="43" t="inlineStr">
        <is>
          <t>37906</t>
        </is>
      </c>
      <c r="C2184" s="43" t="inlineStr">
        <is>
          <t>2×11×1723</t>
        </is>
      </c>
      <c r="D2184" s="43" t="inlineStr">
        <is>
          <t>2·11</t>
        </is>
      </c>
      <c r="E2184" s="43" t="inlineStr"/>
      <c r="F2184" s="43" t="inlineStr"/>
    </row>
    <row r="2185" ht="13" customHeight="1">
      <c r="A2185" s="41" t="inlineStr">
        <is>
          <t>19259</t>
        </is>
      </c>
      <c r="B2185" s="41" t="inlineStr">
        <is>
          <t>7332</t>
        </is>
      </c>
      <c r="C2185" s="41" t="inlineStr">
        <is>
          <t>2×2×3×13×47</t>
        </is>
      </c>
      <c r="D2185" s="41" t="inlineStr">
        <is>
          <t>2·3·13</t>
        </is>
      </c>
      <c r="E2185" s="41" t="inlineStr"/>
      <c r="F2185" s="41" t="inlineStr"/>
    </row>
    <row r="2186" ht="13" customHeight="1">
      <c r="A2186" s="45" t="inlineStr">
        <is>
          <t>19267</t>
        </is>
      </c>
      <c r="B2186" s="45" t="inlineStr">
        <is>
          <t>13438</t>
        </is>
      </c>
      <c r="C2186" s="45" t="inlineStr">
        <is>
          <t>2×6719</t>
        </is>
      </c>
      <c r="D2186" s="45" t="inlineStr">
        <is>
          <t>2</t>
        </is>
      </c>
      <c r="E2186" s="45" t="inlineStr"/>
      <c r="F2186" s="45" t="inlineStr"/>
    </row>
    <row r="2187" ht="13" customHeight="1">
      <c r="A2187" s="49" t="inlineStr">
        <is>
          <t>19273</t>
        </is>
      </c>
      <c r="B2187" s="49" t="inlineStr">
        <is>
          <t>4666</t>
        </is>
      </c>
      <c r="C2187" s="49" t="inlineStr">
        <is>
          <t>2×2333</t>
        </is>
      </c>
      <c r="D2187" s="49" t="inlineStr">
        <is>
          <t>2</t>
        </is>
      </c>
      <c r="E2187" s="49" t="inlineStr"/>
      <c r="F2187" s="49" t="inlineStr"/>
    </row>
    <row r="2188" ht="13" customHeight="1">
      <c r="A2188" s="45" t="inlineStr">
        <is>
          <t>19289</t>
        </is>
      </c>
      <c r="B2188" s="45" t="inlineStr">
        <is>
          <t>25871</t>
        </is>
      </c>
      <c r="C2188" s="45" t="inlineStr">
        <is>
          <t>41×631</t>
        </is>
      </c>
      <c r="D2188" s="45" t="inlineStr">
        <is>
          <t>—</t>
        </is>
      </c>
      <c r="E2188" s="45" t="inlineStr"/>
      <c r="F2188" s="45" t="inlineStr"/>
    </row>
    <row r="2189" ht="13" customHeight="1">
      <c r="A2189" s="41" t="inlineStr">
        <is>
          <t>19301</t>
        </is>
      </c>
      <c r="B2189" s="41" t="inlineStr">
        <is>
          <t>12648</t>
        </is>
      </c>
      <c r="C2189" s="41" t="inlineStr">
        <is>
          <t>2×2×2×3×17×31</t>
        </is>
      </c>
      <c r="D2189" s="41" t="inlineStr">
        <is>
          <t>2·3·17</t>
        </is>
      </c>
      <c r="E2189" s="41" t="inlineStr"/>
      <c r="F2189" s="41" t="inlineStr"/>
    </row>
    <row r="2190" ht="13" customHeight="1">
      <c r="A2190" s="45" t="inlineStr">
        <is>
          <t>19309</t>
        </is>
      </c>
      <c r="B2190" s="45" t="inlineStr">
        <is>
          <t>28818</t>
        </is>
      </c>
      <c r="C2190" s="45" t="inlineStr">
        <is>
          <t>2×3×3×1601</t>
        </is>
      </c>
      <c r="D2190" s="45" t="inlineStr">
        <is>
          <t>2·3</t>
        </is>
      </c>
      <c r="E2190" s="45" t="inlineStr"/>
      <c r="F2190" s="45" t="inlineStr"/>
    </row>
    <row r="2191" ht="13" customHeight="1">
      <c r="A2191" s="50" t="inlineStr">
        <is>
          <t>19319</t>
        </is>
      </c>
      <c r="B2191" s="50" t="inlineStr">
        <is>
          <t>40867</t>
        </is>
      </c>
      <c r="C2191" s="50" t="inlineStr">
        <is>
          <t>40867</t>
        </is>
      </c>
      <c r="D2191" s="50" t="inlineStr">
        <is>
          <t>—</t>
        </is>
      </c>
      <c r="E2191" s="50" t="inlineStr"/>
      <c r="F2191" s="50" t="inlineStr"/>
    </row>
    <row r="2192" ht="13" customHeight="1">
      <c r="A2192" s="51" t="inlineStr">
        <is>
          <t>19333</t>
        </is>
      </c>
      <c r="B2192" s="51" t="inlineStr">
        <is>
          <t>14516</t>
        </is>
      </c>
      <c r="C2192" s="51" t="inlineStr">
        <is>
          <t>2×2×19×191</t>
        </is>
      </c>
      <c r="D2192" s="51" t="inlineStr">
        <is>
          <t>2·19</t>
        </is>
      </c>
      <c r="E2192" s="51" t="inlineStr"/>
      <c r="F2192" s="51" t="inlineStr"/>
    </row>
    <row r="2193" ht="13" customHeight="1">
      <c r="A2193" s="49" t="inlineStr">
        <is>
          <t>19373</t>
        </is>
      </c>
      <c r="B2193" s="49" t="inlineStr">
        <is>
          <t>40192</t>
        </is>
      </c>
      <c r="C2193" s="49" t="inlineStr">
        <is>
          <t>2×2×2×2×2×2×2×2×157</t>
        </is>
      </c>
      <c r="D2193" s="49" t="inlineStr">
        <is>
          <t>2</t>
        </is>
      </c>
      <c r="E2193" s="49" t="inlineStr"/>
      <c r="F2193" s="49" t="inlineStr"/>
    </row>
    <row r="2194" ht="13" customHeight="1">
      <c r="A2194" s="45" t="inlineStr">
        <is>
          <t>19379</t>
        </is>
      </c>
      <c r="B2194" s="45" t="inlineStr">
        <is>
          <t>25656</t>
        </is>
      </c>
      <c r="C2194" s="45" t="inlineStr">
        <is>
          <t>2×2×2×3×1069</t>
        </is>
      </c>
      <c r="D2194" s="45" t="inlineStr">
        <is>
          <t>2·3</t>
        </is>
      </c>
      <c r="E2194" s="45" t="inlineStr"/>
      <c r="F2194" s="45" t="inlineStr"/>
    </row>
    <row r="2195" ht="13" customHeight="1">
      <c r="A2195" s="43" t="inlineStr">
        <is>
          <t>19381</t>
        </is>
      </c>
      <c r="B2195" s="43" t="inlineStr">
        <is>
          <t>30019</t>
        </is>
      </c>
      <c r="C2195" s="43" t="inlineStr">
        <is>
          <t>11×2729</t>
        </is>
      </c>
      <c r="D2195" s="43" t="inlineStr">
        <is>
          <t>11</t>
        </is>
      </c>
      <c r="E2195" s="43" t="inlineStr"/>
      <c r="F2195" s="43" t="inlineStr"/>
    </row>
    <row r="2196" ht="13" customHeight="1">
      <c r="A2196" s="50" t="inlineStr">
        <is>
          <t>19387</t>
        </is>
      </c>
      <c r="B2196" s="50" t="inlineStr">
        <is>
          <t>7211</t>
        </is>
      </c>
      <c r="C2196" s="50" t="inlineStr">
        <is>
          <t>7211</t>
        </is>
      </c>
      <c r="D2196" s="50" t="inlineStr">
        <is>
          <t>—</t>
        </is>
      </c>
      <c r="E2196" s="50" t="inlineStr"/>
      <c r="F2196" s="50" t="inlineStr"/>
    </row>
    <row r="2197" ht="13" customHeight="1">
      <c r="A2197" s="49" t="inlineStr">
        <is>
          <t>19391</t>
        </is>
      </c>
      <c r="B2197" s="49" t="inlineStr">
        <is>
          <t>19341</t>
        </is>
      </c>
      <c r="C2197" s="49" t="inlineStr">
        <is>
          <t>3×3×7×307</t>
        </is>
      </c>
      <c r="D2197" s="49" t="inlineStr">
        <is>
          <t>3·7</t>
        </is>
      </c>
      <c r="E2197" s="49" t="inlineStr"/>
      <c r="F2197" s="49" t="inlineStr"/>
    </row>
    <row r="2198" ht="13" customHeight="1">
      <c r="A2198" s="43" t="inlineStr">
        <is>
          <t>19403</t>
        </is>
      </c>
      <c r="B2198" s="43" t="inlineStr">
        <is>
          <t>7095</t>
        </is>
      </c>
      <c r="C2198" s="43" t="inlineStr">
        <is>
          <t>3×5×11×43</t>
        </is>
      </c>
      <c r="D2198" s="43" t="inlineStr">
        <is>
          <t>3·5·11</t>
        </is>
      </c>
      <c r="E2198" s="43" t="inlineStr"/>
      <c r="F2198" s="43" t="inlineStr"/>
    </row>
    <row r="2199" ht="13" customHeight="1">
      <c r="A2199" s="41" t="inlineStr">
        <is>
          <t>19417</t>
        </is>
      </c>
      <c r="B2199" s="41" t="inlineStr">
        <is>
          <t>29510</t>
        </is>
      </c>
      <c r="C2199" s="41" t="inlineStr">
        <is>
          <t>2×5×13×227</t>
        </is>
      </c>
      <c r="D2199" s="41" t="inlineStr">
        <is>
          <t>2·5·13</t>
        </is>
      </c>
      <c r="E2199" s="41" t="inlineStr"/>
      <c r="F2199" s="41" t="inlineStr"/>
    </row>
    <row r="2200" ht="13" customHeight="1">
      <c r="A2200" s="50" t="inlineStr">
        <is>
          <t>19421</t>
        </is>
      </c>
      <c r="B2200" s="50" t="inlineStr">
        <is>
          <t>34963</t>
        </is>
      </c>
      <c r="C2200" s="50" t="inlineStr">
        <is>
          <t>34963</t>
        </is>
      </c>
      <c r="D2200" s="50" t="inlineStr">
        <is>
          <t>—</t>
        </is>
      </c>
      <c r="E2200" s="50" t="inlineStr"/>
      <c r="F2200" s="50" t="inlineStr"/>
    </row>
    <row r="2201" ht="13" customHeight="1">
      <c r="A2201" s="49" t="inlineStr">
        <is>
          <t>19423</t>
        </is>
      </c>
      <c r="B2201" s="49" t="inlineStr">
        <is>
          <t>42200</t>
        </is>
      </c>
      <c r="C2201" s="49" t="inlineStr">
        <is>
          <t>2×2×2×5×5×211</t>
        </is>
      </c>
      <c r="D2201" s="49" t="inlineStr">
        <is>
          <t>2·5</t>
        </is>
      </c>
      <c r="E2201" s="49" t="inlineStr"/>
      <c r="F2201" s="49" t="inlineStr"/>
    </row>
    <row r="2202" ht="13" customHeight="1">
      <c r="A2202" s="50" t="inlineStr">
        <is>
          <t>19427</t>
        </is>
      </c>
      <c r="B2202" s="50" t="inlineStr">
        <is>
          <t>38321</t>
        </is>
      </c>
      <c r="C2202" s="50" t="inlineStr">
        <is>
          <t>38321</t>
        </is>
      </c>
      <c r="D2202" s="50" t="inlineStr">
        <is>
          <t>—</t>
        </is>
      </c>
      <c r="E2202" s="50" t="inlineStr"/>
      <c r="F2202" s="50" t="inlineStr"/>
    </row>
    <row r="2203" ht="13" customHeight="1">
      <c r="A2203" s="49" t="inlineStr">
        <is>
          <t>19429</t>
        </is>
      </c>
      <c r="B2203" s="49" t="inlineStr">
        <is>
          <t>33344</t>
        </is>
      </c>
      <c r="C2203" s="49" t="inlineStr">
        <is>
          <t>2×2×2×2×2×2×521</t>
        </is>
      </c>
      <c r="D2203" s="49" t="inlineStr">
        <is>
          <t>2</t>
        </is>
      </c>
      <c r="E2203" s="49" t="inlineStr"/>
      <c r="F2203" s="49" t="inlineStr"/>
    </row>
    <row r="2204" ht="13" customHeight="1">
      <c r="A2204" s="45" t="inlineStr">
        <is>
          <t>19433</t>
        </is>
      </c>
      <c r="B2204" s="45" t="inlineStr">
        <is>
          <t>21798</t>
        </is>
      </c>
      <c r="C2204" s="45" t="inlineStr">
        <is>
          <t>2×3×3×7×173</t>
        </is>
      </c>
      <c r="D2204" s="45" t="inlineStr">
        <is>
          <t>2·3·7</t>
        </is>
      </c>
      <c r="E2204" s="45" t="inlineStr"/>
      <c r="F2204" s="45" t="inlineStr"/>
    </row>
    <row r="2205" ht="13" customHeight="1">
      <c r="A2205" s="49" t="inlineStr">
        <is>
          <t>19441</t>
        </is>
      </c>
      <c r="B2205" s="49" t="inlineStr">
        <is>
          <t>24861</t>
        </is>
      </c>
      <c r="C2205" s="49" t="inlineStr">
        <is>
          <t>3×8287</t>
        </is>
      </c>
      <c r="D2205" s="49" t="inlineStr">
        <is>
          <t>3</t>
        </is>
      </c>
      <c r="E2205" s="49" t="inlineStr"/>
      <c r="F2205" s="49" t="inlineStr"/>
    </row>
    <row r="2206" ht="13" customHeight="1">
      <c r="A2206" s="45" t="inlineStr">
        <is>
          <t>19447</t>
        </is>
      </c>
      <c r="B2206" s="45" t="inlineStr">
        <is>
          <t>7308</t>
        </is>
      </c>
      <c r="C2206" s="45" t="inlineStr">
        <is>
          <t>2×2×3×3×7×29</t>
        </is>
      </c>
      <c r="D2206" s="45" t="inlineStr">
        <is>
          <t>2·3·7</t>
        </is>
      </c>
      <c r="E2206" s="45" t="inlineStr"/>
      <c r="F2206" s="45" t="inlineStr"/>
    </row>
    <row r="2207" ht="13" customHeight="1">
      <c r="A2207" s="49" t="inlineStr">
        <is>
          <t>19457</t>
        </is>
      </c>
      <c r="B2207" s="49" t="inlineStr">
        <is>
          <t>21050</t>
        </is>
      </c>
      <c r="C2207" s="49" t="inlineStr">
        <is>
          <t>2×5×5×421</t>
        </is>
      </c>
      <c r="D2207" s="49" t="inlineStr">
        <is>
          <t>2·5</t>
        </is>
      </c>
      <c r="E2207" s="49" t="inlineStr"/>
      <c r="F2207" s="49" t="inlineStr"/>
    </row>
    <row r="2208" ht="13" customHeight="1">
      <c r="A2208" s="50" t="inlineStr">
        <is>
          <t>19463</t>
        </is>
      </c>
      <c r="B2208" s="50" t="inlineStr">
        <is>
          <t>19441</t>
        </is>
      </c>
      <c r="C2208" s="50" t="inlineStr">
        <is>
          <t>19441</t>
        </is>
      </c>
      <c r="D2208" s="50" t="inlineStr">
        <is>
          <t>—</t>
        </is>
      </c>
      <c r="E2208" s="50" t="inlineStr"/>
      <c r="F2208" s="50" t="inlineStr"/>
    </row>
    <row r="2209" ht="13" customHeight="1">
      <c r="A2209" s="49" t="inlineStr">
        <is>
          <t>19469</t>
        </is>
      </c>
      <c r="B2209" s="49" t="inlineStr">
        <is>
          <t>1126</t>
        </is>
      </c>
      <c r="C2209" s="49" t="inlineStr">
        <is>
          <t>2×563</t>
        </is>
      </c>
      <c r="D2209" s="49" t="inlineStr">
        <is>
          <t>2</t>
        </is>
      </c>
      <c r="E2209" s="49" t="inlineStr"/>
      <c r="F2209" s="49" t="inlineStr"/>
    </row>
    <row r="2210" ht="13" customHeight="1">
      <c r="A2210" s="50" t="inlineStr">
        <is>
          <t>19471</t>
        </is>
      </c>
      <c r="B2210" s="50" t="inlineStr">
        <is>
          <t>11497</t>
        </is>
      </c>
      <c r="C2210" s="50" t="inlineStr">
        <is>
          <t>11497</t>
        </is>
      </c>
      <c r="D2210" s="50" t="inlineStr">
        <is>
          <t>—</t>
        </is>
      </c>
      <c r="E2210" s="50" t="inlineStr"/>
      <c r="F2210" s="50" t="inlineStr"/>
    </row>
    <row r="2211" ht="13" customHeight="1">
      <c r="A2211" s="41" t="inlineStr">
        <is>
          <t>19477</t>
        </is>
      </c>
      <c r="B2211" s="41" t="inlineStr">
        <is>
          <t>7865</t>
        </is>
      </c>
      <c r="C2211" s="41" t="inlineStr">
        <is>
          <t>5×11×11×13</t>
        </is>
      </c>
      <c r="D2211" s="41" t="inlineStr">
        <is>
          <t>5·11·13</t>
        </is>
      </c>
      <c r="E2211" s="41" t="inlineStr"/>
      <c r="F2211" s="41" t="inlineStr"/>
    </row>
    <row r="2212" ht="13" customHeight="1">
      <c r="A2212" s="41" t="inlineStr">
        <is>
          <t>19483</t>
        </is>
      </c>
      <c r="B2212" s="41" t="inlineStr">
        <is>
          <t>18598</t>
        </is>
      </c>
      <c r="C2212" s="41" t="inlineStr">
        <is>
          <t>2×17×547</t>
        </is>
      </c>
      <c r="D2212" s="41" t="inlineStr">
        <is>
          <t>2·17</t>
        </is>
      </c>
      <c r="E2212" s="41" t="inlineStr"/>
      <c r="F2212" s="41" t="inlineStr"/>
    </row>
    <row r="2213" ht="13" customHeight="1">
      <c r="A2213" s="49" t="inlineStr">
        <is>
          <t>19489</t>
        </is>
      </c>
      <c r="B2213" s="49" t="inlineStr">
        <is>
          <t>27837</t>
        </is>
      </c>
      <c r="C2213" s="49" t="inlineStr">
        <is>
          <t>3×3×3×1031</t>
        </is>
      </c>
      <c r="D2213" s="49" t="inlineStr">
        <is>
          <t>3</t>
        </is>
      </c>
      <c r="E2213" s="49" t="inlineStr"/>
      <c r="F2213" s="49" t="inlineStr"/>
    </row>
    <row r="2214" ht="13" customHeight="1">
      <c r="A2214" s="45" t="inlineStr">
        <is>
          <t>19501</t>
        </is>
      </c>
      <c r="B2214" s="45" t="inlineStr">
        <is>
          <t>22122</t>
        </is>
      </c>
      <c r="C2214" s="45" t="inlineStr">
        <is>
          <t>2×3×3×1229</t>
        </is>
      </c>
      <c r="D2214" s="45" t="inlineStr">
        <is>
          <t>2·3</t>
        </is>
      </c>
      <c r="E2214" s="45" t="inlineStr"/>
      <c r="F2214" s="45" t="inlineStr"/>
    </row>
    <row r="2215" ht="13" customHeight="1">
      <c r="A2215" s="50" t="inlineStr">
        <is>
          <t>19507</t>
        </is>
      </c>
      <c r="B2215" s="50" t="inlineStr">
        <is>
          <t>21943</t>
        </is>
      </c>
      <c r="C2215" s="50" t="inlineStr">
        <is>
          <t>21943</t>
        </is>
      </c>
      <c r="D2215" s="50" t="inlineStr">
        <is>
          <t>—</t>
        </is>
      </c>
      <c r="E2215" s="50" t="inlineStr"/>
      <c r="F2215" s="50" t="inlineStr"/>
    </row>
    <row r="2216" ht="13" customHeight="1">
      <c r="A2216" s="41" t="inlineStr">
        <is>
          <t>19531</t>
        </is>
      </c>
      <c r="B2216" s="41" t="inlineStr">
        <is>
          <t>23257</t>
        </is>
      </c>
      <c r="C2216" s="41" t="inlineStr">
        <is>
          <t>13×1789</t>
        </is>
      </c>
      <c r="D2216" s="41" t="inlineStr">
        <is>
          <t>13</t>
        </is>
      </c>
      <c r="E2216" s="41" t="inlineStr"/>
      <c r="F2216" s="41" t="inlineStr"/>
    </row>
    <row r="2217" ht="13" customHeight="1">
      <c r="A2217" s="50" t="inlineStr">
        <is>
          <t>19541</t>
        </is>
      </c>
      <c r="B2217" s="50" t="inlineStr">
        <is>
          <t>24533</t>
        </is>
      </c>
      <c r="C2217" s="50" t="inlineStr">
        <is>
          <t>24533</t>
        </is>
      </c>
      <c r="D2217" s="50" t="inlineStr">
        <is>
          <t>—</t>
        </is>
      </c>
      <c r="E2217" s="50" t="inlineStr"/>
      <c r="F2217" s="50" t="inlineStr"/>
    </row>
    <row r="2218" ht="13" customHeight="1">
      <c r="A2218" s="45" t="inlineStr">
        <is>
          <t>19543</t>
        </is>
      </c>
      <c r="B2218" s="45" t="inlineStr">
        <is>
          <t>24306</t>
        </is>
      </c>
      <c r="C2218" s="45" t="inlineStr">
        <is>
          <t>2×3×4051</t>
        </is>
      </c>
      <c r="D2218" s="45" t="inlineStr">
        <is>
          <t>2·3</t>
        </is>
      </c>
      <c r="E2218" s="45" t="inlineStr"/>
      <c r="F2218" s="45" t="inlineStr"/>
    </row>
    <row r="2219" ht="13" customHeight="1">
      <c r="A2219" s="49" t="inlineStr">
        <is>
          <t>19553</t>
        </is>
      </c>
      <c r="B2219" s="49" t="inlineStr">
        <is>
          <t>9447</t>
        </is>
      </c>
      <c r="C2219" s="49" t="inlineStr">
        <is>
          <t>3×47×67</t>
        </is>
      </c>
      <c r="D2219" s="49" t="inlineStr">
        <is>
          <t>3</t>
        </is>
      </c>
      <c r="E2219" s="49" t="inlineStr"/>
      <c r="F2219" s="49" t="inlineStr"/>
    </row>
    <row r="2220" ht="13" customHeight="1">
      <c r="A2220" s="45" t="inlineStr">
        <is>
          <t>19559</t>
        </is>
      </c>
      <c r="B2220" s="45" t="inlineStr">
        <is>
          <t>1244</t>
        </is>
      </c>
      <c r="C2220" s="45" t="inlineStr">
        <is>
          <t>2×2×311</t>
        </is>
      </c>
      <c r="D2220" s="45" t="inlineStr">
        <is>
          <t>2</t>
        </is>
      </c>
      <c r="E2220" s="45" t="inlineStr"/>
      <c r="F2220" s="45" t="inlineStr"/>
    </row>
    <row r="2221" ht="13" customHeight="1">
      <c r="A2221" s="49" t="inlineStr">
        <is>
          <t>19571</t>
        </is>
      </c>
      <c r="B2221" s="49" t="inlineStr">
        <is>
          <t>34362</t>
        </is>
      </c>
      <c r="C2221" s="49" t="inlineStr">
        <is>
          <t>2×3×3×23×83</t>
        </is>
      </c>
      <c r="D2221" s="49" t="inlineStr">
        <is>
          <t>2·3</t>
        </is>
      </c>
      <c r="E2221" s="49" t="inlineStr"/>
      <c r="F2221" s="49" t="inlineStr"/>
    </row>
    <row r="2222" ht="13" customHeight="1">
      <c r="A2222" s="50" t="inlineStr">
        <is>
          <t>19577</t>
        </is>
      </c>
      <c r="B2222" s="50" t="inlineStr">
        <is>
          <t>41269</t>
        </is>
      </c>
      <c r="C2222" s="50" t="inlineStr">
        <is>
          <t>41269</t>
        </is>
      </c>
      <c r="D2222" s="50" t="inlineStr">
        <is>
          <t>—</t>
        </is>
      </c>
      <c r="E2222" s="50" t="inlineStr"/>
      <c r="F2222" s="50" t="inlineStr"/>
    </row>
    <row r="2223" ht="13" customHeight="1">
      <c r="A2223" s="49" t="inlineStr">
        <is>
          <t>19583</t>
        </is>
      </c>
      <c r="B2223" s="49" t="inlineStr">
        <is>
          <t>36840</t>
        </is>
      </c>
      <c r="C2223" s="49" t="inlineStr">
        <is>
          <t>2×2×2×3×5×307</t>
        </is>
      </c>
      <c r="D2223" s="49" t="inlineStr">
        <is>
          <t>2·3·5</t>
        </is>
      </c>
      <c r="E2223" s="49" t="inlineStr"/>
      <c r="F2223" s="49" t="inlineStr"/>
    </row>
    <row r="2224" ht="13" customHeight="1">
      <c r="A2224" s="45" t="inlineStr">
        <is>
          <t>19597</t>
        </is>
      </c>
      <c r="B2224" s="45" t="inlineStr">
        <is>
          <t>42699</t>
        </is>
      </c>
      <c r="C2224" s="45" t="inlineStr">
        <is>
          <t>3×43×331</t>
        </is>
      </c>
      <c r="D2224" s="45" t="inlineStr">
        <is>
          <t>3</t>
        </is>
      </c>
      <c r="E2224" s="45" t="inlineStr"/>
      <c r="F2224" s="45" t="inlineStr"/>
    </row>
    <row r="2225" ht="13" customHeight="1">
      <c r="A2225" s="49" t="inlineStr">
        <is>
          <t>19603</t>
        </is>
      </c>
      <c r="B2225" s="49" t="inlineStr">
        <is>
          <t>2270</t>
        </is>
      </c>
      <c r="C2225" s="49" t="inlineStr">
        <is>
          <t>2×5×227</t>
        </is>
      </c>
      <c r="D2225" s="49" t="inlineStr">
        <is>
          <t>2·5</t>
        </is>
      </c>
      <c r="E2225" s="49" t="inlineStr"/>
      <c r="F2225" s="49" t="inlineStr"/>
    </row>
    <row r="2226" ht="13" customHeight="1">
      <c r="A2226" s="43" t="inlineStr">
        <is>
          <t>19609</t>
        </is>
      </c>
      <c r="B2226" s="43" t="inlineStr">
        <is>
          <t>41811</t>
        </is>
      </c>
      <c r="C2226" s="43" t="inlineStr">
        <is>
          <t>3×7×11×181</t>
        </is>
      </c>
      <c r="D2226" s="43" t="inlineStr">
        <is>
          <t>3·7·11</t>
        </is>
      </c>
      <c r="E2226" s="43" t="inlineStr"/>
      <c r="F2226" s="43" t="inlineStr"/>
    </row>
    <row r="2227" ht="13" customHeight="1">
      <c r="A2227" s="49" t="inlineStr">
        <is>
          <t>19661</t>
        </is>
      </c>
      <c r="B2227" s="49" t="inlineStr">
        <is>
          <t>15673</t>
        </is>
      </c>
      <c r="C2227" s="49" t="inlineStr">
        <is>
          <t>7×2239</t>
        </is>
      </c>
      <c r="D2227" s="49" t="inlineStr">
        <is>
          <t>7</t>
        </is>
      </c>
      <c r="E2227" s="49" t="inlineStr"/>
      <c r="F2227" s="49" t="inlineStr"/>
    </row>
    <row r="2228" ht="13" customHeight="1">
      <c r="A2228" s="41" t="inlineStr">
        <is>
          <t>19681</t>
        </is>
      </c>
      <c r="B2228" s="41" t="inlineStr">
        <is>
          <t>962</t>
        </is>
      </c>
      <c r="C2228" s="41" t="inlineStr">
        <is>
          <t>2×13×37</t>
        </is>
      </c>
      <c r="D2228" s="41" t="inlineStr">
        <is>
          <t>2·13</t>
        </is>
      </c>
      <c r="E2228" s="41" t="inlineStr"/>
      <c r="F2228" s="41" t="inlineStr"/>
    </row>
    <row r="2229" ht="13" customHeight="1">
      <c r="A2229" s="49" t="inlineStr">
        <is>
          <t>19687</t>
        </is>
      </c>
      <c r="B2229" s="49" t="inlineStr">
        <is>
          <t>10130</t>
        </is>
      </c>
      <c r="C2229" s="49" t="inlineStr">
        <is>
          <t>2×5×1013</t>
        </is>
      </c>
      <c r="D2229" s="49" t="inlineStr">
        <is>
          <t>2·5</t>
        </is>
      </c>
      <c r="E2229" s="49" t="inlineStr"/>
      <c r="F2229" s="49" t="inlineStr"/>
    </row>
    <row r="2230" ht="13" customHeight="1">
      <c r="A2230" s="45" t="inlineStr">
        <is>
          <t>19697</t>
        </is>
      </c>
      <c r="B2230" s="45" t="inlineStr">
        <is>
          <t>32399</t>
        </is>
      </c>
      <c r="C2230" s="45" t="inlineStr">
        <is>
          <t>179×181</t>
        </is>
      </c>
      <c r="D2230" s="45" t="inlineStr">
        <is>
          <t>—</t>
        </is>
      </c>
      <c r="E2230" s="45" t="inlineStr"/>
      <c r="F2230" s="45" t="inlineStr"/>
    </row>
    <row r="2231" ht="13" customHeight="1">
      <c r="A2231" s="49" t="inlineStr">
        <is>
          <t>19699</t>
        </is>
      </c>
      <c r="B2231" s="49" t="inlineStr">
        <is>
          <t>15954</t>
        </is>
      </c>
      <c r="C2231" s="49" t="inlineStr">
        <is>
          <t>2×3×2659</t>
        </is>
      </c>
      <c r="D2231" s="49" t="inlineStr">
        <is>
          <t>2·3</t>
        </is>
      </c>
      <c r="E2231" s="49" t="inlineStr"/>
      <c r="F2231" s="49" t="inlineStr"/>
    </row>
    <row r="2232" ht="13" customHeight="1">
      <c r="A2232" s="45" t="inlineStr">
        <is>
          <t>19709</t>
        </is>
      </c>
      <c r="B2232" s="45" t="inlineStr">
        <is>
          <t>18573</t>
        </is>
      </c>
      <c r="C2232" s="45" t="inlineStr">
        <is>
          <t>3×41×151</t>
        </is>
      </c>
      <c r="D2232" s="45" t="inlineStr">
        <is>
          <t>3</t>
        </is>
      </c>
      <c r="E2232" s="45" t="inlineStr"/>
      <c r="F2232" s="45" t="inlineStr"/>
    </row>
    <row r="2233" ht="13" customHeight="1">
      <c r="A2233" s="49" t="inlineStr">
        <is>
          <t>19717</t>
        </is>
      </c>
      <c r="B2233" s="49" t="inlineStr">
        <is>
          <t>30268</t>
        </is>
      </c>
      <c r="C2233" s="49" t="inlineStr">
        <is>
          <t>2×2×7×23×47</t>
        </is>
      </c>
      <c r="D2233" s="49" t="inlineStr">
        <is>
          <t>2·7</t>
        </is>
      </c>
      <c r="E2233" s="49" t="inlineStr"/>
      <c r="F2233" s="49" t="inlineStr"/>
    </row>
    <row r="2234" ht="13" customHeight="1">
      <c r="A2234" s="45" t="inlineStr">
        <is>
          <t>19727</t>
        </is>
      </c>
      <c r="B2234" s="45" t="inlineStr">
        <is>
          <t>36358</t>
        </is>
      </c>
      <c r="C2234" s="45" t="inlineStr">
        <is>
          <t>2×7×7×7×53</t>
        </is>
      </c>
      <c r="D2234" s="45" t="inlineStr">
        <is>
          <t>2·7</t>
        </is>
      </c>
      <c r="E2234" s="45" t="inlineStr"/>
      <c r="F2234" s="45" t="inlineStr"/>
    </row>
    <row r="2235" ht="13" customHeight="1">
      <c r="A2235" s="49" t="inlineStr">
        <is>
          <t>19739</t>
        </is>
      </c>
      <c r="B2235" s="49" t="inlineStr">
        <is>
          <t>42231</t>
        </is>
      </c>
      <c r="C2235" s="49" t="inlineStr">
        <is>
          <t>3×7×2011</t>
        </is>
      </c>
      <c r="D2235" s="49" t="inlineStr">
        <is>
          <t>3·7</t>
        </is>
      </c>
      <c r="E2235" s="49" t="inlineStr"/>
      <c r="F2235" s="49" t="inlineStr"/>
    </row>
    <row r="2236" ht="13" customHeight="1">
      <c r="A2236" s="41" t="inlineStr">
        <is>
          <t>19751</t>
        </is>
      </c>
      <c r="B2236" s="41" t="inlineStr">
        <is>
          <t>42042</t>
        </is>
      </c>
      <c r="C2236" s="41" t="inlineStr">
        <is>
          <t>2×3×7×7×11×13</t>
        </is>
      </c>
      <c r="D2236" s="41" t="inlineStr">
        <is>
          <t>2·3·7·11·13</t>
        </is>
      </c>
      <c r="E2236" s="41" t="inlineStr"/>
      <c r="F2236" s="41" t="inlineStr"/>
    </row>
    <row r="2237" ht="13" customHeight="1">
      <c r="A2237" s="41" t="inlineStr">
        <is>
          <t>19753</t>
        </is>
      </c>
      <c r="B2237" s="41" t="inlineStr">
        <is>
          <t>23738</t>
        </is>
      </c>
      <c r="C2237" s="41" t="inlineStr">
        <is>
          <t>2×11×13×83</t>
        </is>
      </c>
      <c r="D2237" s="41" t="inlineStr">
        <is>
          <t>2·11·13</t>
        </is>
      </c>
      <c r="E2237" s="41" t="inlineStr"/>
      <c r="F2237" s="41" t="inlineStr"/>
    </row>
    <row r="2238" ht="13" customHeight="1">
      <c r="A2238" s="45" t="inlineStr">
        <is>
          <t>19759</t>
        </is>
      </c>
      <c r="B2238" s="45" t="inlineStr">
        <is>
          <t>16151</t>
        </is>
      </c>
      <c r="C2238" s="45" t="inlineStr">
        <is>
          <t>31×521</t>
        </is>
      </c>
      <c r="D2238" s="45" t="inlineStr">
        <is>
          <t>—</t>
        </is>
      </c>
      <c r="E2238" s="45" t="inlineStr"/>
      <c r="F2238" s="45" t="inlineStr"/>
    </row>
    <row r="2239" ht="13" customHeight="1">
      <c r="A2239" s="49" t="inlineStr">
        <is>
          <t>19763</t>
        </is>
      </c>
      <c r="B2239" s="49" t="inlineStr">
        <is>
          <t>34230</t>
        </is>
      </c>
      <c r="C2239" s="49" t="inlineStr">
        <is>
          <t>2×3×5×7×163</t>
        </is>
      </c>
      <c r="D2239" s="49" t="inlineStr">
        <is>
          <t>2·3·5·7</t>
        </is>
      </c>
      <c r="E2239" s="49" t="inlineStr"/>
      <c r="F2239" s="49" t="inlineStr"/>
    </row>
    <row r="2240" ht="13" customHeight="1">
      <c r="A2240" s="45" t="inlineStr">
        <is>
          <t>19777</t>
        </is>
      </c>
      <c r="B2240" s="45" t="inlineStr">
        <is>
          <t>38492</t>
        </is>
      </c>
      <c r="C2240" s="45" t="inlineStr">
        <is>
          <t>2×2×9623</t>
        </is>
      </c>
      <c r="D2240" s="45" t="inlineStr">
        <is>
          <t>2</t>
        </is>
      </c>
      <c r="E2240" s="45" t="inlineStr"/>
      <c r="F2240" s="45" t="inlineStr"/>
    </row>
    <row r="2241" ht="13" customHeight="1">
      <c r="A2241" s="49" t="inlineStr">
        <is>
          <t>19793</t>
        </is>
      </c>
      <c r="B2241" s="49" t="inlineStr">
        <is>
          <t>35766</t>
        </is>
      </c>
      <c r="C2241" s="49" t="inlineStr">
        <is>
          <t>2×3×3×1987</t>
        </is>
      </c>
      <c r="D2241" s="49" t="inlineStr">
        <is>
          <t>2·3</t>
        </is>
      </c>
      <c r="E2241" s="49" t="inlineStr"/>
      <c r="F2241" s="49" t="inlineStr"/>
    </row>
    <row r="2242" ht="13" customHeight="1">
      <c r="A2242" s="51" t="inlineStr">
        <is>
          <t>19801</t>
        </is>
      </c>
      <c r="B2242" s="51" t="inlineStr">
        <is>
          <t>32642</t>
        </is>
      </c>
      <c r="C2242" s="51" t="inlineStr">
        <is>
          <t>2×19×859</t>
        </is>
      </c>
      <c r="D2242" s="51" t="inlineStr">
        <is>
          <t>2·19</t>
        </is>
      </c>
      <c r="E2242" s="51" t="inlineStr"/>
      <c r="F2242" s="51" t="inlineStr"/>
    </row>
    <row r="2243" ht="13" customHeight="1">
      <c r="A2243" s="50" t="inlineStr">
        <is>
          <t>19813</t>
        </is>
      </c>
      <c r="B2243" s="50" t="inlineStr">
        <is>
          <t>4273</t>
        </is>
      </c>
      <c r="C2243" s="50" t="inlineStr">
        <is>
          <t>4273</t>
        </is>
      </c>
      <c r="D2243" s="50" t="inlineStr">
        <is>
          <t>—</t>
        </is>
      </c>
      <c r="E2243" s="50" t="inlineStr"/>
      <c r="F2243" s="50" t="inlineStr"/>
    </row>
    <row r="2244" ht="13" customHeight="1">
      <c r="A2244" s="45" t="inlineStr">
        <is>
          <t>19819</t>
        </is>
      </c>
      <c r="B2244" s="45" t="inlineStr">
        <is>
          <t>28208</t>
        </is>
      </c>
      <c r="C2244" s="45" t="inlineStr">
        <is>
          <t>2×2×2×2×41×43</t>
        </is>
      </c>
      <c r="D2244" s="45" t="inlineStr">
        <is>
          <t>2</t>
        </is>
      </c>
      <c r="E2244" s="45" t="inlineStr"/>
      <c r="F2244" s="45" t="inlineStr"/>
    </row>
    <row r="2245" ht="13" customHeight="1">
      <c r="A2245" s="49" t="inlineStr">
        <is>
          <t>19841</t>
        </is>
      </c>
      <c r="B2245" s="49" t="inlineStr">
        <is>
          <t>13276</t>
        </is>
      </c>
      <c r="C2245" s="49" t="inlineStr">
        <is>
          <t>2×2×3319</t>
        </is>
      </c>
      <c r="D2245" s="49" t="inlineStr">
        <is>
          <t>2</t>
        </is>
      </c>
      <c r="E2245" s="49" t="inlineStr"/>
      <c r="F2245" s="49" t="inlineStr"/>
    </row>
    <row r="2246" ht="13" customHeight="1">
      <c r="A2246" s="41" t="inlineStr">
        <is>
          <t>19843</t>
        </is>
      </c>
      <c r="B2246" s="41" t="inlineStr">
        <is>
          <t>10842</t>
        </is>
      </c>
      <c r="C2246" s="41" t="inlineStr">
        <is>
          <t>2×3×13×139</t>
        </is>
      </c>
      <c r="D2246" s="41" t="inlineStr">
        <is>
          <t>2·3·13</t>
        </is>
      </c>
      <c r="E2246" s="41" t="inlineStr"/>
      <c r="F2246" s="41" t="inlineStr"/>
    </row>
    <row r="2247" ht="13" customHeight="1">
      <c r="A2247" s="49" t="inlineStr">
        <is>
          <t>19853</t>
        </is>
      </c>
      <c r="B2247" s="49" t="inlineStr">
        <is>
          <t>20715</t>
        </is>
      </c>
      <c r="C2247" s="49" t="inlineStr">
        <is>
          <t>3×5×1381</t>
        </is>
      </c>
      <c r="D2247" s="49" t="inlineStr">
        <is>
          <t>3·5</t>
        </is>
      </c>
      <c r="E2247" s="49" t="inlineStr"/>
      <c r="F2247" s="49" t="inlineStr"/>
    </row>
    <row r="2248" ht="13" customHeight="1">
      <c r="A2248" s="45" t="inlineStr">
        <is>
          <t>19861</t>
        </is>
      </c>
      <c r="B2248" s="45" t="inlineStr">
        <is>
          <t>36796</t>
        </is>
      </c>
      <c r="C2248" s="45" t="inlineStr">
        <is>
          <t>2×2×9199</t>
        </is>
      </c>
      <c r="D2248" s="45" t="inlineStr">
        <is>
          <t>2</t>
        </is>
      </c>
      <c r="E2248" s="45" t="inlineStr"/>
      <c r="F2248" s="45" t="inlineStr"/>
    </row>
    <row r="2249" ht="13" customHeight="1">
      <c r="A2249" s="49" t="inlineStr">
        <is>
          <t>19867</t>
        </is>
      </c>
      <c r="B2249" s="49" t="inlineStr">
        <is>
          <t>19221</t>
        </is>
      </c>
      <c r="C2249" s="49" t="inlineStr">
        <is>
          <t>3×43×149</t>
        </is>
      </c>
      <c r="D2249" s="49" t="inlineStr">
        <is>
          <t>3</t>
        </is>
      </c>
      <c r="E2249" s="49" t="inlineStr"/>
      <c r="F2249" s="49" t="inlineStr"/>
    </row>
    <row r="2250" ht="13" customHeight="1">
      <c r="A2250" s="45" t="inlineStr">
        <is>
          <t>19889</t>
        </is>
      </c>
      <c r="B2250" s="45" t="inlineStr">
        <is>
          <t>27760</t>
        </is>
      </c>
      <c r="C2250" s="45" t="inlineStr">
        <is>
          <t>2×2×2×2×5×347</t>
        </is>
      </c>
      <c r="D2250" s="45" t="inlineStr">
        <is>
          <t>2·5</t>
        </is>
      </c>
      <c r="E2250" s="45" t="inlineStr"/>
      <c r="F2250" s="45" t="inlineStr"/>
    </row>
    <row r="2251" ht="13" customHeight="1">
      <c r="A2251" s="49" t="inlineStr">
        <is>
          <t>19891</t>
        </is>
      </c>
      <c r="B2251" s="49" t="inlineStr">
        <is>
          <t>27490</t>
        </is>
      </c>
      <c r="C2251" s="49" t="inlineStr">
        <is>
          <t>2×5×2749</t>
        </is>
      </c>
      <c r="D2251" s="49" t="inlineStr">
        <is>
          <t>2·5</t>
        </is>
      </c>
      <c r="E2251" s="49" t="inlineStr"/>
      <c r="F2251" s="49" t="inlineStr"/>
    </row>
    <row r="2252" ht="13" customHeight="1">
      <c r="A2252" s="50" t="inlineStr">
        <is>
          <t>19913</t>
        </is>
      </c>
      <c r="B2252" s="50" t="inlineStr">
        <is>
          <t>3041</t>
        </is>
      </c>
      <c r="C2252" s="50" t="inlineStr">
        <is>
          <t>3041</t>
        </is>
      </c>
      <c r="D2252" s="50" t="inlineStr">
        <is>
          <t>—</t>
        </is>
      </c>
      <c r="E2252" s="50" t="inlineStr"/>
      <c r="F2252" s="50" t="inlineStr"/>
    </row>
    <row r="2253" ht="13" customHeight="1">
      <c r="A2253" s="50" t="inlineStr">
        <is>
          <t>19919</t>
        </is>
      </c>
      <c r="B2253" s="50" t="inlineStr">
        <is>
          <t>1087</t>
        </is>
      </c>
      <c r="C2253" s="50" t="inlineStr">
        <is>
          <t>1087</t>
        </is>
      </c>
      <c r="D2253" s="50" t="inlineStr">
        <is>
          <t>—</t>
        </is>
      </c>
      <c r="E2253" s="50" t="inlineStr"/>
      <c r="F2253" s="50" t="inlineStr"/>
    </row>
    <row r="2254" ht="13" customHeight="1">
      <c r="A2254" s="50" t="inlineStr">
        <is>
          <t>19927</t>
        </is>
      </c>
      <c r="B2254" s="50" t="inlineStr">
        <is>
          <t>32621</t>
        </is>
      </c>
      <c r="C2254" s="50" t="inlineStr">
        <is>
          <t>32621</t>
        </is>
      </c>
      <c r="D2254" s="50" t="inlineStr">
        <is>
          <t>—</t>
        </is>
      </c>
      <c r="E2254" s="50" t="inlineStr"/>
      <c r="F2254" s="50" t="inlineStr"/>
    </row>
    <row r="2255" ht="13" customHeight="1">
      <c r="A2255" s="43" t="inlineStr">
        <is>
          <t>19937</t>
        </is>
      </c>
      <c r="B2255" s="43" t="inlineStr">
        <is>
          <t>37796</t>
        </is>
      </c>
      <c r="C2255" s="43" t="inlineStr">
        <is>
          <t>2×2×11×859</t>
        </is>
      </c>
      <c r="D2255" s="43" t="inlineStr">
        <is>
          <t>2·11</t>
        </is>
      </c>
      <c r="E2255" s="43" t="inlineStr"/>
      <c r="F2255" s="43" t="inlineStr"/>
    </row>
    <row r="2256" ht="13" customHeight="1">
      <c r="A2256" s="45" t="inlineStr">
        <is>
          <t>19949</t>
        </is>
      </c>
      <c r="B2256" s="45" t="inlineStr">
        <is>
          <t>42694</t>
        </is>
      </c>
      <c r="C2256" s="45" t="inlineStr">
        <is>
          <t>2×21347</t>
        </is>
      </c>
      <c r="D2256" s="45" t="inlineStr">
        <is>
          <t>2</t>
        </is>
      </c>
      <c r="E2256" s="45" t="inlineStr"/>
      <c r="F2256" s="45" t="inlineStr"/>
    </row>
    <row r="2257" ht="13" customHeight="1">
      <c r="A2257" s="49" t="inlineStr">
        <is>
          <t>19961</t>
        </is>
      </c>
      <c r="B2257" s="49" t="inlineStr">
        <is>
          <t>20476</t>
        </is>
      </c>
      <c r="C2257" s="49" t="inlineStr">
        <is>
          <t>2×2×5119</t>
        </is>
      </c>
      <c r="D2257" s="49" t="inlineStr">
        <is>
          <t>2</t>
        </is>
      </c>
      <c r="E2257" s="49" t="inlineStr"/>
      <c r="F2257" s="49" t="inlineStr"/>
    </row>
    <row r="2258" ht="13" customHeight="1">
      <c r="A2258" s="41" t="inlineStr">
        <is>
          <t>19963</t>
        </is>
      </c>
      <c r="B2258" s="41" t="inlineStr">
        <is>
          <t>39013</t>
        </is>
      </c>
      <c r="C2258" s="41" t="inlineStr">
        <is>
          <t>13×3001</t>
        </is>
      </c>
      <c r="D2258" s="41" t="inlineStr">
        <is>
          <t>13</t>
        </is>
      </c>
      <c r="E2258" s="41" t="inlineStr"/>
      <c r="F2258" s="41" t="inlineStr"/>
    </row>
    <row r="2259" ht="13" customHeight="1">
      <c r="A2259" s="49" t="inlineStr">
        <is>
          <t>19973</t>
        </is>
      </c>
      <c r="B2259" s="49" t="inlineStr">
        <is>
          <t>36748</t>
        </is>
      </c>
      <c r="C2259" s="49" t="inlineStr">
        <is>
          <t>2×2×9187</t>
        </is>
      </c>
      <c r="D2259" s="49" t="inlineStr">
        <is>
          <t>2</t>
        </is>
      </c>
      <c r="E2259" s="49" t="inlineStr"/>
      <c r="F2259" s="49" t="inlineStr"/>
    </row>
    <row r="2260" ht="13" customHeight="1">
      <c r="A2260" s="50" t="inlineStr">
        <is>
          <t>19979</t>
        </is>
      </c>
      <c r="B2260" s="50" t="inlineStr">
        <is>
          <t>12619</t>
        </is>
      </c>
      <c r="C2260" s="50" t="inlineStr">
        <is>
          <t>12619</t>
        </is>
      </c>
      <c r="D2260" s="50" t="inlineStr">
        <is>
          <t>—</t>
        </is>
      </c>
      <c r="E2260" s="50" t="inlineStr"/>
      <c r="F2260" s="50" t="inlineStr"/>
    </row>
    <row r="2261" ht="13" customHeight="1">
      <c r="A2261" s="49" t="inlineStr">
        <is>
          <t>19991</t>
        </is>
      </c>
      <c r="B2261" s="49" t="inlineStr">
        <is>
          <t>28695</t>
        </is>
      </c>
      <c r="C2261" s="49" t="inlineStr">
        <is>
          <t>3×5×1913</t>
        </is>
      </c>
      <c r="D2261" s="49" t="inlineStr">
        <is>
          <t>3·5</t>
        </is>
      </c>
      <c r="E2261" s="49" t="inlineStr"/>
      <c r="F2261" s="49" t="inlineStr"/>
    </row>
    <row r="2262" ht="13" customHeight="1">
      <c r="A2262" s="45" t="inlineStr">
        <is>
          <t>19993</t>
        </is>
      </c>
      <c r="B2262" s="45" t="inlineStr">
        <is>
          <t>25689</t>
        </is>
      </c>
      <c r="C2262" s="45" t="inlineStr">
        <is>
          <t>3×8563</t>
        </is>
      </c>
      <c r="D2262" s="45" t="inlineStr">
        <is>
          <t>3</t>
        </is>
      </c>
      <c r="E2262" s="45" t="inlineStr"/>
      <c r="F2262" s="45" t="inlineStr"/>
    </row>
    <row r="2263" ht="13" customHeight="1">
      <c r="A2263" s="49" t="inlineStr">
        <is>
          <t>19997</t>
        </is>
      </c>
      <c r="B2263" s="49" t="inlineStr">
        <is>
          <t>2614</t>
        </is>
      </c>
      <c r="C2263" s="49" t="inlineStr">
        <is>
          <t>2×1307</t>
        </is>
      </c>
      <c r="D2263" s="49" t="inlineStr">
        <is>
          <t>2</t>
        </is>
      </c>
      <c r="E2263" s="49" t="inlineStr"/>
      <c r="F2263" s="49" t="inlineStr"/>
    </row>
    <row r="2264" ht="13" customHeight="1">
      <c r="A2264" s="45" t="inlineStr">
        <is>
          <t>20011</t>
        </is>
      </c>
      <c r="B2264" s="45" t="inlineStr">
        <is>
          <t>28258</t>
        </is>
      </c>
      <c r="C2264" s="45" t="inlineStr">
        <is>
          <t>2×71×199</t>
        </is>
      </c>
      <c r="D2264" s="45" t="inlineStr">
        <is>
          <t>2</t>
        </is>
      </c>
      <c r="E2264" s="45" t="inlineStr"/>
      <c r="F2264" s="45" t="inlineStr"/>
    </row>
    <row r="2265" ht="13" customHeight="1">
      <c r="A2265" s="49" t="inlineStr">
        <is>
          <t>20021</t>
        </is>
      </c>
      <c r="B2265" s="49" t="inlineStr">
        <is>
          <t>6374</t>
        </is>
      </c>
      <c r="C2265" s="49" t="inlineStr">
        <is>
          <t>2×3187</t>
        </is>
      </c>
      <c r="D2265" s="49" t="inlineStr">
        <is>
          <t>2</t>
        </is>
      </c>
      <c r="E2265" s="49" t="inlineStr"/>
      <c r="F2265" s="49" t="inlineStr"/>
    </row>
    <row r="2266" ht="13" customHeight="1">
      <c r="A2266" s="41" t="inlineStr">
        <is>
          <t>20023</t>
        </is>
      </c>
      <c r="B2266" s="41" t="inlineStr">
        <is>
          <t>4355</t>
        </is>
      </c>
      <c r="C2266" s="41" t="inlineStr">
        <is>
          <t>5×13×67</t>
        </is>
      </c>
      <c r="D2266" s="41" t="inlineStr">
        <is>
          <t>5·13</t>
        </is>
      </c>
      <c r="E2266" s="41" t="inlineStr"/>
      <c r="F2266" s="41" t="inlineStr"/>
    </row>
    <row r="2267" ht="13" customHeight="1">
      <c r="A2267" s="41" t="inlineStr">
        <is>
          <t>20029</t>
        </is>
      </c>
      <c r="B2267" s="41" t="inlineStr">
        <is>
          <t>8347</t>
        </is>
      </c>
      <c r="C2267" s="41" t="inlineStr">
        <is>
          <t>17×491</t>
        </is>
      </c>
      <c r="D2267" s="41" t="inlineStr">
        <is>
          <t>17</t>
        </is>
      </c>
      <c r="E2267" s="41" t="inlineStr"/>
      <c r="F2267" s="41" t="inlineStr"/>
    </row>
    <row r="2268" ht="13" customHeight="1">
      <c r="A2268" s="41" t="inlineStr">
        <is>
          <t>20047</t>
        </is>
      </c>
      <c r="B2268" s="41" t="inlineStr">
        <is>
          <t>30464</t>
        </is>
      </c>
      <c r="C2268" s="41" t="inlineStr">
        <is>
          <t>2×2×2×2×2×2×2×2×7×17</t>
        </is>
      </c>
      <c r="D2268" s="41" t="inlineStr">
        <is>
          <t>2·7·17</t>
        </is>
      </c>
      <c r="E2268" s="41" t="inlineStr"/>
      <c r="F2268" s="41" t="inlineStr"/>
    </row>
    <row r="2269" ht="13" customHeight="1">
      <c r="A2269" s="49" t="inlineStr">
        <is>
          <t>20051</t>
        </is>
      </c>
      <c r="B2269" s="49" t="inlineStr">
        <is>
          <t>772</t>
        </is>
      </c>
      <c r="C2269" s="49" t="inlineStr">
        <is>
          <t>2×2×193</t>
        </is>
      </c>
      <c r="D2269" s="49" t="inlineStr">
        <is>
          <t>2</t>
        </is>
      </c>
      <c r="E2269" s="49" t="inlineStr"/>
      <c r="F2269" s="49" t="inlineStr"/>
    </row>
    <row r="2270" ht="13" customHeight="1">
      <c r="A2270" s="45" t="inlineStr">
        <is>
          <t>20063</t>
        </is>
      </c>
      <c r="B2270" s="45" t="inlineStr">
        <is>
          <t>29316</t>
        </is>
      </c>
      <c r="C2270" s="45" t="inlineStr">
        <is>
          <t>2×2×3×7×349</t>
        </is>
      </c>
      <c r="D2270" s="45" t="inlineStr">
        <is>
          <t>2·3·7</t>
        </is>
      </c>
      <c r="E2270" s="45" t="inlineStr"/>
      <c r="F2270" s="45" t="inlineStr"/>
    </row>
    <row r="2271" ht="13" customHeight="1">
      <c r="A2271" s="49" t="inlineStr">
        <is>
          <t>20071</t>
        </is>
      </c>
      <c r="B2271" s="49" t="inlineStr">
        <is>
          <t>21292</t>
        </is>
      </c>
      <c r="C2271" s="49" t="inlineStr">
        <is>
          <t>2×2×5323</t>
        </is>
      </c>
      <c r="D2271" s="49" t="inlineStr">
        <is>
          <t>2</t>
        </is>
      </c>
      <c r="E2271" s="49" t="inlineStr"/>
      <c r="F2271" s="49" t="inlineStr"/>
    </row>
    <row r="2272" ht="13" customHeight="1">
      <c r="A2272" s="45" t="inlineStr">
        <is>
          <t>20089</t>
        </is>
      </c>
      <c r="B2272" s="45" t="inlineStr">
        <is>
          <t>32207</t>
        </is>
      </c>
      <c r="C2272" s="45" t="inlineStr">
        <is>
          <t>7×43×107</t>
        </is>
      </c>
      <c r="D2272" s="45" t="inlineStr">
        <is>
          <t>7</t>
        </is>
      </c>
      <c r="E2272" s="45" t="inlineStr"/>
      <c r="F2272" s="45" t="inlineStr"/>
    </row>
    <row r="2273" ht="13" customHeight="1">
      <c r="A2273" s="49" t="inlineStr">
        <is>
          <t>20101</t>
        </is>
      </c>
      <c r="B2273" s="49" t="inlineStr">
        <is>
          <t>14204</t>
        </is>
      </c>
      <c r="C2273" s="49" t="inlineStr">
        <is>
          <t>2×2×53×67</t>
        </is>
      </c>
      <c r="D2273" s="49" t="inlineStr">
        <is>
          <t>2</t>
        </is>
      </c>
      <c r="E2273" s="49" t="inlineStr"/>
      <c r="F2273" s="49" t="inlineStr"/>
    </row>
    <row r="2274" ht="13" customHeight="1">
      <c r="A2274" s="45" t="inlineStr">
        <is>
          <t>20107</t>
        </is>
      </c>
      <c r="B2274" s="45" t="inlineStr">
        <is>
          <t>32722</t>
        </is>
      </c>
      <c r="C2274" s="45" t="inlineStr">
        <is>
          <t>2×16361</t>
        </is>
      </c>
      <c r="D2274" s="45" t="inlineStr">
        <is>
          <t>2</t>
        </is>
      </c>
      <c r="E2274" s="45" t="inlineStr"/>
      <c r="F2274" s="45" t="inlineStr"/>
    </row>
    <row r="2275" ht="13" customHeight="1">
      <c r="A2275" s="49" t="inlineStr">
        <is>
          <t>20113</t>
        </is>
      </c>
      <c r="B2275" s="49" t="inlineStr">
        <is>
          <t>15864</t>
        </is>
      </c>
      <c r="C2275" s="49" t="inlineStr">
        <is>
          <t>2×2×2×3×661</t>
        </is>
      </c>
      <c r="D2275" s="49" t="inlineStr">
        <is>
          <t>2·3</t>
        </is>
      </c>
      <c r="E2275" s="49" t="inlineStr"/>
      <c r="F2275" s="49" t="inlineStr"/>
    </row>
    <row r="2276" ht="13" customHeight="1">
      <c r="A2276" s="45" t="inlineStr">
        <is>
          <t>20117</t>
        </is>
      </c>
      <c r="B2276" s="45" t="inlineStr">
        <is>
          <t>30275</t>
        </is>
      </c>
      <c r="C2276" s="45" t="inlineStr">
        <is>
          <t>5×5×7×173</t>
        </is>
      </c>
      <c r="D2276" s="45" t="inlineStr">
        <is>
          <t>5·7</t>
        </is>
      </c>
      <c r="E2276" s="45" t="inlineStr"/>
      <c r="F2276" s="45" t="inlineStr"/>
    </row>
    <row r="2277" ht="13" customHeight="1">
      <c r="A2277" s="49" t="inlineStr">
        <is>
          <t>20123</t>
        </is>
      </c>
      <c r="B2277" s="49" t="inlineStr">
        <is>
          <t>17124</t>
        </is>
      </c>
      <c r="C2277" s="49" t="inlineStr">
        <is>
          <t>2×2×3×1427</t>
        </is>
      </c>
      <c r="D2277" s="49" t="inlineStr">
        <is>
          <t>2·3</t>
        </is>
      </c>
      <c r="E2277" s="49" t="inlineStr"/>
      <c r="F2277" s="49" t="inlineStr"/>
    </row>
    <row r="2278" ht="13" customHeight="1">
      <c r="A2278" s="45" t="inlineStr">
        <is>
          <t>20129</t>
        </is>
      </c>
      <c r="B2278" s="45" t="inlineStr">
        <is>
          <t>36370</t>
        </is>
      </c>
      <c r="C2278" s="45" t="inlineStr">
        <is>
          <t>2×5×3637</t>
        </is>
      </c>
      <c r="D2278" s="45" t="inlineStr">
        <is>
          <t>2·5</t>
        </is>
      </c>
      <c r="E2278" s="45" t="inlineStr"/>
      <c r="F2278" s="45" t="inlineStr"/>
    </row>
    <row r="2279" ht="13" customHeight="1">
      <c r="A2279" s="49" t="inlineStr">
        <is>
          <t>20143</t>
        </is>
      </c>
      <c r="B2279" s="49" t="inlineStr">
        <is>
          <t>33496</t>
        </is>
      </c>
      <c r="C2279" s="49" t="inlineStr">
        <is>
          <t>2×2×2×53×79</t>
        </is>
      </c>
      <c r="D2279" s="49" t="inlineStr">
        <is>
          <t>2</t>
        </is>
      </c>
      <c r="E2279" s="49" t="inlineStr"/>
      <c r="F2279" s="49" t="inlineStr"/>
    </row>
    <row r="2280" ht="13" customHeight="1">
      <c r="A2280" s="45" t="inlineStr">
        <is>
          <t>20147</t>
        </is>
      </c>
      <c r="B2280" s="45" t="inlineStr">
        <is>
          <t>43232</t>
        </is>
      </c>
      <c r="C2280" s="45" t="inlineStr">
        <is>
          <t>2×2×2×2×2×7×193</t>
        </is>
      </c>
      <c r="D2280" s="45" t="inlineStr">
        <is>
          <t>2·7</t>
        </is>
      </c>
      <c r="E2280" s="45" t="inlineStr"/>
      <c r="F2280" s="45" t="inlineStr"/>
    </row>
    <row r="2281" ht="13" customHeight="1">
      <c r="A2281" s="41" t="inlineStr">
        <is>
          <t>20149</t>
        </is>
      </c>
      <c r="B2281" s="41" t="inlineStr">
        <is>
          <t>6344</t>
        </is>
      </c>
      <c r="C2281" s="41" t="inlineStr">
        <is>
          <t>2×2×2×13×61</t>
        </is>
      </c>
      <c r="D2281" s="41" t="inlineStr">
        <is>
          <t>2·13</t>
        </is>
      </c>
      <c r="E2281" s="41" t="inlineStr"/>
      <c r="F2281" s="41" t="inlineStr"/>
    </row>
    <row r="2282" ht="13" customHeight="1">
      <c r="A2282" s="45" t="inlineStr">
        <is>
          <t>20161</t>
        </is>
      </c>
      <c r="B2282" s="45" t="inlineStr">
        <is>
          <t>19235</t>
        </is>
      </c>
      <c r="C2282" s="45" t="inlineStr">
        <is>
          <t>5×3847</t>
        </is>
      </c>
      <c r="D2282" s="45" t="inlineStr">
        <is>
          <t>5</t>
        </is>
      </c>
      <c r="E2282" s="45" t="inlineStr"/>
      <c r="F2282" s="45" t="inlineStr"/>
    </row>
    <row r="2283" ht="13" customHeight="1">
      <c r="A2283" s="49" t="inlineStr">
        <is>
          <t>20173</t>
        </is>
      </c>
      <c r="B2283" s="49" t="inlineStr">
        <is>
          <t>3950</t>
        </is>
      </c>
      <c r="C2283" s="49" t="inlineStr">
        <is>
          <t>2×5×5×79</t>
        </is>
      </c>
      <c r="D2283" s="49" t="inlineStr">
        <is>
          <t>2·5</t>
        </is>
      </c>
      <c r="E2283" s="49" t="inlineStr"/>
      <c r="F2283" s="49" t="inlineStr"/>
    </row>
    <row r="2284" ht="13" customHeight="1">
      <c r="A2284" s="43" t="inlineStr">
        <is>
          <t>20177</t>
        </is>
      </c>
      <c r="B2284" s="43" t="inlineStr">
        <is>
          <t>39215</t>
        </is>
      </c>
      <c r="C2284" s="43" t="inlineStr">
        <is>
          <t>5×11×23×31</t>
        </is>
      </c>
      <c r="D2284" s="43" t="inlineStr">
        <is>
          <t>5·11</t>
        </is>
      </c>
      <c r="E2284" s="43" t="inlineStr"/>
      <c r="F2284" s="43" t="inlineStr"/>
    </row>
    <row r="2285" ht="13" customHeight="1">
      <c r="A2285" s="49" t="inlineStr">
        <is>
          <t>20183</t>
        </is>
      </c>
      <c r="B2285" s="49" t="inlineStr">
        <is>
          <t>4107</t>
        </is>
      </c>
      <c r="C2285" s="49" t="inlineStr">
        <is>
          <t>3×37×37</t>
        </is>
      </c>
      <c r="D2285" s="49" t="inlineStr">
        <is>
          <t>3</t>
        </is>
      </c>
      <c r="E2285" s="49" t="inlineStr"/>
      <c r="F2285" s="49" t="inlineStr"/>
    </row>
    <row r="2286" ht="13" customHeight="1">
      <c r="A2286" s="45" t="inlineStr">
        <is>
          <t>20201</t>
        </is>
      </c>
      <c r="B2286" s="45" t="inlineStr">
        <is>
          <t>40563</t>
        </is>
      </c>
      <c r="C2286" s="45" t="inlineStr">
        <is>
          <t>3×3×4507</t>
        </is>
      </c>
      <c r="D2286" s="45" t="inlineStr">
        <is>
          <t>3</t>
        </is>
      </c>
      <c r="E2286" s="45" t="inlineStr"/>
      <c r="F2286" s="45" t="inlineStr"/>
    </row>
    <row r="2287" ht="13" customHeight="1">
      <c r="A2287" s="49" t="inlineStr">
        <is>
          <t>20219</t>
        </is>
      </c>
      <c r="B2287" s="49" t="inlineStr">
        <is>
          <t>10793</t>
        </is>
      </c>
      <c r="C2287" s="49" t="inlineStr">
        <is>
          <t>43×251</t>
        </is>
      </c>
      <c r="D2287" s="49" t="inlineStr">
        <is>
          <t>—</t>
        </is>
      </c>
      <c r="E2287" s="49" t="inlineStr"/>
      <c r="F2287" s="49" t="inlineStr"/>
    </row>
    <row r="2288" ht="13" customHeight="1">
      <c r="A2288" s="39" t="inlineStr">
        <is>
          <t>20231</t>
        </is>
      </c>
      <c r="B2288" s="39" t="inlineStr">
        <is>
          <t>21000</t>
        </is>
      </c>
      <c r="C2288" s="39" t="inlineStr">
        <is>
          <t>2×2×2×3×5×5×5×7</t>
        </is>
      </c>
      <c r="D2288" s="39" t="inlineStr">
        <is>
          <t>2·3·5·7</t>
        </is>
      </c>
      <c r="E2288" s="39" t="inlineStr"/>
      <c r="F2288" s="39" t="inlineStr"/>
    </row>
    <row r="2289" ht="13" customHeight="1">
      <c r="A2289" s="49" t="inlineStr">
        <is>
          <t>20233</t>
        </is>
      </c>
      <c r="B2289" s="49" t="inlineStr">
        <is>
          <t>8913</t>
        </is>
      </c>
      <c r="C2289" s="49" t="inlineStr">
        <is>
          <t>3×2971</t>
        </is>
      </c>
      <c r="D2289" s="49" t="inlineStr">
        <is>
          <t>3</t>
        </is>
      </c>
      <c r="E2289" s="49" t="inlineStr"/>
      <c r="F2289" s="49" t="inlineStr"/>
    </row>
    <row r="2290" ht="13" customHeight="1">
      <c r="A2290" s="50" t="inlineStr">
        <is>
          <t>20249</t>
        </is>
      </c>
      <c r="B2290" s="50" t="inlineStr">
        <is>
          <t>33287</t>
        </is>
      </c>
      <c r="C2290" s="50" t="inlineStr">
        <is>
          <t>33287</t>
        </is>
      </c>
      <c r="D2290" s="50" t="inlineStr">
        <is>
          <t>—</t>
        </is>
      </c>
      <c r="E2290" s="50" t="inlineStr"/>
      <c r="F2290" s="50" t="inlineStr"/>
    </row>
    <row r="2291" ht="13" customHeight="1">
      <c r="A2291" s="51" t="inlineStr">
        <is>
          <t>20261</t>
        </is>
      </c>
      <c r="B2291" s="51" t="inlineStr">
        <is>
          <t>24092</t>
        </is>
      </c>
      <c r="C2291" s="51" t="inlineStr">
        <is>
          <t>2×2×19×317</t>
        </is>
      </c>
      <c r="D2291" s="51" t="inlineStr">
        <is>
          <t>2·19</t>
        </is>
      </c>
      <c r="E2291" s="51" t="inlineStr"/>
      <c r="F2291" s="51" t="inlineStr"/>
    </row>
    <row r="2292" ht="13" customHeight="1">
      <c r="A2292" s="45" t="inlineStr">
        <is>
          <t>20269</t>
        </is>
      </c>
      <c r="B2292" s="45" t="inlineStr">
        <is>
          <t>43672</t>
        </is>
      </c>
      <c r="C2292" s="45" t="inlineStr">
        <is>
          <t>2×2×2×53×103</t>
        </is>
      </c>
      <c r="D2292" s="45" t="inlineStr">
        <is>
          <t>2</t>
        </is>
      </c>
      <c r="E2292" s="45" t="inlineStr"/>
      <c r="F2292" s="45" t="inlineStr"/>
    </row>
    <row r="2293" ht="13" customHeight="1">
      <c r="A2293" s="43" t="inlineStr">
        <is>
          <t>20287</t>
        </is>
      </c>
      <c r="B2293" s="43" t="inlineStr">
        <is>
          <t>13112</t>
        </is>
      </c>
      <c r="C2293" s="43" t="inlineStr">
        <is>
          <t>2×2×2×11×149</t>
        </is>
      </c>
      <c r="D2293" s="43" t="inlineStr">
        <is>
          <t>2·11</t>
        </is>
      </c>
      <c r="E2293" s="43" t="inlineStr"/>
      <c r="F2293" s="43" t="inlineStr"/>
    </row>
    <row r="2294" ht="13" customHeight="1">
      <c r="A2294" s="45" t="inlineStr">
        <is>
          <t>20297</t>
        </is>
      </c>
      <c r="B2294" s="45" t="inlineStr">
        <is>
          <t>25957</t>
        </is>
      </c>
      <c r="C2294" s="45" t="inlineStr">
        <is>
          <t>101×257</t>
        </is>
      </c>
      <c r="D2294" s="45" t="inlineStr">
        <is>
          <t>—</t>
        </is>
      </c>
      <c r="E2294" s="45" t="inlineStr"/>
      <c r="F2294" s="45" t="inlineStr"/>
    </row>
    <row r="2295" ht="13" customHeight="1">
      <c r="A2295" s="50" t="inlineStr">
        <is>
          <t>20323</t>
        </is>
      </c>
      <c r="B2295" s="50" t="inlineStr">
        <is>
          <t>7027</t>
        </is>
      </c>
      <c r="C2295" s="50" t="inlineStr">
        <is>
          <t>7027</t>
        </is>
      </c>
      <c r="D2295" s="50" t="inlineStr">
        <is>
          <t>—</t>
        </is>
      </c>
      <c r="E2295" s="50" t="inlineStr"/>
      <c r="F2295" s="50" t="inlineStr"/>
    </row>
    <row r="2296" ht="13" customHeight="1">
      <c r="A2296" s="45" t="inlineStr">
        <is>
          <t>20327</t>
        </is>
      </c>
      <c r="B2296" s="45" t="inlineStr">
        <is>
          <t>2763</t>
        </is>
      </c>
      <c r="C2296" s="45" t="inlineStr">
        <is>
          <t>3×3×307</t>
        </is>
      </c>
      <c r="D2296" s="45" t="inlineStr">
        <is>
          <t>3</t>
        </is>
      </c>
      <c r="E2296" s="45" t="inlineStr"/>
      <c r="F2296" s="45" t="inlineStr"/>
    </row>
    <row r="2297" ht="13" customHeight="1">
      <c r="A2297" s="41" t="inlineStr">
        <is>
          <t>20333</t>
        </is>
      </c>
      <c r="B2297" s="41" t="inlineStr">
        <is>
          <t>40378</t>
        </is>
      </c>
      <c r="C2297" s="41" t="inlineStr">
        <is>
          <t>2×13×1553</t>
        </is>
      </c>
      <c r="D2297" s="41" t="inlineStr">
        <is>
          <t>2·13</t>
        </is>
      </c>
      <c r="E2297" s="41" t="inlineStr"/>
      <c r="F2297" s="41" t="inlineStr"/>
    </row>
    <row r="2298" ht="13" customHeight="1">
      <c r="A2298" s="43" t="inlineStr">
        <is>
          <t>20341</t>
        </is>
      </c>
      <c r="B2298" s="43" t="inlineStr">
        <is>
          <t>17512</t>
        </is>
      </c>
      <c r="C2298" s="43" t="inlineStr">
        <is>
          <t>2×2×2×11×199</t>
        </is>
      </c>
      <c r="D2298" s="43" t="inlineStr">
        <is>
          <t>2·11</t>
        </is>
      </c>
      <c r="E2298" s="43" t="inlineStr"/>
      <c r="F2298" s="43" t="inlineStr"/>
    </row>
    <row r="2299" ht="13" customHeight="1">
      <c r="A2299" s="49" t="inlineStr">
        <is>
          <t>20347</t>
        </is>
      </c>
      <c r="B2299" s="49" t="inlineStr">
        <is>
          <t>20093</t>
        </is>
      </c>
      <c r="C2299" s="49" t="inlineStr">
        <is>
          <t>71×283</t>
        </is>
      </c>
      <c r="D2299" s="49" t="inlineStr">
        <is>
          <t>—</t>
        </is>
      </c>
      <c r="E2299" s="49" t="inlineStr"/>
      <c r="F2299" s="49" t="inlineStr"/>
    </row>
    <row r="2300" ht="13" customHeight="1">
      <c r="A2300" s="43" t="inlineStr">
        <is>
          <t>20353</t>
        </is>
      </c>
      <c r="B2300" s="43" t="inlineStr">
        <is>
          <t>27258</t>
        </is>
      </c>
      <c r="C2300" s="43" t="inlineStr">
        <is>
          <t>2×3×7×11×59</t>
        </is>
      </c>
      <c r="D2300" s="43" t="inlineStr">
        <is>
          <t>2·3·7·11</t>
        </is>
      </c>
      <c r="E2300" s="43" t="inlineStr"/>
      <c r="F2300" s="43" t="inlineStr"/>
    </row>
    <row r="2301" ht="13" customHeight="1">
      <c r="A2301" s="50" t="inlineStr">
        <is>
          <t>20357</t>
        </is>
      </c>
      <c r="B2301" s="50" t="inlineStr">
        <is>
          <t>9883</t>
        </is>
      </c>
      <c r="C2301" s="50" t="inlineStr">
        <is>
          <t>9883</t>
        </is>
      </c>
      <c r="D2301" s="50" t="inlineStr">
        <is>
          <t>—</t>
        </is>
      </c>
      <c r="E2301" s="50" t="inlineStr"/>
      <c r="F2301" s="50" t="inlineStr"/>
    </row>
    <row r="2302" ht="13" customHeight="1">
      <c r="A2302" s="45" t="inlineStr">
        <is>
          <t>20359</t>
        </is>
      </c>
      <c r="B2302" s="45" t="inlineStr">
        <is>
          <t>26194</t>
        </is>
      </c>
      <c r="C2302" s="45" t="inlineStr">
        <is>
          <t>2×7×1871</t>
        </is>
      </c>
      <c r="D2302" s="45" t="inlineStr">
        <is>
          <t>2·7</t>
        </is>
      </c>
      <c r="E2302" s="45" t="inlineStr"/>
      <c r="F2302" s="45" t="inlineStr"/>
    </row>
    <row r="2303" ht="13" customHeight="1">
      <c r="A2303" s="49" t="inlineStr">
        <is>
          <t>20369</t>
        </is>
      </c>
      <c r="B2303" s="49" t="inlineStr">
        <is>
          <t>22001</t>
        </is>
      </c>
      <c r="C2303" s="49" t="inlineStr">
        <is>
          <t>7×7×449</t>
        </is>
      </c>
      <c r="D2303" s="49" t="inlineStr">
        <is>
          <t>7</t>
        </is>
      </c>
      <c r="E2303" s="49" t="inlineStr"/>
      <c r="F2303" s="49" t="inlineStr"/>
    </row>
    <row r="2304" ht="13" customHeight="1">
      <c r="A2304" s="50" t="inlineStr">
        <is>
          <t>20389</t>
        </is>
      </c>
      <c r="B2304" s="50" t="inlineStr">
        <is>
          <t>11177</t>
        </is>
      </c>
      <c r="C2304" s="50" t="inlineStr">
        <is>
          <t>11177</t>
        </is>
      </c>
      <c r="D2304" s="50" t="inlineStr">
        <is>
          <t>—</t>
        </is>
      </c>
      <c r="E2304" s="50" t="inlineStr"/>
      <c r="F2304" s="50" t="inlineStr"/>
    </row>
    <row r="2305" ht="13" customHeight="1">
      <c r="A2305" s="49" t="inlineStr">
        <is>
          <t>20393</t>
        </is>
      </c>
      <c r="B2305" s="49" t="inlineStr">
        <is>
          <t>42059</t>
        </is>
      </c>
      <c r="C2305" s="49" t="inlineStr">
        <is>
          <t>137×307</t>
        </is>
      </c>
      <c r="D2305" s="49" t="inlineStr">
        <is>
          <t>—</t>
        </is>
      </c>
      <c r="E2305" s="49" t="inlineStr"/>
      <c r="F2305" s="49" t="inlineStr"/>
    </row>
    <row r="2306" ht="13" customHeight="1">
      <c r="A2306" s="45" t="inlineStr">
        <is>
          <t>20399</t>
        </is>
      </c>
      <c r="B2306" s="45" t="inlineStr">
        <is>
          <t>32562</t>
        </is>
      </c>
      <c r="C2306" s="45" t="inlineStr">
        <is>
          <t>2×3×3×3×3×3×67</t>
        </is>
      </c>
      <c r="D2306" s="45" t="inlineStr">
        <is>
          <t>2·3</t>
        </is>
      </c>
      <c r="E2306" s="45" t="inlineStr"/>
      <c r="F2306" s="45" t="inlineStr"/>
    </row>
    <row r="2307" ht="13" customHeight="1">
      <c r="A2307" s="49" t="inlineStr">
        <is>
          <t>20407</t>
        </is>
      </c>
      <c r="B2307" s="49" t="inlineStr">
        <is>
          <t>17672</t>
        </is>
      </c>
      <c r="C2307" s="49" t="inlineStr">
        <is>
          <t>2×2×2×47×47</t>
        </is>
      </c>
      <c r="D2307" s="49" t="inlineStr">
        <is>
          <t>2</t>
        </is>
      </c>
      <c r="E2307" s="49" t="inlineStr"/>
      <c r="F2307" s="49" t="inlineStr"/>
    </row>
    <row r="2308" ht="13" customHeight="1">
      <c r="A2308" s="50" t="inlineStr">
        <is>
          <t>20411</t>
        </is>
      </c>
      <c r="B2308" s="50" t="inlineStr">
        <is>
          <t>11467</t>
        </is>
      </c>
      <c r="C2308" s="50" t="inlineStr">
        <is>
          <t>11467</t>
        </is>
      </c>
      <c r="D2308" s="50" t="inlineStr">
        <is>
          <t>—</t>
        </is>
      </c>
      <c r="E2308" s="50" t="inlineStr"/>
      <c r="F2308" s="50" t="inlineStr"/>
    </row>
    <row r="2309" ht="13" customHeight="1">
      <c r="A2309" s="49" t="inlineStr">
        <is>
          <t>20431</t>
        </is>
      </c>
      <c r="B2309" s="49" t="inlineStr">
        <is>
          <t>31931</t>
        </is>
      </c>
      <c r="C2309" s="49" t="inlineStr">
        <is>
          <t>37×863</t>
        </is>
      </c>
      <c r="D2309" s="49" t="inlineStr">
        <is>
          <t>—</t>
        </is>
      </c>
      <c r="E2309" s="49" t="inlineStr"/>
      <c r="F2309" s="49" t="inlineStr"/>
    </row>
    <row r="2310" ht="13" customHeight="1">
      <c r="A2310" s="45" t="inlineStr">
        <is>
          <t>20441</t>
        </is>
      </c>
      <c r="B2310" s="45" t="inlineStr">
        <is>
          <t>33938</t>
        </is>
      </c>
      <c r="C2310" s="45" t="inlineStr">
        <is>
          <t>2×71×239</t>
        </is>
      </c>
      <c r="D2310" s="45" t="inlineStr">
        <is>
          <t>2</t>
        </is>
      </c>
      <c r="E2310" s="45" t="inlineStr"/>
      <c r="F2310" s="45" t="inlineStr"/>
    </row>
    <row r="2311" ht="13" customHeight="1">
      <c r="A2311" s="49" t="inlineStr">
        <is>
          <t>20443</t>
        </is>
      </c>
      <c r="B2311" s="49" t="inlineStr">
        <is>
          <t>3738</t>
        </is>
      </c>
      <c r="C2311" s="49" t="inlineStr">
        <is>
          <t>2×3×7×89</t>
        </is>
      </c>
      <c r="D2311" s="49" t="inlineStr">
        <is>
          <t>2·3·7</t>
        </is>
      </c>
      <c r="E2311" s="49" t="inlineStr"/>
      <c r="F2311" s="49" t="inlineStr"/>
    </row>
    <row r="2312" ht="13" customHeight="1">
      <c r="A2312" s="50" t="inlineStr">
        <is>
          <t>20477</t>
        </is>
      </c>
      <c r="B2312" s="50" t="inlineStr">
        <is>
          <t>8467</t>
        </is>
      </c>
      <c r="C2312" s="50" t="inlineStr">
        <is>
          <t>8467</t>
        </is>
      </c>
      <c r="D2312" s="50" t="inlineStr">
        <is>
          <t>—</t>
        </is>
      </c>
      <c r="E2312" s="50" t="inlineStr"/>
      <c r="F2312" s="50" t="inlineStr"/>
    </row>
    <row r="2313" ht="13" customHeight="1">
      <c r="A2313" s="49" t="inlineStr">
        <is>
          <t>20479</t>
        </is>
      </c>
      <c r="B2313" s="49" t="inlineStr">
        <is>
          <t>38384</t>
        </is>
      </c>
      <c r="C2313" s="49" t="inlineStr">
        <is>
          <t>2×2×2×2×2399</t>
        </is>
      </c>
      <c r="D2313" s="49" t="inlineStr">
        <is>
          <t>2</t>
        </is>
      </c>
      <c r="E2313" s="49" t="inlineStr"/>
      <c r="F2313" s="49" t="inlineStr"/>
    </row>
    <row r="2314" ht="13" customHeight="1">
      <c r="A2314" s="45" t="inlineStr">
        <is>
          <t>20483</t>
        </is>
      </c>
      <c r="B2314" s="45" t="inlineStr">
        <is>
          <t>23906</t>
        </is>
      </c>
      <c r="C2314" s="45" t="inlineStr">
        <is>
          <t>2×11953</t>
        </is>
      </c>
      <c r="D2314" s="45" t="inlineStr">
        <is>
          <t>2</t>
        </is>
      </c>
      <c r="E2314" s="45" t="inlineStr"/>
      <c r="F2314" s="45" t="inlineStr"/>
    </row>
    <row r="2315" ht="13" customHeight="1">
      <c r="A2315" s="41" t="inlineStr">
        <is>
          <t>20507</t>
        </is>
      </c>
      <c r="B2315" s="41" t="inlineStr">
        <is>
          <t>36439</t>
        </is>
      </c>
      <c r="C2315" s="41" t="inlineStr">
        <is>
          <t>13×2803</t>
        </is>
      </c>
      <c r="D2315" s="41" t="inlineStr">
        <is>
          <t>13</t>
        </is>
      </c>
      <c r="E2315" s="41" t="inlineStr"/>
      <c r="F2315" s="41" t="inlineStr"/>
    </row>
    <row r="2316" ht="13" customHeight="1">
      <c r="A2316" s="45" t="inlineStr">
        <is>
          <t>20509</t>
        </is>
      </c>
      <c r="B2316" s="45" t="inlineStr">
        <is>
          <t>21695</t>
        </is>
      </c>
      <c r="C2316" s="45" t="inlineStr">
        <is>
          <t>5×4339</t>
        </is>
      </c>
      <c r="D2316" s="45" t="inlineStr">
        <is>
          <t>5</t>
        </is>
      </c>
      <c r="E2316" s="45" t="inlineStr"/>
      <c r="F2316" s="45" t="inlineStr"/>
    </row>
    <row r="2317" ht="13" customHeight="1">
      <c r="A2317" s="43" t="inlineStr">
        <is>
          <t>20521</t>
        </is>
      </c>
      <c r="B2317" s="43" t="inlineStr">
        <is>
          <t>15114</t>
        </is>
      </c>
      <c r="C2317" s="43" t="inlineStr">
        <is>
          <t>2×3×11×229</t>
        </is>
      </c>
      <c r="D2317" s="43" t="inlineStr">
        <is>
          <t>2·3·11</t>
        </is>
      </c>
      <c r="E2317" s="43" t="inlineStr"/>
      <c r="F2317" s="43" t="inlineStr"/>
    </row>
    <row r="2318" ht="13" customHeight="1">
      <c r="A2318" s="50" t="inlineStr">
        <is>
          <t>20533</t>
        </is>
      </c>
      <c r="B2318" s="50" t="inlineStr">
        <is>
          <t>33751</t>
        </is>
      </c>
      <c r="C2318" s="50" t="inlineStr">
        <is>
          <t>33751</t>
        </is>
      </c>
      <c r="D2318" s="50" t="inlineStr">
        <is>
          <t>—</t>
        </is>
      </c>
      <c r="E2318" s="50" t="inlineStr"/>
      <c r="F2318" s="50" t="inlineStr"/>
    </row>
    <row r="2319" ht="13" customHeight="1">
      <c r="A2319" s="50" t="inlineStr">
        <is>
          <t>20543</t>
        </is>
      </c>
      <c r="B2319" s="50" t="inlineStr">
        <is>
          <t>17729</t>
        </is>
      </c>
      <c r="C2319" s="50" t="inlineStr">
        <is>
          <t>17729</t>
        </is>
      </c>
      <c r="D2319" s="50" t="inlineStr">
        <is>
          <t>—</t>
        </is>
      </c>
      <c r="E2319" s="50" t="inlineStr"/>
      <c r="F2319" s="50" t="inlineStr"/>
    </row>
    <row r="2320" ht="13" customHeight="1">
      <c r="A2320" s="45" t="inlineStr">
        <is>
          <t>20549</t>
        </is>
      </c>
      <c r="B2320" s="45" t="inlineStr">
        <is>
          <t>17692</t>
        </is>
      </c>
      <c r="C2320" s="45" t="inlineStr">
        <is>
          <t>2×2×4423</t>
        </is>
      </c>
      <c r="D2320" s="45" t="inlineStr">
        <is>
          <t>2</t>
        </is>
      </c>
      <c r="E2320" s="45" t="inlineStr"/>
      <c r="F2320" s="45" t="inlineStr"/>
    </row>
    <row r="2321" ht="13" customHeight="1">
      <c r="A2321" s="49" t="inlineStr">
        <is>
          <t>20551</t>
        </is>
      </c>
      <c r="B2321" s="49" t="inlineStr">
        <is>
          <t>38826</t>
        </is>
      </c>
      <c r="C2321" s="49" t="inlineStr">
        <is>
          <t>2×3×3×3×719</t>
        </is>
      </c>
      <c r="D2321" s="49" t="inlineStr">
        <is>
          <t>2·3</t>
        </is>
      </c>
      <c r="E2321" s="49" t="inlineStr"/>
      <c r="F2321" s="49" t="inlineStr"/>
    </row>
    <row r="2322" ht="13" customHeight="1">
      <c r="A2322" s="45" t="inlineStr">
        <is>
          <t>20563</t>
        </is>
      </c>
      <c r="B2322" s="45" t="inlineStr">
        <is>
          <t>3816</t>
        </is>
      </c>
      <c r="C2322" s="45" t="inlineStr">
        <is>
          <t>2×2×2×3×3×53</t>
        </is>
      </c>
      <c r="D2322" s="45" t="inlineStr">
        <is>
          <t>2·3</t>
        </is>
      </c>
      <c r="E2322" s="45" t="inlineStr"/>
      <c r="F2322" s="45" t="inlineStr"/>
    </row>
    <row r="2323" ht="13" customHeight="1">
      <c r="A2323" s="41" t="inlineStr">
        <is>
          <t>20593</t>
        </is>
      </c>
      <c r="B2323" s="41" t="inlineStr">
        <is>
          <t>2483</t>
        </is>
      </c>
      <c r="C2323" s="41" t="inlineStr">
        <is>
          <t>13×191</t>
        </is>
      </c>
      <c r="D2323" s="41" t="inlineStr">
        <is>
          <t>13</t>
        </is>
      </c>
      <c r="E2323" s="41" t="inlineStr"/>
      <c r="F2323" s="41" t="inlineStr"/>
    </row>
    <row r="2324" ht="13" customHeight="1">
      <c r="A2324" s="45" t="inlineStr">
        <is>
          <t>20599</t>
        </is>
      </c>
      <c r="B2324" s="45" t="inlineStr">
        <is>
          <t>14578</t>
        </is>
      </c>
      <c r="C2324" s="45" t="inlineStr">
        <is>
          <t>2×37×197</t>
        </is>
      </c>
      <c r="D2324" s="45" t="inlineStr">
        <is>
          <t>2</t>
        </is>
      </c>
      <c r="E2324" s="45" t="inlineStr"/>
      <c r="F2324" s="45" t="inlineStr"/>
    </row>
    <row r="2325" ht="13" customHeight="1">
      <c r="A2325" s="41" t="inlineStr">
        <is>
          <t>20611</t>
        </is>
      </c>
      <c r="B2325" s="41" t="inlineStr">
        <is>
          <t>16094</t>
        </is>
      </c>
      <c r="C2325" s="41" t="inlineStr">
        <is>
          <t>2×13×619</t>
        </is>
      </c>
      <c r="D2325" s="41" t="inlineStr">
        <is>
          <t>2·13</t>
        </is>
      </c>
      <c r="E2325" s="41" t="inlineStr"/>
      <c r="F2325" s="41" t="inlineStr"/>
    </row>
    <row r="2326" ht="13" customHeight="1">
      <c r="A2326" s="41" t="inlineStr">
        <is>
          <t>20627</t>
        </is>
      </c>
      <c r="B2326" s="41" t="inlineStr">
        <is>
          <t>9828</t>
        </is>
      </c>
      <c r="C2326" s="41" t="inlineStr">
        <is>
          <t>2×2×3×3×3×7×13</t>
        </is>
      </c>
      <c r="D2326" s="41" t="inlineStr">
        <is>
          <t>2·3·7·13</t>
        </is>
      </c>
      <c r="E2326" s="41" t="inlineStr"/>
      <c r="F2326" s="41" t="inlineStr"/>
    </row>
    <row r="2327" ht="13" customHeight="1">
      <c r="A2327" s="49" t="inlineStr">
        <is>
          <t>20639</t>
        </is>
      </c>
      <c r="B2327" s="49" t="inlineStr">
        <is>
          <t>36390</t>
        </is>
      </c>
      <c r="C2327" s="49" t="inlineStr">
        <is>
          <t>2×3×5×1213</t>
        </is>
      </c>
      <c r="D2327" s="49" t="inlineStr">
        <is>
          <t>2·3·5</t>
        </is>
      </c>
      <c r="E2327" s="49" t="inlineStr"/>
      <c r="F2327" s="49" t="inlineStr"/>
    </row>
    <row r="2328" ht="13" customHeight="1">
      <c r="A2328" s="45" t="inlineStr">
        <is>
          <t>20641</t>
        </is>
      </c>
      <c r="B2328" s="45" t="inlineStr">
        <is>
          <t>5329</t>
        </is>
      </c>
      <c r="C2328" s="45" t="inlineStr">
        <is>
          <t>73×73</t>
        </is>
      </c>
      <c r="D2328" s="45" t="inlineStr">
        <is>
          <t>—</t>
        </is>
      </c>
      <c r="E2328" s="45" t="inlineStr"/>
      <c r="F2328" s="45" t="inlineStr"/>
    </row>
    <row r="2329" ht="13" customHeight="1">
      <c r="A2329" s="49" t="inlineStr">
        <is>
          <t>20663</t>
        </is>
      </c>
      <c r="B2329" s="49" t="inlineStr">
        <is>
          <t>14340</t>
        </is>
      </c>
      <c r="C2329" s="49" t="inlineStr">
        <is>
          <t>2×2×3×5×239</t>
        </is>
      </c>
      <c r="D2329" s="49" t="inlineStr">
        <is>
          <t>2·3·5</t>
        </is>
      </c>
      <c r="E2329" s="49" t="inlineStr"/>
      <c r="F2329" s="49" t="inlineStr"/>
    </row>
    <row r="2330" ht="13" customHeight="1">
      <c r="A2330" s="41" t="inlineStr">
        <is>
          <t>20681</t>
        </is>
      </c>
      <c r="B2330" s="41" t="inlineStr">
        <is>
          <t>13377</t>
        </is>
      </c>
      <c r="C2330" s="41" t="inlineStr">
        <is>
          <t>3×7×7×7×13</t>
        </is>
      </c>
      <c r="D2330" s="41" t="inlineStr">
        <is>
          <t>3·7·13</t>
        </is>
      </c>
      <c r="E2330" s="41" t="inlineStr"/>
      <c r="F2330" s="41" t="inlineStr"/>
    </row>
    <row r="2331" ht="13" customHeight="1">
      <c r="A2331" s="49" t="inlineStr">
        <is>
          <t>20693</t>
        </is>
      </c>
      <c r="B2331" s="49" t="inlineStr">
        <is>
          <t>11744</t>
        </is>
      </c>
      <c r="C2331" s="49" t="inlineStr">
        <is>
          <t>2×2×2×2×2×367</t>
        </is>
      </c>
      <c r="D2331" s="49" t="inlineStr">
        <is>
          <t>2</t>
        </is>
      </c>
      <c r="E2331" s="49" t="inlineStr"/>
      <c r="F2331" s="49" t="inlineStr"/>
    </row>
    <row r="2332" ht="13" customHeight="1">
      <c r="A2332" s="41" t="inlineStr">
        <is>
          <t>20707</t>
        </is>
      </c>
      <c r="B2332" s="41" t="inlineStr">
        <is>
          <t>34216</t>
        </is>
      </c>
      <c r="C2332" s="41" t="inlineStr">
        <is>
          <t>2×2×2×7×13×47</t>
        </is>
      </c>
      <c r="D2332" s="41" t="inlineStr">
        <is>
          <t>2·7·13</t>
        </is>
      </c>
      <c r="E2332" s="41" t="inlineStr"/>
      <c r="F2332" s="41" t="inlineStr"/>
    </row>
    <row r="2333" ht="13" customHeight="1">
      <c r="A2333" s="49" t="inlineStr">
        <is>
          <t>20717</t>
        </is>
      </c>
      <c r="B2333" s="49" t="inlineStr">
        <is>
          <t>7542</t>
        </is>
      </c>
      <c r="C2333" s="49" t="inlineStr">
        <is>
          <t>2×3×3×419</t>
        </is>
      </c>
      <c r="D2333" s="49" t="inlineStr">
        <is>
          <t>2·3</t>
        </is>
      </c>
      <c r="E2333" s="49" t="inlineStr"/>
      <c r="F2333" s="49" t="inlineStr"/>
    </row>
    <row r="2334" ht="13" customHeight="1">
      <c r="A2334" s="45" t="inlineStr">
        <is>
          <t>20719</t>
        </is>
      </c>
      <c r="B2334" s="45" t="inlineStr">
        <is>
          <t>22492</t>
        </is>
      </c>
      <c r="C2334" s="45" t="inlineStr">
        <is>
          <t>2×2×5623</t>
        </is>
      </c>
      <c r="D2334" s="45" t="inlineStr">
        <is>
          <t>2</t>
        </is>
      </c>
      <c r="E2334" s="45" t="inlineStr"/>
      <c r="F2334" s="45" t="inlineStr"/>
    </row>
    <row r="2335" ht="13" customHeight="1">
      <c r="A2335" s="49" t="inlineStr">
        <is>
          <t>20731</t>
        </is>
      </c>
      <c r="B2335" s="49" t="inlineStr">
        <is>
          <t>28954</t>
        </is>
      </c>
      <c r="C2335" s="49" t="inlineStr">
        <is>
          <t>2×31×467</t>
        </is>
      </c>
      <c r="D2335" s="49" t="inlineStr">
        <is>
          <t>2</t>
        </is>
      </c>
      <c r="E2335" s="49" t="inlineStr"/>
      <c r="F2335" s="49" t="inlineStr"/>
    </row>
    <row r="2336" ht="13" customHeight="1">
      <c r="A2336" s="45" t="inlineStr">
        <is>
          <t>20743</t>
        </is>
      </c>
      <c r="B2336" s="45" t="inlineStr">
        <is>
          <t>11428</t>
        </is>
      </c>
      <c r="C2336" s="45" t="inlineStr">
        <is>
          <t>2×2×2857</t>
        </is>
      </c>
      <c r="D2336" s="45" t="inlineStr">
        <is>
          <t>2</t>
        </is>
      </c>
      <c r="E2336" s="45" t="inlineStr"/>
      <c r="F2336" s="45" t="inlineStr"/>
    </row>
    <row r="2337" ht="13" customHeight="1">
      <c r="A2337" s="49" t="inlineStr">
        <is>
          <t>20747</t>
        </is>
      </c>
      <c r="B2337" s="49" t="inlineStr">
        <is>
          <t>21770</t>
        </is>
      </c>
      <c r="C2337" s="49" t="inlineStr">
        <is>
          <t>2×5×7×311</t>
        </is>
      </c>
      <c r="D2337" s="49" t="inlineStr">
        <is>
          <t>2·5·7</t>
        </is>
      </c>
      <c r="E2337" s="49" t="inlineStr"/>
      <c r="F2337" s="49" t="inlineStr"/>
    </row>
    <row r="2338" ht="13" customHeight="1">
      <c r="A2338" s="45" t="inlineStr">
        <is>
          <t>20749</t>
        </is>
      </c>
      <c r="B2338" s="45" t="inlineStr">
        <is>
          <t>18628</t>
        </is>
      </c>
      <c r="C2338" s="45" t="inlineStr">
        <is>
          <t>2×2×4657</t>
        </is>
      </c>
      <c r="D2338" s="45" t="inlineStr">
        <is>
          <t>2</t>
        </is>
      </c>
      <c r="E2338" s="45" t="inlineStr"/>
      <c r="F2338" s="45" t="inlineStr"/>
    </row>
    <row r="2339" ht="13" customHeight="1">
      <c r="A2339" s="51" t="inlineStr">
        <is>
          <t>20753</t>
        </is>
      </c>
      <c r="B2339" s="51" t="inlineStr">
        <is>
          <t>31996</t>
        </is>
      </c>
      <c r="C2339" s="51" t="inlineStr">
        <is>
          <t>2×2×19×421</t>
        </is>
      </c>
      <c r="D2339" s="51" t="inlineStr">
        <is>
          <t>2·19</t>
        </is>
      </c>
      <c r="E2339" s="51" t="inlineStr"/>
      <c r="F2339" s="51" t="inlineStr"/>
    </row>
    <row r="2340" ht="13" customHeight="1">
      <c r="A2340" s="50" t="inlineStr">
        <is>
          <t>20759</t>
        </is>
      </c>
      <c r="B2340" s="50" t="inlineStr">
        <is>
          <t>17387</t>
        </is>
      </c>
      <c r="C2340" s="50" t="inlineStr">
        <is>
          <t>17387</t>
        </is>
      </c>
      <c r="D2340" s="50" t="inlineStr">
        <is>
          <t>—</t>
        </is>
      </c>
      <c r="E2340" s="50" t="inlineStr"/>
      <c r="F2340" s="50" t="inlineStr"/>
    </row>
    <row r="2341" ht="13" customHeight="1">
      <c r="A2341" s="49" t="inlineStr">
        <is>
          <t>20771</t>
        </is>
      </c>
      <c r="B2341" s="49" t="inlineStr">
        <is>
          <t>9271</t>
        </is>
      </c>
      <c r="C2341" s="49" t="inlineStr">
        <is>
          <t>73×127</t>
        </is>
      </c>
      <c r="D2341" s="49" t="inlineStr">
        <is>
          <t>—</t>
        </is>
      </c>
      <c r="E2341" s="49" t="inlineStr"/>
      <c r="F2341" s="49" t="inlineStr"/>
    </row>
    <row r="2342" ht="13" customHeight="1">
      <c r="A2342" s="45" t="inlineStr">
        <is>
          <t>20773</t>
        </is>
      </c>
      <c r="B2342" s="45" t="inlineStr">
        <is>
          <t>32090</t>
        </is>
      </c>
      <c r="C2342" s="45" t="inlineStr">
        <is>
          <t>2×5×3209</t>
        </is>
      </c>
      <c r="D2342" s="45" t="inlineStr">
        <is>
          <t>2·5</t>
        </is>
      </c>
      <c r="E2342" s="45" t="inlineStr"/>
      <c r="F2342" s="45" t="inlineStr"/>
    </row>
    <row r="2343" ht="13" customHeight="1">
      <c r="A2343" s="49" t="inlineStr">
        <is>
          <t>20789</t>
        </is>
      </c>
      <c r="B2343" s="49" t="inlineStr">
        <is>
          <t>36867</t>
        </is>
      </c>
      <c r="C2343" s="49" t="inlineStr">
        <is>
          <t>3×12289</t>
        </is>
      </c>
      <c r="D2343" s="49" t="inlineStr">
        <is>
          <t>3</t>
        </is>
      </c>
      <c r="E2343" s="49" t="inlineStr"/>
      <c r="F2343" s="49" t="inlineStr"/>
    </row>
    <row r="2344" ht="13" customHeight="1">
      <c r="A2344" s="45" t="inlineStr">
        <is>
          <t>20807</t>
        </is>
      </c>
      <c r="B2344" s="45" t="inlineStr">
        <is>
          <t>32811</t>
        </is>
      </c>
      <c r="C2344" s="45" t="inlineStr">
        <is>
          <t>3×10937</t>
        </is>
      </c>
      <c r="D2344" s="45" t="inlineStr">
        <is>
          <t>3</t>
        </is>
      </c>
      <c r="E2344" s="45" t="inlineStr"/>
      <c r="F2344" s="45" t="inlineStr"/>
    </row>
    <row r="2345" ht="13" customHeight="1">
      <c r="A2345" s="41" t="inlineStr">
        <is>
          <t>20809</t>
        </is>
      </c>
      <c r="B2345" s="41" t="inlineStr">
        <is>
          <t>2057</t>
        </is>
      </c>
      <c r="C2345" s="41" t="inlineStr">
        <is>
          <t>11×11×17</t>
        </is>
      </c>
      <c r="D2345" s="41" t="inlineStr">
        <is>
          <t>11·17</t>
        </is>
      </c>
      <c r="E2345" s="41" t="inlineStr"/>
      <c r="F2345" s="41" t="inlineStr"/>
    </row>
    <row r="2346" ht="13" customHeight="1">
      <c r="A2346" s="45" t="inlineStr">
        <is>
          <t>20849</t>
        </is>
      </c>
      <c r="B2346" s="45" t="inlineStr">
        <is>
          <t>14151</t>
        </is>
      </c>
      <c r="C2346" s="45" t="inlineStr">
        <is>
          <t>3×53×89</t>
        </is>
      </c>
      <c r="D2346" s="45" t="inlineStr">
        <is>
          <t>3</t>
        </is>
      </c>
      <c r="E2346" s="45" t="inlineStr"/>
      <c r="F2346" s="45" t="inlineStr"/>
    </row>
    <row r="2347" ht="13" customHeight="1">
      <c r="A2347" s="41" t="inlineStr">
        <is>
          <t>20857</t>
        </is>
      </c>
      <c r="B2347" s="41" t="inlineStr">
        <is>
          <t>34578</t>
        </is>
      </c>
      <c r="C2347" s="41" t="inlineStr">
        <is>
          <t>2×3×3×17×113</t>
        </is>
      </c>
      <c r="D2347" s="41" t="inlineStr">
        <is>
          <t>2·3·17</t>
        </is>
      </c>
      <c r="E2347" s="41" t="inlineStr"/>
      <c r="F2347" s="41" t="inlineStr"/>
    </row>
    <row r="2348" ht="13" customHeight="1">
      <c r="A2348" s="45" t="inlineStr">
        <is>
          <t>20873</t>
        </is>
      </c>
      <c r="B2348" s="45" t="inlineStr">
        <is>
          <t>14658</t>
        </is>
      </c>
      <c r="C2348" s="45" t="inlineStr">
        <is>
          <t>2×3×7×349</t>
        </is>
      </c>
      <c r="D2348" s="45" t="inlineStr">
        <is>
          <t>2·3·7</t>
        </is>
      </c>
      <c r="E2348" s="45" t="inlineStr"/>
      <c r="F2348" s="45" t="inlineStr"/>
    </row>
    <row r="2349" ht="13" customHeight="1">
      <c r="A2349" s="49" t="inlineStr">
        <is>
          <t>20879</t>
        </is>
      </c>
      <c r="B2349" s="49" t="inlineStr">
        <is>
          <t>27990</t>
        </is>
      </c>
      <c r="C2349" s="49" t="inlineStr">
        <is>
          <t>2×3×3×5×311</t>
        </is>
      </c>
      <c r="D2349" s="49" t="inlineStr">
        <is>
          <t>2·3·5</t>
        </is>
      </c>
      <c r="E2349" s="49" t="inlineStr"/>
      <c r="F2349" s="49" t="inlineStr"/>
    </row>
    <row r="2350" ht="13" customHeight="1">
      <c r="A2350" s="50" t="inlineStr">
        <is>
          <t>20887</t>
        </is>
      </c>
      <c r="B2350" s="50" t="inlineStr">
        <is>
          <t>32189</t>
        </is>
      </c>
      <c r="C2350" s="50" t="inlineStr">
        <is>
          <t>32189</t>
        </is>
      </c>
      <c r="D2350" s="50" t="inlineStr">
        <is>
          <t>—</t>
        </is>
      </c>
      <c r="E2350" s="50" t="inlineStr"/>
      <c r="F2350" s="50" t="inlineStr"/>
    </row>
    <row r="2351" ht="13" customHeight="1">
      <c r="A2351" s="49" t="inlineStr">
        <is>
          <t>20897</t>
        </is>
      </c>
      <c r="B2351" s="49" t="inlineStr">
        <is>
          <t>7915</t>
        </is>
      </c>
      <c r="C2351" s="49" t="inlineStr">
        <is>
          <t>5×1583</t>
        </is>
      </c>
      <c r="D2351" s="49" t="inlineStr">
        <is>
          <t>5</t>
        </is>
      </c>
      <c r="E2351" s="49" t="inlineStr"/>
      <c r="F2351" s="49" t="inlineStr"/>
    </row>
    <row r="2352" ht="13" customHeight="1">
      <c r="A2352" s="45" t="inlineStr">
        <is>
          <t>20899</t>
        </is>
      </c>
      <c r="B2352" s="45" t="inlineStr">
        <is>
          <t>32477</t>
        </is>
      </c>
      <c r="C2352" s="45" t="inlineStr">
        <is>
          <t>47×691</t>
        </is>
      </c>
      <c r="D2352" s="45" t="inlineStr">
        <is>
          <t>—</t>
        </is>
      </c>
      <c r="E2352" s="45" t="inlineStr"/>
      <c r="F2352" s="45" t="inlineStr"/>
    </row>
    <row r="2353" ht="13" customHeight="1">
      <c r="A2353" s="41" t="inlineStr">
        <is>
          <t>20903</t>
        </is>
      </c>
      <c r="B2353" s="41" t="inlineStr">
        <is>
          <t>21814</t>
        </is>
      </c>
      <c r="C2353" s="41" t="inlineStr">
        <is>
          <t>2×13×839</t>
        </is>
      </c>
      <c r="D2353" s="41" t="inlineStr">
        <is>
          <t>2·13</t>
        </is>
      </c>
      <c r="E2353" s="41" t="inlineStr"/>
      <c r="F2353" s="41" t="inlineStr"/>
    </row>
    <row r="2354" ht="13" customHeight="1">
      <c r="A2354" s="51" t="inlineStr">
        <is>
          <t>20921</t>
        </is>
      </c>
      <c r="B2354" s="51" t="inlineStr">
        <is>
          <t>27303</t>
        </is>
      </c>
      <c r="C2354" s="51" t="inlineStr">
        <is>
          <t>3×19×479</t>
        </is>
      </c>
      <c r="D2354" s="51" t="inlineStr">
        <is>
          <t>3·19</t>
        </is>
      </c>
      <c r="E2354" s="51" t="inlineStr"/>
      <c r="F2354" s="51" t="inlineStr"/>
    </row>
    <row r="2355" ht="13" customHeight="1">
      <c r="A2355" s="50" t="inlineStr">
        <is>
          <t>20929</t>
        </is>
      </c>
      <c r="B2355" s="50" t="inlineStr">
        <is>
          <t>6737</t>
        </is>
      </c>
      <c r="C2355" s="50" t="inlineStr">
        <is>
          <t>6737</t>
        </is>
      </c>
      <c r="D2355" s="50" t="inlineStr">
        <is>
          <t>—</t>
        </is>
      </c>
      <c r="E2355" s="50" t="inlineStr"/>
      <c r="F2355" s="50" t="inlineStr"/>
    </row>
    <row r="2356" ht="13" customHeight="1">
      <c r="A2356" s="50" t="inlineStr">
        <is>
          <t>20939</t>
        </is>
      </c>
      <c r="B2356" s="50" t="inlineStr">
        <is>
          <t>5749</t>
        </is>
      </c>
      <c r="C2356" s="50" t="inlineStr">
        <is>
          <t>5749</t>
        </is>
      </c>
      <c r="D2356" s="50" t="inlineStr">
        <is>
          <t>—</t>
        </is>
      </c>
      <c r="E2356" s="50" t="inlineStr"/>
      <c r="F2356" s="50" t="inlineStr"/>
    </row>
    <row r="2357" ht="13" customHeight="1">
      <c r="A2357" s="49" t="inlineStr">
        <is>
          <t>20947</t>
        </is>
      </c>
      <c r="B2357" s="49" t="inlineStr">
        <is>
          <t>25945</t>
        </is>
      </c>
      <c r="C2357" s="49" t="inlineStr">
        <is>
          <t>5×5189</t>
        </is>
      </c>
      <c r="D2357" s="49" t="inlineStr">
        <is>
          <t>5</t>
        </is>
      </c>
      <c r="E2357" s="49" t="inlineStr"/>
      <c r="F2357" s="49" t="inlineStr"/>
    </row>
    <row r="2358" ht="13" customHeight="1">
      <c r="A2358" s="51" t="inlineStr">
        <is>
          <t>20959</t>
        </is>
      </c>
      <c r="B2358" s="51" t="inlineStr">
        <is>
          <t>7277</t>
        </is>
      </c>
      <c r="C2358" s="51" t="inlineStr">
        <is>
          <t>19×383</t>
        </is>
      </c>
      <c r="D2358" s="51" t="inlineStr">
        <is>
          <t>19</t>
        </is>
      </c>
      <c r="E2358" s="51" t="inlineStr"/>
      <c r="F2358" s="51" t="inlineStr"/>
    </row>
    <row r="2359" ht="13" customHeight="1">
      <c r="A2359" s="41" t="inlineStr">
        <is>
          <t>20963</t>
        </is>
      </c>
      <c r="B2359" s="41" t="inlineStr">
        <is>
          <t>21981</t>
        </is>
      </c>
      <c r="C2359" s="41" t="inlineStr">
        <is>
          <t>3×17×431</t>
        </is>
      </c>
      <c r="D2359" s="41" t="inlineStr">
        <is>
          <t>3·17</t>
        </is>
      </c>
      <c r="E2359" s="41" t="inlineStr"/>
      <c r="F2359" s="41" t="inlineStr"/>
    </row>
    <row r="2360" ht="13" customHeight="1">
      <c r="A2360" s="43" t="inlineStr">
        <is>
          <t>20981</t>
        </is>
      </c>
      <c r="B2360" s="43" t="inlineStr">
        <is>
          <t>4752</t>
        </is>
      </c>
      <c r="C2360" s="43" t="inlineStr">
        <is>
          <t>2×2×2×2×3×3×3×11</t>
        </is>
      </c>
      <c r="D2360" s="43" t="inlineStr">
        <is>
          <t>2·3·11</t>
        </is>
      </c>
      <c r="E2360" s="43" t="inlineStr"/>
      <c r="F2360" s="43" t="inlineStr"/>
    </row>
    <row r="2361" ht="13" customHeight="1">
      <c r="A2361" s="49" t="inlineStr">
        <is>
          <t>20983</t>
        </is>
      </c>
      <c r="B2361" s="49" t="inlineStr">
        <is>
          <t>10358</t>
        </is>
      </c>
      <c r="C2361" s="49" t="inlineStr">
        <is>
          <t>2×5179</t>
        </is>
      </c>
      <c r="D2361" s="49" t="inlineStr">
        <is>
          <t>2</t>
        </is>
      </c>
      <c r="E2361" s="49" t="inlineStr"/>
      <c r="F2361" s="49" t="inlineStr"/>
    </row>
    <row r="2362" ht="13" customHeight="1">
      <c r="A2362" s="45" t="inlineStr">
        <is>
          <t>21001</t>
        </is>
      </c>
      <c r="B2362" s="45" t="inlineStr">
        <is>
          <t>20730</t>
        </is>
      </c>
      <c r="C2362" s="45" t="inlineStr">
        <is>
          <t>2×3×5×691</t>
        </is>
      </c>
      <c r="D2362" s="45" t="inlineStr">
        <is>
          <t>2·3·5</t>
        </is>
      </c>
      <c r="E2362" s="45" t="inlineStr"/>
      <c r="F2362" s="45" t="inlineStr"/>
    </row>
    <row r="2363" ht="13" customHeight="1">
      <c r="A2363" s="49" t="inlineStr">
        <is>
          <t>21011</t>
        </is>
      </c>
      <c r="B2363" s="49" t="inlineStr">
        <is>
          <t>28007</t>
        </is>
      </c>
      <c r="C2363" s="49" t="inlineStr">
        <is>
          <t>7×4001</t>
        </is>
      </c>
      <c r="D2363" s="49" t="inlineStr">
        <is>
          <t>7</t>
        </is>
      </c>
      <c r="E2363" s="49" t="inlineStr"/>
      <c r="F2363" s="49" t="inlineStr"/>
    </row>
    <row r="2364" ht="13" customHeight="1">
      <c r="A2364" s="51" t="inlineStr">
        <is>
          <t>21013</t>
        </is>
      </c>
      <c r="B2364" s="51" t="inlineStr">
        <is>
          <t>38722</t>
        </is>
      </c>
      <c r="C2364" s="51" t="inlineStr">
        <is>
          <t>2×19×1019</t>
        </is>
      </c>
      <c r="D2364" s="51" t="inlineStr">
        <is>
          <t>2·19</t>
        </is>
      </c>
      <c r="E2364" s="51" t="inlineStr"/>
      <c r="F2364" s="51" t="inlineStr"/>
    </row>
    <row r="2365" ht="13" customHeight="1">
      <c r="A2365" s="49" t="inlineStr">
        <is>
          <t>21017</t>
        </is>
      </c>
      <c r="B2365" s="49" t="inlineStr">
        <is>
          <t>5703</t>
        </is>
      </c>
      <c r="C2365" s="49" t="inlineStr">
        <is>
          <t>3×1901</t>
        </is>
      </c>
      <c r="D2365" s="49" t="inlineStr">
        <is>
          <t>3</t>
        </is>
      </c>
      <c r="E2365" s="49" t="inlineStr"/>
      <c r="F2365" s="49" t="inlineStr"/>
    </row>
    <row r="2366" ht="13" customHeight="1">
      <c r="A2366" s="45" t="inlineStr">
        <is>
          <t>21019</t>
        </is>
      </c>
      <c r="B2366" s="45" t="inlineStr">
        <is>
          <t>9019</t>
        </is>
      </c>
      <c r="C2366" s="45" t="inlineStr">
        <is>
          <t>29×311</t>
        </is>
      </c>
      <c r="D2366" s="45" t="inlineStr">
        <is>
          <t>—</t>
        </is>
      </c>
      <c r="E2366" s="45" t="inlineStr"/>
      <c r="F2366" s="45" t="inlineStr"/>
    </row>
    <row r="2367" ht="13" customHeight="1">
      <c r="A2367" s="49" t="inlineStr">
        <is>
          <t>21023</t>
        </is>
      </c>
      <c r="B2367" s="49" t="inlineStr">
        <is>
          <t>42706</t>
        </is>
      </c>
      <c r="C2367" s="49" t="inlineStr">
        <is>
          <t>2×131×163</t>
        </is>
      </c>
      <c r="D2367" s="49" t="inlineStr">
        <is>
          <t>2</t>
        </is>
      </c>
      <c r="E2367" s="49" t="inlineStr"/>
      <c r="F2367" s="49" t="inlineStr"/>
    </row>
    <row r="2368" ht="13" customHeight="1">
      <c r="A2368" s="45" t="inlineStr">
        <is>
          <t>21031</t>
        </is>
      </c>
      <c r="B2368" s="45" t="inlineStr">
        <is>
          <t>10442</t>
        </is>
      </c>
      <c r="C2368" s="45" t="inlineStr">
        <is>
          <t>2×23×227</t>
        </is>
      </c>
      <c r="D2368" s="45" t="inlineStr">
        <is>
          <t>2</t>
        </is>
      </c>
      <c r="E2368" s="45" t="inlineStr"/>
      <c r="F2368" s="45" t="inlineStr"/>
    </row>
    <row r="2369" ht="13" customHeight="1">
      <c r="A2369" s="43" t="inlineStr">
        <is>
          <t>21059</t>
        </is>
      </c>
      <c r="B2369" s="43" t="inlineStr">
        <is>
          <t>9174</t>
        </is>
      </c>
      <c r="C2369" s="43" t="inlineStr">
        <is>
          <t>2×3×11×139</t>
        </is>
      </c>
      <c r="D2369" s="43" t="inlineStr">
        <is>
          <t>2·3·11</t>
        </is>
      </c>
      <c r="E2369" s="43" t="inlineStr"/>
      <c r="F2369" s="43" t="inlineStr"/>
    </row>
    <row r="2370" ht="13" customHeight="1">
      <c r="A2370" s="51" t="inlineStr">
        <is>
          <t>21061</t>
        </is>
      </c>
      <c r="B2370" s="51" t="inlineStr">
        <is>
          <t>7144</t>
        </is>
      </c>
      <c r="C2370" s="51" t="inlineStr">
        <is>
          <t>2×2×2×19×47</t>
        </is>
      </c>
      <c r="D2370" s="51" t="inlineStr">
        <is>
          <t>2·19</t>
        </is>
      </c>
      <c r="E2370" s="51" t="inlineStr"/>
      <c r="F2370" s="51" t="inlineStr"/>
    </row>
    <row r="2371" ht="13" customHeight="1">
      <c r="A2371" s="49" t="inlineStr">
        <is>
          <t>21067</t>
        </is>
      </c>
      <c r="B2371" s="49" t="inlineStr">
        <is>
          <t>39608</t>
        </is>
      </c>
      <c r="C2371" s="49" t="inlineStr">
        <is>
          <t>2×2×2×4951</t>
        </is>
      </c>
      <c r="D2371" s="49" t="inlineStr">
        <is>
          <t>2</t>
        </is>
      </c>
      <c r="E2371" s="49" t="inlineStr"/>
      <c r="F2371" s="49" t="inlineStr"/>
    </row>
    <row r="2372" ht="13" customHeight="1">
      <c r="A2372" s="45" t="inlineStr">
        <is>
          <t>21089</t>
        </is>
      </c>
      <c r="B2372" s="45" t="inlineStr">
        <is>
          <t>40178</t>
        </is>
      </c>
      <c r="C2372" s="45" t="inlineStr">
        <is>
          <t>2×20089</t>
        </is>
      </c>
      <c r="D2372" s="45" t="inlineStr">
        <is>
          <t>2</t>
        </is>
      </c>
      <c r="E2372" s="45" t="inlineStr"/>
      <c r="F2372" s="45" t="inlineStr"/>
    </row>
    <row r="2373" ht="13" customHeight="1">
      <c r="A2373" s="49" t="inlineStr">
        <is>
          <t>21101</t>
        </is>
      </c>
      <c r="B2373" s="49" t="inlineStr">
        <is>
          <t>3785</t>
        </is>
      </c>
      <c r="C2373" s="49" t="inlineStr">
        <is>
          <t>5×757</t>
        </is>
      </c>
      <c r="D2373" s="49" t="inlineStr">
        <is>
          <t>5</t>
        </is>
      </c>
      <c r="E2373" s="49" t="inlineStr"/>
      <c r="F2373" s="49" t="inlineStr"/>
    </row>
    <row r="2374" ht="13" customHeight="1">
      <c r="A2374" s="45" t="inlineStr">
        <is>
          <t>21107</t>
        </is>
      </c>
      <c r="B2374" s="45" t="inlineStr">
        <is>
          <t>11080</t>
        </is>
      </c>
      <c r="C2374" s="45" t="inlineStr">
        <is>
          <t>2×2×2×5×277</t>
        </is>
      </c>
      <c r="D2374" s="45" t="inlineStr">
        <is>
          <t>2·5</t>
        </is>
      </c>
      <c r="E2374" s="45" t="inlineStr"/>
      <c r="F2374" s="45" t="inlineStr"/>
    </row>
    <row r="2375" ht="13" customHeight="1">
      <c r="A2375" s="49" t="inlineStr">
        <is>
          <t>21121</t>
        </is>
      </c>
      <c r="B2375" s="49" t="inlineStr">
        <is>
          <t>34659</t>
        </is>
      </c>
      <c r="C2375" s="49" t="inlineStr">
        <is>
          <t>3×3×3851</t>
        </is>
      </c>
      <c r="D2375" s="49" t="inlineStr">
        <is>
          <t>3</t>
        </is>
      </c>
      <c r="E2375" s="49" t="inlineStr"/>
      <c r="F2375" s="49" t="inlineStr"/>
    </row>
    <row r="2376" ht="13" customHeight="1">
      <c r="A2376" s="45" t="inlineStr">
        <is>
          <t>21139</t>
        </is>
      </c>
      <c r="B2376" s="45" t="inlineStr">
        <is>
          <t>41339</t>
        </is>
      </c>
      <c r="C2376" s="45" t="inlineStr">
        <is>
          <t>67×617</t>
        </is>
      </c>
      <c r="D2376" s="45" t="inlineStr">
        <is>
          <t>—</t>
        </is>
      </c>
      <c r="E2376" s="45" t="inlineStr"/>
      <c r="F2376" s="45" t="inlineStr"/>
    </row>
    <row r="2377" ht="13" customHeight="1">
      <c r="A2377" s="49" t="inlineStr">
        <is>
          <t>21143</t>
        </is>
      </c>
      <c r="B2377" s="49" t="inlineStr">
        <is>
          <t>36177</t>
        </is>
      </c>
      <c r="C2377" s="49" t="inlineStr">
        <is>
          <t>3×31×389</t>
        </is>
      </c>
      <c r="D2377" s="49" t="inlineStr">
        <is>
          <t>3</t>
        </is>
      </c>
      <c r="E2377" s="49" t="inlineStr"/>
      <c r="F2377" s="49" t="inlineStr"/>
    </row>
    <row r="2378" ht="13" customHeight="1">
      <c r="A2378" s="41" t="inlineStr">
        <is>
          <t>21149</t>
        </is>
      </c>
      <c r="B2378" s="41" t="inlineStr">
        <is>
          <t>6851</t>
        </is>
      </c>
      <c r="C2378" s="41" t="inlineStr">
        <is>
          <t>13×17×31</t>
        </is>
      </c>
      <c r="D2378" s="41" t="inlineStr">
        <is>
          <t>13·17</t>
        </is>
      </c>
      <c r="E2378" s="41" t="inlineStr"/>
      <c r="F2378" s="41" t="inlineStr"/>
    </row>
    <row r="2379" ht="13" customHeight="1">
      <c r="A2379" s="50" t="inlineStr">
        <is>
          <t>21157</t>
        </is>
      </c>
      <c r="B2379" s="50" t="inlineStr">
        <is>
          <t>19853</t>
        </is>
      </c>
      <c r="C2379" s="50" t="inlineStr">
        <is>
          <t>19853</t>
        </is>
      </c>
      <c r="D2379" s="50" t="inlineStr">
        <is>
          <t>—</t>
        </is>
      </c>
      <c r="E2379" s="50" t="inlineStr"/>
      <c r="F2379" s="50" t="inlineStr"/>
    </row>
    <row r="2380" ht="13" customHeight="1">
      <c r="A2380" s="45" t="inlineStr">
        <is>
          <t>21163</t>
        </is>
      </c>
      <c r="B2380" s="45" t="inlineStr">
        <is>
          <t>35314</t>
        </is>
      </c>
      <c r="C2380" s="45" t="inlineStr">
        <is>
          <t>2×17657</t>
        </is>
      </c>
      <c r="D2380" s="45" t="inlineStr">
        <is>
          <t>2</t>
        </is>
      </c>
      <c r="E2380" s="45" t="inlineStr"/>
      <c r="F2380" s="45" t="inlineStr"/>
    </row>
    <row r="2381" ht="13" customHeight="1">
      <c r="A2381" s="49" t="inlineStr">
        <is>
          <t>21169</t>
        </is>
      </c>
      <c r="B2381" s="49" t="inlineStr">
        <is>
          <t>31857</t>
        </is>
      </c>
      <c r="C2381" s="49" t="inlineStr">
        <is>
          <t>3×7×37×41</t>
        </is>
      </c>
      <c r="D2381" s="49" t="inlineStr">
        <is>
          <t>3·7</t>
        </is>
      </c>
      <c r="E2381" s="49" t="inlineStr"/>
      <c r="F2381" s="49" t="inlineStr"/>
    </row>
    <row r="2382" ht="13" customHeight="1">
      <c r="A2382" s="45" t="inlineStr">
        <is>
          <t>21179</t>
        </is>
      </c>
      <c r="B2382" s="45" t="inlineStr">
        <is>
          <t>6444</t>
        </is>
      </c>
      <c r="C2382" s="45" t="inlineStr">
        <is>
          <t>2×2×3×3×179</t>
        </is>
      </c>
      <c r="D2382" s="45" t="inlineStr">
        <is>
          <t>2·3</t>
        </is>
      </c>
      <c r="E2382" s="45" t="inlineStr"/>
      <c r="F2382" s="45" t="inlineStr"/>
    </row>
    <row r="2383" ht="13" customHeight="1">
      <c r="A2383" s="43" t="inlineStr">
        <is>
          <t>21187</t>
        </is>
      </c>
      <c r="B2383" s="43" t="inlineStr">
        <is>
          <t>30228</t>
        </is>
      </c>
      <c r="C2383" s="43" t="inlineStr">
        <is>
          <t>2×2×3×11×229</t>
        </is>
      </c>
      <c r="D2383" s="43" t="inlineStr">
        <is>
          <t>2·3·11</t>
        </is>
      </c>
      <c r="E2383" s="43" t="inlineStr"/>
      <c r="F2383" s="43" t="inlineStr"/>
    </row>
    <row r="2384" ht="13" customHeight="1">
      <c r="A2384" s="45" t="inlineStr">
        <is>
          <t>21191</t>
        </is>
      </c>
      <c r="B2384" s="45" t="inlineStr">
        <is>
          <t>31869</t>
        </is>
      </c>
      <c r="C2384" s="45" t="inlineStr">
        <is>
          <t>3×3×3541</t>
        </is>
      </c>
      <c r="D2384" s="45" t="inlineStr">
        <is>
          <t>3</t>
        </is>
      </c>
      <c r="E2384" s="45" t="inlineStr"/>
      <c r="F2384" s="45" t="inlineStr"/>
    </row>
    <row r="2385" ht="13" customHeight="1">
      <c r="A2385" s="49" t="inlineStr">
        <is>
          <t>21193</t>
        </is>
      </c>
      <c r="B2385" s="49" t="inlineStr">
        <is>
          <t>6780</t>
        </is>
      </c>
      <c r="C2385" s="49" t="inlineStr">
        <is>
          <t>2×2×3×5×113</t>
        </is>
      </c>
      <c r="D2385" s="49" t="inlineStr">
        <is>
          <t>2·3·5</t>
        </is>
      </c>
      <c r="E2385" s="49" t="inlineStr"/>
      <c r="F2385" s="49" t="inlineStr"/>
    </row>
    <row r="2386" ht="13" customHeight="1">
      <c r="A2386" s="45" t="inlineStr">
        <is>
          <t>21211</t>
        </is>
      </c>
      <c r="B2386" s="45" t="inlineStr">
        <is>
          <t>4453</t>
        </is>
      </c>
      <c r="C2386" s="45" t="inlineStr">
        <is>
          <t>61×73</t>
        </is>
      </c>
      <c r="D2386" s="45" t="inlineStr">
        <is>
          <t>—</t>
        </is>
      </c>
      <c r="E2386" s="45" t="inlineStr"/>
      <c r="F2386" s="45" t="inlineStr"/>
    </row>
    <row r="2387" ht="13" customHeight="1">
      <c r="A2387" s="50" t="inlineStr">
        <is>
          <t>21221</t>
        </is>
      </c>
      <c r="B2387" s="50" t="inlineStr">
        <is>
          <t>8461</t>
        </is>
      </c>
      <c r="C2387" s="50" t="inlineStr">
        <is>
          <t>8461</t>
        </is>
      </c>
      <c r="D2387" s="50" t="inlineStr">
        <is>
          <t>—</t>
        </is>
      </c>
      <c r="E2387" s="50" t="inlineStr"/>
      <c r="F2387" s="50" t="inlineStr"/>
    </row>
    <row r="2388" ht="13" customHeight="1">
      <c r="A2388" s="45" t="inlineStr">
        <is>
          <t>21227</t>
        </is>
      </c>
      <c r="B2388" s="45" t="inlineStr">
        <is>
          <t>6722</t>
        </is>
      </c>
      <c r="C2388" s="45" t="inlineStr">
        <is>
          <t>2×3361</t>
        </is>
      </c>
      <c r="D2388" s="45" t="inlineStr">
        <is>
          <t>2</t>
        </is>
      </c>
      <c r="E2388" s="45" t="inlineStr"/>
      <c r="F2388" s="45" t="inlineStr"/>
    </row>
    <row r="2389" ht="13" customHeight="1">
      <c r="A2389" s="49" t="inlineStr">
        <is>
          <t>21247</t>
        </is>
      </c>
      <c r="B2389" s="49" t="inlineStr">
        <is>
          <t>38408</t>
        </is>
      </c>
      <c r="C2389" s="49" t="inlineStr">
        <is>
          <t>2×2×2×4801</t>
        </is>
      </c>
      <c r="D2389" s="49" t="inlineStr">
        <is>
          <t>2</t>
        </is>
      </c>
      <c r="E2389" s="49" t="inlineStr"/>
      <c r="F2389" s="49" t="inlineStr"/>
    </row>
    <row r="2390" ht="13" customHeight="1">
      <c r="A2390" s="45" t="inlineStr">
        <is>
          <t>21269</t>
        </is>
      </c>
      <c r="B2390" s="45" t="inlineStr">
        <is>
          <t>33458</t>
        </is>
      </c>
      <c r="C2390" s="45" t="inlineStr">
        <is>
          <t>2×16729</t>
        </is>
      </c>
      <c r="D2390" s="45" t="inlineStr">
        <is>
          <t>2</t>
        </is>
      </c>
      <c r="E2390" s="45" t="inlineStr"/>
      <c r="F2390" s="45" t="inlineStr"/>
    </row>
    <row r="2391" ht="13" customHeight="1">
      <c r="A2391" s="50" t="inlineStr">
        <is>
          <t>21277</t>
        </is>
      </c>
      <c r="B2391" s="50" t="inlineStr">
        <is>
          <t>12239</t>
        </is>
      </c>
      <c r="C2391" s="50" t="inlineStr">
        <is>
          <t>12239</t>
        </is>
      </c>
      <c r="D2391" s="50" t="inlineStr">
        <is>
          <t>—</t>
        </is>
      </c>
      <c r="E2391" s="50" t="inlineStr"/>
      <c r="F2391" s="50" t="inlineStr"/>
    </row>
    <row r="2392" ht="13" customHeight="1">
      <c r="A2392" s="43" t="inlineStr">
        <is>
          <t>21283</t>
        </is>
      </c>
      <c r="B2392" s="43" t="inlineStr">
        <is>
          <t>14762</t>
        </is>
      </c>
      <c r="C2392" s="43" t="inlineStr">
        <is>
          <t>2×11×11×61</t>
        </is>
      </c>
      <c r="D2392" s="43" t="inlineStr">
        <is>
          <t>2·11</t>
        </is>
      </c>
      <c r="E2392" s="43" t="inlineStr"/>
      <c r="F2392" s="43" t="inlineStr"/>
    </row>
    <row r="2393" ht="13" customHeight="1">
      <c r="A2393" s="49" t="inlineStr">
        <is>
          <t>21313</t>
        </is>
      </c>
      <c r="B2393" s="49" t="inlineStr">
        <is>
          <t>15577</t>
        </is>
      </c>
      <c r="C2393" s="49" t="inlineStr">
        <is>
          <t>37×421</t>
        </is>
      </c>
      <c r="D2393" s="49" t="inlineStr">
        <is>
          <t>—</t>
        </is>
      </c>
      <c r="E2393" s="49" t="inlineStr"/>
      <c r="F2393" s="49" t="inlineStr"/>
    </row>
    <row r="2394" ht="13" customHeight="1">
      <c r="A2394" s="45" t="inlineStr">
        <is>
          <t>21317</t>
        </is>
      </c>
      <c r="B2394" s="45" t="inlineStr">
        <is>
          <t>1434</t>
        </is>
      </c>
      <c r="C2394" s="45" t="inlineStr">
        <is>
          <t>2×3×239</t>
        </is>
      </c>
      <c r="D2394" s="45" t="inlineStr">
        <is>
          <t>2·3</t>
        </is>
      </c>
      <c r="E2394" s="45" t="inlineStr"/>
      <c r="F2394" s="45" t="inlineStr"/>
    </row>
    <row r="2395" ht="13" customHeight="1">
      <c r="A2395" s="49" t="inlineStr">
        <is>
          <t>21319</t>
        </is>
      </c>
      <c r="B2395" s="49" t="inlineStr">
        <is>
          <t>11768</t>
        </is>
      </c>
      <c r="C2395" s="49" t="inlineStr">
        <is>
          <t>2×2×2×1471</t>
        </is>
      </c>
      <c r="D2395" s="49" t="inlineStr">
        <is>
          <t>2</t>
        </is>
      </c>
      <c r="E2395" s="49" t="inlineStr"/>
      <c r="F2395" s="49" t="inlineStr"/>
    </row>
    <row r="2396" ht="13" customHeight="1">
      <c r="A2396" s="45" t="inlineStr">
        <is>
          <t>21323</t>
        </is>
      </c>
      <c r="B2396" s="45" t="inlineStr">
        <is>
          <t>5403</t>
        </is>
      </c>
      <c r="C2396" s="45" t="inlineStr">
        <is>
          <t>3×1801</t>
        </is>
      </c>
      <c r="D2396" s="45" t="inlineStr">
        <is>
          <t>3</t>
        </is>
      </c>
      <c r="E2396" s="45" t="inlineStr"/>
      <c r="F2396" s="45" t="inlineStr"/>
    </row>
    <row r="2397" ht="13" customHeight="1">
      <c r="A2397" s="43" t="inlineStr">
        <is>
          <t>21341</t>
        </is>
      </c>
      <c r="B2397" s="43" t="inlineStr">
        <is>
          <t>18073</t>
        </is>
      </c>
      <c r="C2397" s="43" t="inlineStr">
        <is>
          <t>11×31×53</t>
        </is>
      </c>
      <c r="D2397" s="43" t="inlineStr">
        <is>
          <t>11</t>
        </is>
      </c>
      <c r="E2397" s="43" t="inlineStr"/>
      <c r="F2397" s="43" t="inlineStr"/>
    </row>
    <row r="2398" ht="13" customHeight="1">
      <c r="A2398" s="45" t="inlineStr">
        <is>
          <t>21347</t>
        </is>
      </c>
      <c r="B2398" s="45" t="inlineStr">
        <is>
          <t>24632</t>
        </is>
      </c>
      <c r="C2398" s="45" t="inlineStr">
        <is>
          <t>2×2×2×3079</t>
        </is>
      </c>
      <c r="D2398" s="45" t="inlineStr">
        <is>
          <t>2</t>
        </is>
      </c>
      <c r="E2398" s="45" t="inlineStr"/>
      <c r="F2398" s="45" t="inlineStr"/>
    </row>
    <row r="2399" ht="13" customHeight="1">
      <c r="A2399" s="49" t="inlineStr">
        <is>
          <t>21377</t>
        </is>
      </c>
      <c r="B2399" s="49" t="inlineStr">
        <is>
          <t>19386</t>
        </is>
      </c>
      <c r="C2399" s="49" t="inlineStr">
        <is>
          <t>2×3×3×3×359</t>
        </is>
      </c>
      <c r="D2399" s="49" t="inlineStr">
        <is>
          <t>2·3</t>
        </is>
      </c>
      <c r="E2399" s="49" t="inlineStr"/>
      <c r="F2399" s="49" t="inlineStr"/>
    </row>
    <row r="2400" ht="13" customHeight="1">
      <c r="A2400" s="45" t="inlineStr">
        <is>
          <t>21379</t>
        </is>
      </c>
      <c r="B2400" s="45" t="inlineStr">
        <is>
          <t>31188</t>
        </is>
      </c>
      <c r="C2400" s="45" t="inlineStr">
        <is>
          <t>2×2×3×23×113</t>
        </is>
      </c>
      <c r="D2400" s="45" t="inlineStr">
        <is>
          <t>2·3</t>
        </is>
      </c>
      <c r="E2400" s="45" t="inlineStr"/>
      <c r="F2400" s="45" t="inlineStr"/>
    </row>
    <row r="2401" ht="13" customHeight="1">
      <c r="A2401" s="41" t="inlineStr">
        <is>
          <t>21383</t>
        </is>
      </c>
      <c r="B2401" s="41" t="inlineStr">
        <is>
          <t>26546</t>
        </is>
      </c>
      <c r="C2401" s="41" t="inlineStr">
        <is>
          <t>2×13×1021</t>
        </is>
      </c>
      <c r="D2401" s="41" t="inlineStr">
        <is>
          <t>2·13</t>
        </is>
      </c>
      <c r="E2401" s="41" t="inlineStr"/>
      <c r="F2401" s="41" t="inlineStr"/>
    </row>
    <row r="2402" ht="13" customHeight="1">
      <c r="A2402" s="45" t="inlineStr">
        <is>
          <t>21391</t>
        </is>
      </c>
      <c r="B2402" s="45" t="inlineStr">
        <is>
          <t>15989</t>
        </is>
      </c>
      <c r="C2402" s="45" t="inlineStr">
        <is>
          <t>59×271</t>
        </is>
      </c>
      <c r="D2402" s="45" t="inlineStr">
        <is>
          <t>—</t>
        </is>
      </c>
      <c r="E2402" s="45" t="inlineStr"/>
      <c r="F2402" s="45" t="inlineStr"/>
    </row>
    <row r="2403" ht="13" customHeight="1">
      <c r="A2403" s="49" t="inlineStr">
        <is>
          <t>21397</t>
        </is>
      </c>
      <c r="B2403" s="49" t="inlineStr">
        <is>
          <t>40373</t>
        </is>
      </c>
      <c r="C2403" s="49" t="inlineStr">
        <is>
          <t>47×859</t>
        </is>
      </c>
      <c r="D2403" s="49" t="inlineStr">
        <is>
          <t>—</t>
        </is>
      </c>
      <c r="E2403" s="49" t="inlineStr"/>
      <c r="F2403" s="49" t="inlineStr"/>
    </row>
    <row r="2404" ht="13" customHeight="1">
      <c r="A2404" s="45" t="inlineStr">
        <is>
          <t>21401</t>
        </is>
      </c>
      <c r="B2404" s="45" t="inlineStr">
        <is>
          <t>25284</t>
        </is>
      </c>
      <c r="C2404" s="45" t="inlineStr">
        <is>
          <t>2×2×3×7×7×43</t>
        </is>
      </c>
      <c r="D2404" s="45" t="inlineStr">
        <is>
          <t>2·3·7</t>
        </is>
      </c>
      <c r="E2404" s="45" t="inlineStr"/>
      <c r="F2404" s="45" t="inlineStr"/>
    </row>
    <row r="2405" ht="13" customHeight="1">
      <c r="A2405" s="50" t="inlineStr">
        <is>
          <t>21407</t>
        </is>
      </c>
      <c r="B2405" s="50" t="inlineStr">
        <is>
          <t>30529</t>
        </is>
      </c>
      <c r="C2405" s="50" t="inlineStr">
        <is>
          <t>30529</t>
        </is>
      </c>
      <c r="D2405" s="50" t="inlineStr">
        <is>
          <t>—</t>
        </is>
      </c>
      <c r="E2405" s="50" t="inlineStr"/>
      <c r="F2405" s="50" t="inlineStr"/>
    </row>
    <row r="2406" ht="13" customHeight="1">
      <c r="A2406" s="41" t="inlineStr">
        <is>
          <t>21419</t>
        </is>
      </c>
      <c r="B2406" s="41" t="inlineStr">
        <is>
          <t>14482</t>
        </is>
      </c>
      <c r="C2406" s="41" t="inlineStr">
        <is>
          <t>2×13×557</t>
        </is>
      </c>
      <c r="D2406" s="41" t="inlineStr">
        <is>
          <t>2·13</t>
        </is>
      </c>
      <c r="E2406" s="41" t="inlineStr"/>
      <c r="F2406" s="41" t="inlineStr"/>
    </row>
    <row r="2407" ht="13" customHeight="1">
      <c r="A2407" s="49" t="inlineStr">
        <is>
          <t>21433</t>
        </is>
      </c>
      <c r="B2407" s="49" t="inlineStr">
        <is>
          <t>25472</t>
        </is>
      </c>
      <c r="C2407" s="49" t="inlineStr">
        <is>
          <t>2×2×2×2×2×2×2×199</t>
        </is>
      </c>
      <c r="D2407" s="49" t="inlineStr">
        <is>
          <t>2</t>
        </is>
      </c>
      <c r="E2407" s="49" t="inlineStr"/>
      <c r="F2407" s="49" t="inlineStr"/>
    </row>
    <row r="2408" ht="13" customHeight="1">
      <c r="A2408" s="45" t="inlineStr">
        <is>
          <t>21467</t>
        </is>
      </c>
      <c r="B2408" s="45" t="inlineStr">
        <is>
          <t>26679</t>
        </is>
      </c>
      <c r="C2408" s="45" t="inlineStr">
        <is>
          <t>3×8893</t>
        </is>
      </c>
      <c r="D2408" s="45" t="inlineStr">
        <is>
          <t>3</t>
        </is>
      </c>
      <c r="E2408" s="45" t="inlineStr"/>
      <c r="F2408" s="45" t="inlineStr"/>
    </row>
    <row r="2409" ht="13" customHeight="1">
      <c r="A2409" s="49" t="inlineStr">
        <is>
          <t>21481</t>
        </is>
      </c>
      <c r="B2409" s="49" t="inlineStr">
        <is>
          <t>24485</t>
        </is>
      </c>
      <c r="C2409" s="49" t="inlineStr">
        <is>
          <t>5×59×83</t>
        </is>
      </c>
      <c r="D2409" s="49" t="inlineStr">
        <is>
          <t>5</t>
        </is>
      </c>
      <c r="E2409" s="49" t="inlineStr"/>
      <c r="F2409" s="49" t="inlineStr"/>
    </row>
    <row r="2410" ht="13" customHeight="1">
      <c r="A2410" s="45" t="inlineStr">
        <is>
          <t>21487</t>
        </is>
      </c>
      <c r="B2410" s="45" t="inlineStr">
        <is>
          <t>32273</t>
        </is>
      </c>
      <c r="C2410" s="45" t="inlineStr">
        <is>
          <t>59×547</t>
        </is>
      </c>
      <c r="D2410" s="45" t="inlineStr">
        <is>
          <t>—</t>
        </is>
      </c>
      <c r="E2410" s="45" t="inlineStr"/>
      <c r="F2410" s="45" t="inlineStr"/>
    </row>
    <row r="2411" ht="13" customHeight="1">
      <c r="A2411" s="43" t="inlineStr">
        <is>
          <t>21491</t>
        </is>
      </c>
      <c r="B2411" s="43" t="inlineStr">
        <is>
          <t>25377</t>
        </is>
      </c>
      <c r="C2411" s="43" t="inlineStr">
        <is>
          <t>3×11×769</t>
        </is>
      </c>
      <c r="D2411" s="43" t="inlineStr">
        <is>
          <t>3·11</t>
        </is>
      </c>
      <c r="E2411" s="43" t="inlineStr"/>
      <c r="F2411" s="43" t="inlineStr"/>
    </row>
    <row r="2412" ht="13" customHeight="1">
      <c r="A2412" s="45" t="inlineStr">
        <is>
          <t>21493</t>
        </is>
      </c>
      <c r="B2412" s="45" t="inlineStr">
        <is>
          <t>17241</t>
        </is>
      </c>
      <c r="C2412" s="45" t="inlineStr">
        <is>
          <t>3×7×821</t>
        </is>
      </c>
      <c r="D2412" s="45" t="inlineStr">
        <is>
          <t>3·7</t>
        </is>
      </c>
      <c r="E2412" s="45" t="inlineStr"/>
      <c r="F2412" s="45" t="inlineStr"/>
    </row>
    <row r="2413" ht="13" customHeight="1">
      <c r="A2413" s="41" t="inlineStr">
        <is>
          <t>21499</t>
        </is>
      </c>
      <c r="B2413" s="41" t="inlineStr">
        <is>
          <t>35789</t>
        </is>
      </c>
      <c r="C2413" s="41" t="inlineStr">
        <is>
          <t>13×2753</t>
        </is>
      </c>
      <c r="D2413" s="41" t="inlineStr">
        <is>
          <t>13</t>
        </is>
      </c>
      <c r="E2413" s="41" t="inlineStr"/>
      <c r="F2413" s="41" t="inlineStr"/>
    </row>
    <row r="2414" ht="13" customHeight="1">
      <c r="A2414" s="41" t="inlineStr">
        <is>
          <t>21503</t>
        </is>
      </c>
      <c r="B2414" s="41" t="inlineStr">
        <is>
          <t>33507</t>
        </is>
      </c>
      <c r="C2414" s="41" t="inlineStr">
        <is>
          <t>3×3×3×17×73</t>
        </is>
      </c>
      <c r="D2414" s="41" t="inlineStr">
        <is>
          <t>3·17</t>
        </is>
      </c>
      <c r="E2414" s="41" t="inlineStr"/>
      <c r="F2414" s="41" t="inlineStr"/>
    </row>
    <row r="2415" ht="13" customHeight="1">
      <c r="A2415" s="49" t="inlineStr">
        <is>
          <t>21517</t>
        </is>
      </c>
      <c r="B2415" s="49" t="inlineStr">
        <is>
          <t>16928</t>
        </is>
      </c>
      <c r="C2415" s="49" t="inlineStr">
        <is>
          <t>2×2×2×2×2×23×23</t>
        </is>
      </c>
      <c r="D2415" s="49" t="inlineStr">
        <is>
          <t>2</t>
        </is>
      </c>
      <c r="E2415" s="49" t="inlineStr"/>
      <c r="F2415" s="49" t="inlineStr"/>
    </row>
    <row r="2416" ht="13" customHeight="1">
      <c r="A2416" s="50" t="inlineStr">
        <is>
          <t>21521</t>
        </is>
      </c>
      <c r="B2416" s="50" t="inlineStr">
        <is>
          <t>37657</t>
        </is>
      </c>
      <c r="C2416" s="50" t="inlineStr">
        <is>
          <t>37657</t>
        </is>
      </c>
      <c r="D2416" s="50" t="inlineStr">
        <is>
          <t>—</t>
        </is>
      </c>
      <c r="E2416" s="50" t="inlineStr"/>
      <c r="F2416" s="50" t="inlineStr"/>
    </row>
    <row r="2417" ht="13" customHeight="1">
      <c r="A2417" s="49" t="inlineStr">
        <is>
          <t>21523</t>
        </is>
      </c>
      <c r="B2417" s="49" t="inlineStr">
        <is>
          <t>21264</t>
        </is>
      </c>
      <c r="C2417" s="49" t="inlineStr">
        <is>
          <t>2×2×2×2×3×443</t>
        </is>
      </c>
      <c r="D2417" s="49" t="inlineStr">
        <is>
          <t>2·3</t>
        </is>
      </c>
      <c r="E2417" s="49" t="inlineStr"/>
      <c r="F2417" s="49" t="inlineStr"/>
    </row>
    <row r="2418" ht="13" customHeight="1">
      <c r="A2418" s="50" t="inlineStr">
        <is>
          <t>21529</t>
        </is>
      </c>
      <c r="B2418" s="50" t="inlineStr">
        <is>
          <t>3671</t>
        </is>
      </c>
      <c r="C2418" s="50" t="inlineStr">
        <is>
          <t>3671</t>
        </is>
      </c>
      <c r="D2418" s="50" t="inlineStr">
        <is>
          <t>—</t>
        </is>
      </c>
      <c r="E2418" s="50" t="inlineStr"/>
      <c r="F2418" s="50" t="inlineStr"/>
    </row>
    <row r="2419" ht="13" customHeight="1">
      <c r="A2419" s="49" t="inlineStr">
        <is>
          <t>21557</t>
        </is>
      </c>
      <c r="B2419" s="49" t="inlineStr">
        <is>
          <t>41594</t>
        </is>
      </c>
      <c r="C2419" s="49" t="inlineStr">
        <is>
          <t>2×7×2971</t>
        </is>
      </c>
      <c r="D2419" s="49" t="inlineStr">
        <is>
          <t>2·7</t>
        </is>
      </c>
      <c r="E2419" s="49" t="inlineStr"/>
      <c r="F2419" s="49" t="inlineStr"/>
    </row>
    <row r="2420" ht="13" customHeight="1">
      <c r="A2420" s="45" t="inlineStr">
        <is>
          <t>21559</t>
        </is>
      </c>
      <c r="B2420" s="45" t="inlineStr">
        <is>
          <t>34582</t>
        </is>
      </c>
      <c r="C2420" s="45" t="inlineStr">
        <is>
          <t>2×17291</t>
        </is>
      </c>
      <c r="D2420" s="45" t="inlineStr">
        <is>
          <t>2</t>
        </is>
      </c>
      <c r="E2420" s="45" t="inlineStr"/>
      <c r="F2420" s="45" t="inlineStr"/>
    </row>
    <row r="2421" ht="13" customHeight="1">
      <c r="A2421" s="43" t="inlineStr">
        <is>
          <t>21563</t>
        </is>
      </c>
      <c r="B2421" s="43" t="inlineStr">
        <is>
          <t>319</t>
        </is>
      </c>
      <c r="C2421" s="43" t="inlineStr">
        <is>
          <t>11×29</t>
        </is>
      </c>
      <c r="D2421" s="43" t="inlineStr">
        <is>
          <t>11</t>
        </is>
      </c>
      <c r="E2421" s="43" t="inlineStr"/>
      <c r="F2421" s="43" t="inlineStr"/>
    </row>
    <row r="2422" ht="13" customHeight="1">
      <c r="A2422" s="45" t="inlineStr">
        <is>
          <t>21569</t>
        </is>
      </c>
      <c r="B2422" s="45" t="inlineStr">
        <is>
          <t>2658</t>
        </is>
      </c>
      <c r="C2422" s="45" t="inlineStr">
        <is>
          <t>2×3×443</t>
        </is>
      </c>
      <c r="D2422" s="45" t="inlineStr">
        <is>
          <t>2·3</t>
        </is>
      </c>
      <c r="E2422" s="45" t="inlineStr"/>
      <c r="F2422" s="45" t="inlineStr"/>
    </row>
    <row r="2423" ht="13" customHeight="1">
      <c r="A2423" s="49" t="inlineStr">
        <is>
          <t>21577</t>
        </is>
      </c>
      <c r="B2423" s="49" t="inlineStr">
        <is>
          <t>29782</t>
        </is>
      </c>
      <c r="C2423" s="49" t="inlineStr">
        <is>
          <t>2×14891</t>
        </is>
      </c>
      <c r="D2423" s="49" t="inlineStr">
        <is>
          <t>2</t>
        </is>
      </c>
      <c r="E2423" s="49" t="inlineStr"/>
      <c r="F2423" s="49" t="inlineStr"/>
    </row>
    <row r="2424" ht="13" customHeight="1">
      <c r="A2424" s="43" t="inlineStr">
        <is>
          <t>21587</t>
        </is>
      </c>
      <c r="B2424" s="43" t="inlineStr">
        <is>
          <t>12595</t>
        </is>
      </c>
      <c r="C2424" s="43" t="inlineStr">
        <is>
          <t>5×11×229</t>
        </is>
      </c>
      <c r="D2424" s="43" t="inlineStr">
        <is>
          <t>5·11</t>
        </is>
      </c>
      <c r="E2424" s="43" t="inlineStr"/>
      <c r="F2424" s="43" t="inlineStr"/>
    </row>
    <row r="2425" ht="13" customHeight="1">
      <c r="A2425" s="49" t="inlineStr">
        <is>
          <t>21589</t>
        </is>
      </c>
      <c r="B2425" s="49" t="inlineStr">
        <is>
          <t>18992</t>
        </is>
      </c>
      <c r="C2425" s="49" t="inlineStr">
        <is>
          <t>2×2×2×2×1187</t>
        </is>
      </c>
      <c r="D2425" s="49" t="inlineStr">
        <is>
          <t>2</t>
        </is>
      </c>
      <c r="E2425" s="49" t="inlineStr"/>
      <c r="F2425" s="49" t="inlineStr"/>
    </row>
    <row r="2426" ht="13" customHeight="1">
      <c r="A2426" s="45" t="inlineStr">
        <is>
          <t>21599</t>
        </is>
      </c>
      <c r="B2426" s="45" t="inlineStr">
        <is>
          <t>934</t>
        </is>
      </c>
      <c r="C2426" s="45" t="inlineStr">
        <is>
          <t>2×467</t>
        </is>
      </c>
      <c r="D2426" s="45" t="inlineStr">
        <is>
          <t>2</t>
        </is>
      </c>
      <c r="E2426" s="45" t="inlineStr"/>
      <c r="F2426" s="45" t="inlineStr"/>
    </row>
    <row r="2427" ht="13" customHeight="1">
      <c r="A2427" s="41" t="inlineStr">
        <is>
          <t>21601</t>
        </is>
      </c>
      <c r="B2427" s="41" t="inlineStr">
        <is>
          <t>29354</t>
        </is>
      </c>
      <c r="C2427" s="41" t="inlineStr">
        <is>
          <t>2×13×1129</t>
        </is>
      </c>
      <c r="D2427" s="41" t="inlineStr">
        <is>
          <t>2·13</t>
        </is>
      </c>
      <c r="E2427" s="41" t="inlineStr"/>
      <c r="F2427" s="41" t="inlineStr"/>
    </row>
    <row r="2428" ht="13" customHeight="1">
      <c r="A2428" s="43" t="inlineStr">
        <is>
          <t>21611</t>
        </is>
      </c>
      <c r="B2428" s="43" t="inlineStr">
        <is>
          <t>5082</t>
        </is>
      </c>
      <c r="C2428" s="43" t="inlineStr">
        <is>
          <t>2×3×7×11×11</t>
        </is>
      </c>
      <c r="D2428" s="43" t="inlineStr">
        <is>
          <t>2·3·7·11</t>
        </is>
      </c>
      <c r="E2428" s="43" t="inlineStr"/>
      <c r="F2428" s="43" t="inlineStr"/>
    </row>
    <row r="2429" ht="13" customHeight="1">
      <c r="A2429" s="49" t="inlineStr">
        <is>
          <t>21613</t>
        </is>
      </c>
      <c r="B2429" s="49" t="inlineStr">
        <is>
          <t>7398</t>
        </is>
      </c>
      <c r="C2429" s="49" t="inlineStr">
        <is>
          <t>2×3×3×3×137</t>
        </is>
      </c>
      <c r="D2429" s="49" t="inlineStr">
        <is>
          <t>2·3</t>
        </is>
      </c>
      <c r="E2429" s="49" t="inlineStr"/>
      <c r="F2429" s="49" t="inlineStr"/>
    </row>
    <row r="2430" ht="13" customHeight="1">
      <c r="A2430" s="45" t="inlineStr">
        <is>
          <t>21617</t>
        </is>
      </c>
      <c r="B2430" s="45" t="inlineStr">
        <is>
          <t>13384</t>
        </is>
      </c>
      <c r="C2430" s="45" t="inlineStr">
        <is>
          <t>2×2×2×7×239</t>
        </is>
      </c>
      <c r="D2430" s="45" t="inlineStr">
        <is>
          <t>2·7</t>
        </is>
      </c>
      <c r="E2430" s="45" t="inlineStr"/>
      <c r="F2430" s="45" t="inlineStr"/>
    </row>
    <row r="2431" ht="13" customHeight="1">
      <c r="A2431" s="49" t="inlineStr">
        <is>
          <t>21647</t>
        </is>
      </c>
      <c r="B2431" s="49" t="inlineStr">
        <is>
          <t>7330</t>
        </is>
      </c>
      <c r="C2431" s="49" t="inlineStr">
        <is>
          <t>2×5×733</t>
        </is>
      </c>
      <c r="D2431" s="49" t="inlineStr">
        <is>
          <t>2·5</t>
        </is>
      </c>
      <c r="E2431" s="49" t="inlineStr"/>
      <c r="F2431" s="49" t="inlineStr"/>
    </row>
    <row r="2432" ht="13" customHeight="1">
      <c r="A2432" s="45" t="inlineStr">
        <is>
          <t>21649</t>
        </is>
      </c>
      <c r="B2432" s="45" t="inlineStr">
        <is>
          <t>10630</t>
        </is>
      </c>
      <c r="C2432" s="45" t="inlineStr">
        <is>
          <t>2×5×1063</t>
        </is>
      </c>
      <c r="D2432" s="45" t="inlineStr">
        <is>
          <t>2·5</t>
        </is>
      </c>
      <c r="E2432" s="45" t="inlineStr"/>
      <c r="F2432" s="45" t="inlineStr"/>
    </row>
    <row r="2433" ht="13" customHeight="1">
      <c r="A2433" s="51" t="inlineStr">
        <is>
          <t>21661</t>
        </is>
      </c>
      <c r="B2433" s="51" t="inlineStr">
        <is>
          <t>13547</t>
        </is>
      </c>
      <c r="C2433" s="51" t="inlineStr">
        <is>
          <t>19×23×31</t>
        </is>
      </c>
      <c r="D2433" s="51" t="inlineStr">
        <is>
          <t>19</t>
        </is>
      </c>
      <c r="E2433" s="51" t="inlineStr"/>
      <c r="F2433" s="51" t="inlineStr"/>
    </row>
    <row r="2434" ht="13" customHeight="1">
      <c r="A2434" s="51" t="inlineStr">
        <is>
          <t>21673</t>
        </is>
      </c>
      <c r="B2434" s="51" t="inlineStr">
        <is>
          <t>8588</t>
        </is>
      </c>
      <c r="C2434" s="51" t="inlineStr">
        <is>
          <t>2×2×19×113</t>
        </is>
      </c>
      <c r="D2434" s="51" t="inlineStr">
        <is>
          <t>2·19</t>
        </is>
      </c>
      <c r="E2434" s="51" t="inlineStr"/>
      <c r="F2434" s="51" t="inlineStr"/>
    </row>
    <row r="2435" ht="13" customHeight="1">
      <c r="A2435" s="49" t="inlineStr">
        <is>
          <t>21683</t>
        </is>
      </c>
      <c r="B2435" s="49" t="inlineStr">
        <is>
          <t>36838</t>
        </is>
      </c>
      <c r="C2435" s="49" t="inlineStr">
        <is>
          <t>2×113×163</t>
        </is>
      </c>
      <c r="D2435" s="49" t="inlineStr">
        <is>
          <t>2</t>
        </is>
      </c>
      <c r="E2435" s="49" t="inlineStr"/>
      <c r="F2435" s="49" t="inlineStr"/>
    </row>
    <row r="2436" ht="13" customHeight="1">
      <c r="A2436" s="45" t="inlineStr">
        <is>
          <t>21701</t>
        </is>
      </c>
      <c r="B2436" s="45" t="inlineStr">
        <is>
          <t>40245</t>
        </is>
      </c>
      <c r="C2436" s="45" t="inlineStr">
        <is>
          <t>3×5×2683</t>
        </is>
      </c>
      <c r="D2436" s="45" t="inlineStr">
        <is>
          <t>3·5</t>
        </is>
      </c>
      <c r="E2436" s="45" t="inlineStr"/>
      <c r="F2436" s="45" t="inlineStr"/>
    </row>
    <row r="2437" ht="13" customHeight="1">
      <c r="A2437" s="43" t="inlineStr">
        <is>
          <t>21713</t>
        </is>
      </c>
      <c r="B2437" s="43" t="inlineStr">
        <is>
          <t>20713</t>
        </is>
      </c>
      <c r="C2437" s="43" t="inlineStr">
        <is>
          <t>7×11×269</t>
        </is>
      </c>
      <c r="D2437" s="43" t="inlineStr">
        <is>
          <t>7·11</t>
        </is>
      </c>
      <c r="E2437" s="43" t="inlineStr"/>
      <c r="F2437" s="43" t="inlineStr"/>
    </row>
    <row r="2438" ht="13" customHeight="1">
      <c r="A2438" s="43" t="inlineStr">
        <is>
          <t>21727</t>
        </is>
      </c>
      <c r="B2438" s="43" t="inlineStr">
        <is>
          <t>12617</t>
        </is>
      </c>
      <c r="C2438" s="43" t="inlineStr">
        <is>
          <t>11×31×37</t>
        </is>
      </c>
      <c r="D2438" s="43" t="inlineStr">
        <is>
          <t>11</t>
        </is>
      </c>
      <c r="E2438" s="43" t="inlineStr"/>
      <c r="F2438" s="43" t="inlineStr"/>
    </row>
    <row r="2439" ht="13" customHeight="1">
      <c r="A2439" s="49" t="inlineStr">
        <is>
          <t>21737</t>
        </is>
      </c>
      <c r="B2439" s="49" t="inlineStr">
        <is>
          <t>39046</t>
        </is>
      </c>
      <c r="C2439" s="49" t="inlineStr">
        <is>
          <t>2×7×2789</t>
        </is>
      </c>
      <c r="D2439" s="49" t="inlineStr">
        <is>
          <t>2·7</t>
        </is>
      </c>
      <c r="E2439" s="49" t="inlineStr"/>
      <c r="F2439" s="49" t="inlineStr"/>
    </row>
    <row r="2440" ht="13" customHeight="1">
      <c r="A2440" s="45" t="inlineStr">
        <is>
          <t>21739</t>
        </is>
      </c>
      <c r="B2440" s="45" t="inlineStr">
        <is>
          <t>43799</t>
        </is>
      </c>
      <c r="C2440" s="45" t="inlineStr">
        <is>
          <t>7×6257</t>
        </is>
      </c>
      <c r="D2440" s="45" t="inlineStr">
        <is>
          <t>7</t>
        </is>
      </c>
      <c r="E2440" s="45" t="inlineStr"/>
      <c r="F2440" s="45" t="inlineStr"/>
    </row>
    <row r="2441" ht="13" customHeight="1">
      <c r="A2441" s="49" t="inlineStr">
        <is>
          <t>21751</t>
        </is>
      </c>
      <c r="B2441" s="49" t="inlineStr">
        <is>
          <t>5492</t>
        </is>
      </c>
      <c r="C2441" s="49" t="inlineStr">
        <is>
          <t>2×2×1373</t>
        </is>
      </c>
      <c r="D2441" s="49" t="inlineStr">
        <is>
          <t>2</t>
        </is>
      </c>
      <c r="E2441" s="49" t="inlineStr"/>
      <c r="F2441" s="49" t="inlineStr"/>
    </row>
    <row r="2442" ht="13" customHeight="1">
      <c r="A2442" s="45" t="inlineStr">
        <is>
          <t>21757</t>
        </is>
      </c>
      <c r="B2442" s="45" t="inlineStr">
        <is>
          <t>33285</t>
        </is>
      </c>
      <c r="C2442" s="45" t="inlineStr">
        <is>
          <t>3×5×7×317</t>
        </is>
      </c>
      <c r="D2442" s="45" t="inlineStr">
        <is>
          <t>3·5·7</t>
        </is>
      </c>
      <c r="E2442" s="45" t="inlineStr"/>
      <c r="F2442" s="45" t="inlineStr"/>
    </row>
    <row r="2443" ht="13" customHeight="1">
      <c r="A2443" s="49" t="inlineStr">
        <is>
          <t>21767</t>
        </is>
      </c>
      <c r="B2443" s="49" t="inlineStr">
        <is>
          <t>10611</t>
        </is>
      </c>
      <c r="C2443" s="49" t="inlineStr">
        <is>
          <t>3×3×3×3×131</t>
        </is>
      </c>
      <c r="D2443" s="49" t="inlineStr">
        <is>
          <t>3</t>
        </is>
      </c>
      <c r="E2443" s="49" t="inlineStr"/>
      <c r="F2443" s="49" t="inlineStr"/>
    </row>
    <row r="2444" ht="13" customHeight="1">
      <c r="A2444" s="45" t="inlineStr">
        <is>
          <t>21773</t>
        </is>
      </c>
      <c r="B2444" s="45" t="inlineStr">
        <is>
          <t>42057</t>
        </is>
      </c>
      <c r="C2444" s="45" t="inlineStr">
        <is>
          <t>3×3×4673</t>
        </is>
      </c>
      <c r="D2444" s="45" t="inlineStr">
        <is>
          <t>3</t>
        </is>
      </c>
      <c r="E2444" s="45" t="inlineStr"/>
      <c r="F2444" s="45" t="inlineStr"/>
    </row>
    <row r="2445" ht="13" customHeight="1">
      <c r="A2445" s="49" t="inlineStr">
        <is>
          <t>21787</t>
        </is>
      </c>
      <c r="B2445" s="49" t="inlineStr">
        <is>
          <t>1446</t>
        </is>
      </c>
      <c r="C2445" s="49" t="inlineStr">
        <is>
          <t>2×3×241</t>
        </is>
      </c>
      <c r="D2445" s="49" t="inlineStr">
        <is>
          <t>2·3</t>
        </is>
      </c>
      <c r="E2445" s="49" t="inlineStr"/>
      <c r="F2445" s="49" t="inlineStr"/>
    </row>
    <row r="2446" ht="13" customHeight="1">
      <c r="A2446" s="41" t="inlineStr">
        <is>
          <t>21799</t>
        </is>
      </c>
      <c r="B2446" s="41" t="inlineStr">
        <is>
          <t>9826</t>
        </is>
      </c>
      <c r="C2446" s="41" t="inlineStr">
        <is>
          <t>2×17×17×17</t>
        </is>
      </c>
      <c r="D2446" s="41" t="inlineStr">
        <is>
          <t>2·17</t>
        </is>
      </c>
      <c r="E2446" s="41" t="inlineStr"/>
      <c r="F2446" s="41" t="inlineStr"/>
    </row>
    <row r="2447" ht="13" customHeight="1">
      <c r="A2447" s="49" t="inlineStr">
        <is>
          <t>21803</t>
        </is>
      </c>
      <c r="B2447" s="49" t="inlineStr">
        <is>
          <t>14338</t>
        </is>
      </c>
      <c r="C2447" s="49" t="inlineStr">
        <is>
          <t>2×67×107</t>
        </is>
      </c>
      <c r="D2447" s="49" t="inlineStr">
        <is>
          <t>2</t>
        </is>
      </c>
      <c r="E2447" s="49" t="inlineStr"/>
      <c r="F2447" s="49" t="inlineStr"/>
    </row>
    <row r="2448" ht="13" customHeight="1">
      <c r="A2448" s="45" t="inlineStr">
        <is>
          <t>21817</t>
        </is>
      </c>
      <c r="B2448" s="45" t="inlineStr">
        <is>
          <t>36865</t>
        </is>
      </c>
      <c r="C2448" s="45" t="inlineStr">
        <is>
          <t>5×73×101</t>
        </is>
      </c>
      <c r="D2448" s="45" t="inlineStr">
        <is>
          <t>5</t>
        </is>
      </c>
      <c r="E2448" s="45" t="inlineStr"/>
      <c r="F2448" s="45" t="inlineStr"/>
    </row>
    <row r="2449" ht="13" customHeight="1">
      <c r="A2449" s="49" t="inlineStr">
        <is>
          <t>21821</t>
        </is>
      </c>
      <c r="B2449" s="49" t="inlineStr">
        <is>
          <t>22635</t>
        </is>
      </c>
      <c r="C2449" s="49" t="inlineStr">
        <is>
          <t>3×3×5×503</t>
        </is>
      </c>
      <c r="D2449" s="49" t="inlineStr">
        <is>
          <t>3·5</t>
        </is>
      </c>
      <c r="E2449" s="49" t="inlineStr"/>
      <c r="F2449" s="49" t="inlineStr"/>
    </row>
    <row r="2450" ht="13" customHeight="1">
      <c r="A2450" s="45" t="inlineStr">
        <is>
          <t>21839</t>
        </is>
      </c>
      <c r="B2450" s="45" t="inlineStr">
        <is>
          <t>25511</t>
        </is>
      </c>
      <c r="C2450" s="45" t="inlineStr">
        <is>
          <t>97×263</t>
        </is>
      </c>
      <c r="D2450" s="45" t="inlineStr">
        <is>
          <t>—</t>
        </is>
      </c>
      <c r="E2450" s="45" t="inlineStr"/>
      <c r="F2450" s="45" t="inlineStr"/>
    </row>
    <row r="2451" ht="13" customHeight="1">
      <c r="A2451" s="49" t="inlineStr">
        <is>
          <t>21841</t>
        </is>
      </c>
      <c r="B2451" s="49" t="inlineStr">
        <is>
          <t>5090</t>
        </is>
      </c>
      <c r="C2451" s="49" t="inlineStr">
        <is>
          <t>2×5×509</t>
        </is>
      </c>
      <c r="D2451" s="49" t="inlineStr">
        <is>
          <t>2·5</t>
        </is>
      </c>
      <c r="E2451" s="49" t="inlineStr"/>
      <c r="F2451" s="49" t="inlineStr"/>
    </row>
    <row r="2452" ht="13" customHeight="1">
      <c r="A2452" s="45" t="inlineStr">
        <is>
          <t>21851</t>
        </is>
      </c>
      <c r="B2452" s="45" t="inlineStr">
        <is>
          <t>27414</t>
        </is>
      </c>
      <c r="C2452" s="45" t="inlineStr">
        <is>
          <t>2×3×3×1523</t>
        </is>
      </c>
      <c r="D2452" s="45" t="inlineStr">
        <is>
          <t>2·3</t>
        </is>
      </c>
      <c r="E2452" s="45" t="inlineStr"/>
      <c r="F2452" s="45" t="inlineStr"/>
    </row>
    <row r="2453" ht="13" customHeight="1">
      <c r="A2453" s="49" t="inlineStr">
        <is>
          <t>21859</t>
        </is>
      </c>
      <c r="B2453" s="49" t="inlineStr">
        <is>
          <t>43308</t>
        </is>
      </c>
      <c r="C2453" s="49" t="inlineStr">
        <is>
          <t>2×2×3×3×3×401</t>
        </is>
      </c>
      <c r="D2453" s="49" t="inlineStr">
        <is>
          <t>2·3</t>
        </is>
      </c>
      <c r="E2453" s="49" t="inlineStr"/>
      <c r="F2453" s="49" t="inlineStr"/>
    </row>
    <row r="2454" ht="13" customHeight="1">
      <c r="A2454" s="45" t="inlineStr">
        <is>
          <t>21863</t>
        </is>
      </c>
      <c r="B2454" s="45" t="inlineStr">
        <is>
          <t>34530</t>
        </is>
      </c>
      <c r="C2454" s="45" t="inlineStr">
        <is>
          <t>2×3×5×1151</t>
        </is>
      </c>
      <c r="D2454" s="45" t="inlineStr">
        <is>
          <t>2·3·5</t>
        </is>
      </c>
      <c r="E2454" s="45" t="inlineStr"/>
      <c r="F2454" s="45" t="inlineStr"/>
    </row>
    <row r="2455" ht="13" customHeight="1">
      <c r="A2455" s="41" t="inlineStr">
        <is>
          <t>21871</t>
        </is>
      </c>
      <c r="B2455" s="41" t="inlineStr">
        <is>
          <t>4654</t>
        </is>
      </c>
      <c r="C2455" s="41" t="inlineStr">
        <is>
          <t>2×13×179</t>
        </is>
      </c>
      <c r="D2455" s="41" t="inlineStr">
        <is>
          <t>2·13</t>
        </is>
      </c>
      <c r="E2455" s="41" t="inlineStr"/>
      <c r="F2455" s="41" t="inlineStr"/>
    </row>
    <row r="2456" ht="13" customHeight="1">
      <c r="A2456" s="45" t="inlineStr">
        <is>
          <t>21881</t>
        </is>
      </c>
      <c r="B2456" s="45" t="inlineStr">
        <is>
          <t>30952</t>
        </is>
      </c>
      <c r="C2456" s="45" t="inlineStr">
        <is>
          <t>2×2×2×53×73</t>
        </is>
      </c>
      <c r="D2456" s="45" t="inlineStr">
        <is>
          <t>2</t>
        </is>
      </c>
      <c r="E2456" s="45" t="inlineStr"/>
      <c r="F2456" s="45" t="inlineStr"/>
    </row>
    <row r="2457" ht="13" customHeight="1">
      <c r="A2457" s="49" t="inlineStr">
        <is>
          <t>21893</t>
        </is>
      </c>
      <c r="B2457" s="49" t="inlineStr">
        <is>
          <t>10180</t>
        </is>
      </c>
      <c r="C2457" s="49" t="inlineStr">
        <is>
          <t>2×2×5×509</t>
        </is>
      </c>
      <c r="D2457" s="49" t="inlineStr">
        <is>
          <t>2·5</t>
        </is>
      </c>
      <c r="E2457" s="49" t="inlineStr"/>
      <c r="F2457" s="49" t="inlineStr"/>
    </row>
    <row r="2458" ht="13" customHeight="1">
      <c r="A2458" s="45" t="inlineStr">
        <is>
          <t>21911</t>
        </is>
      </c>
      <c r="B2458" s="45" t="inlineStr">
        <is>
          <t>15399</t>
        </is>
      </c>
      <c r="C2458" s="45" t="inlineStr">
        <is>
          <t>3×3×29×59</t>
        </is>
      </c>
      <c r="D2458" s="45" t="inlineStr">
        <is>
          <t>3</t>
        </is>
      </c>
      <c r="E2458" s="45" t="inlineStr"/>
      <c r="F2458" s="45" t="inlineStr"/>
    </row>
    <row r="2459" ht="13" customHeight="1">
      <c r="A2459" s="49" t="inlineStr">
        <is>
          <t>21929</t>
        </is>
      </c>
      <c r="B2459" s="49" t="inlineStr">
        <is>
          <t>7872</t>
        </is>
      </c>
      <c r="C2459" s="49" t="inlineStr">
        <is>
          <t>2×2×2×2×2×2×3×41</t>
        </is>
      </c>
      <c r="D2459" s="49" t="inlineStr">
        <is>
          <t>2·3</t>
        </is>
      </c>
      <c r="E2459" s="49" t="inlineStr"/>
      <c r="F2459" s="49" t="inlineStr"/>
    </row>
    <row r="2460" ht="13" customHeight="1">
      <c r="A2460" s="45" t="inlineStr">
        <is>
          <t>21937</t>
        </is>
      </c>
      <c r="B2460" s="45" t="inlineStr">
        <is>
          <t>17549</t>
        </is>
      </c>
      <c r="C2460" s="45" t="inlineStr">
        <is>
          <t>7×23×109</t>
        </is>
      </c>
      <c r="D2460" s="45" t="inlineStr">
        <is>
          <t>7</t>
        </is>
      </c>
      <c r="E2460" s="45" t="inlineStr"/>
      <c r="F2460" s="45" t="inlineStr"/>
    </row>
    <row r="2461" ht="13" customHeight="1">
      <c r="A2461" s="49" t="inlineStr">
        <is>
          <t>21943</t>
        </is>
      </c>
      <c r="B2461" s="49" t="inlineStr">
        <is>
          <t>17118</t>
        </is>
      </c>
      <c r="C2461" s="49" t="inlineStr">
        <is>
          <t>2×3×3×3×317</t>
        </is>
      </c>
      <c r="D2461" s="49" t="inlineStr">
        <is>
          <t>2·3</t>
        </is>
      </c>
      <c r="E2461" s="49" t="inlineStr"/>
      <c r="F2461" s="49" t="inlineStr"/>
    </row>
    <row r="2462" ht="13" customHeight="1">
      <c r="A2462" s="45" t="inlineStr">
        <is>
          <t>21961</t>
        </is>
      </c>
      <c r="B2462" s="45" t="inlineStr">
        <is>
          <t>15999</t>
        </is>
      </c>
      <c r="C2462" s="45" t="inlineStr">
        <is>
          <t>3×5333</t>
        </is>
      </c>
      <c r="D2462" s="45" t="inlineStr">
        <is>
          <t>3</t>
        </is>
      </c>
      <c r="E2462" s="45" t="inlineStr"/>
      <c r="F2462" s="45" t="inlineStr"/>
    </row>
    <row r="2463" ht="13" customHeight="1">
      <c r="A2463" s="49" t="inlineStr">
        <is>
          <t>21977</t>
        </is>
      </c>
      <c r="B2463" s="49" t="inlineStr">
        <is>
          <t>5468</t>
        </is>
      </c>
      <c r="C2463" s="49" t="inlineStr">
        <is>
          <t>2×2×1367</t>
        </is>
      </c>
      <c r="D2463" s="49" t="inlineStr">
        <is>
          <t>2</t>
        </is>
      </c>
      <c r="E2463" s="49" t="inlineStr"/>
      <c r="F2463" s="49" t="inlineStr"/>
    </row>
    <row r="2464" ht="13" customHeight="1">
      <c r="A2464" s="41" t="inlineStr">
        <is>
          <t>21991</t>
        </is>
      </c>
      <c r="B2464" s="41" t="inlineStr">
        <is>
          <t>29484</t>
        </is>
      </c>
      <c r="C2464" s="41" t="inlineStr">
        <is>
          <t>2×2×3×3×3×3×7×13</t>
        </is>
      </c>
      <c r="D2464" s="41" t="inlineStr">
        <is>
          <t>2·3·7·13</t>
        </is>
      </c>
      <c r="E2464" s="41" t="inlineStr"/>
      <c r="F2464" s="41" t="inlineStr"/>
    </row>
    <row r="2465" ht="13" customHeight="1">
      <c r="A2465" s="49" t="inlineStr">
        <is>
          <t>21997</t>
        </is>
      </c>
      <c r="B2465" s="49" t="inlineStr">
        <is>
          <t>35722</t>
        </is>
      </c>
      <c r="C2465" s="49" t="inlineStr">
        <is>
          <t>2×53×337</t>
        </is>
      </c>
      <c r="D2465" s="49" t="inlineStr">
        <is>
          <t>2</t>
        </is>
      </c>
      <c r="E2465" s="49" t="inlineStr"/>
      <c r="F2465" s="49" t="inlineStr"/>
    </row>
    <row r="2466" ht="13" customHeight="1">
      <c r="A2466" s="41" t="inlineStr">
        <is>
          <t>22003</t>
        </is>
      </c>
      <c r="B2466" s="41" t="inlineStr">
        <is>
          <t>20111</t>
        </is>
      </c>
      <c r="C2466" s="41" t="inlineStr">
        <is>
          <t>7×13×13×17</t>
        </is>
      </c>
      <c r="D2466" s="41" t="inlineStr">
        <is>
          <t>7·13·17</t>
        </is>
      </c>
      <c r="E2466" s="41" t="inlineStr"/>
      <c r="F2466" s="41" t="inlineStr"/>
    </row>
    <row r="2467" ht="13" customHeight="1">
      <c r="A2467" s="41" t="inlineStr">
        <is>
          <t>22013</t>
        </is>
      </c>
      <c r="B2467" s="41" t="inlineStr">
        <is>
          <t>39066</t>
        </is>
      </c>
      <c r="C2467" s="41" t="inlineStr">
        <is>
          <t>2×3×17×383</t>
        </is>
      </c>
      <c r="D2467" s="41" t="inlineStr">
        <is>
          <t>2·3·17</t>
        </is>
      </c>
      <c r="E2467" s="41" t="inlineStr"/>
      <c r="F2467" s="41" t="inlineStr"/>
    </row>
    <row r="2468" ht="13" customHeight="1">
      <c r="A2468" s="45" t="inlineStr">
        <is>
          <t>22027</t>
        </is>
      </c>
      <c r="B2468" s="45" t="inlineStr">
        <is>
          <t>18299</t>
        </is>
      </c>
      <c r="C2468" s="45" t="inlineStr">
        <is>
          <t>29×631</t>
        </is>
      </c>
      <c r="D2468" s="45" t="inlineStr">
        <is>
          <t>—</t>
        </is>
      </c>
      <c r="E2468" s="45" t="inlineStr"/>
      <c r="F2468" s="45" t="inlineStr"/>
    </row>
    <row r="2469" ht="13" customHeight="1">
      <c r="A2469" s="49" t="inlineStr">
        <is>
          <t>22031</t>
        </is>
      </c>
      <c r="B2469" s="49" t="inlineStr">
        <is>
          <t>9626</t>
        </is>
      </c>
      <c r="C2469" s="49" t="inlineStr">
        <is>
          <t>2×4813</t>
        </is>
      </c>
      <c r="D2469" s="49" t="inlineStr">
        <is>
          <t>2</t>
        </is>
      </c>
      <c r="E2469" s="49" t="inlineStr"/>
      <c r="F2469" s="49" t="inlineStr"/>
    </row>
    <row r="2470" ht="13" customHeight="1">
      <c r="A2470" s="41" t="inlineStr">
        <is>
          <t>22037</t>
        </is>
      </c>
      <c r="B2470" s="41" t="inlineStr">
        <is>
          <t>10283</t>
        </is>
      </c>
      <c r="C2470" s="41" t="inlineStr">
        <is>
          <t>7×13×113</t>
        </is>
      </c>
      <c r="D2470" s="41" t="inlineStr">
        <is>
          <t>7·13</t>
        </is>
      </c>
      <c r="E2470" s="41" t="inlineStr"/>
      <c r="F2470" s="41" t="inlineStr"/>
    </row>
    <row r="2471" ht="13" customHeight="1">
      <c r="A2471" s="51" t="inlineStr">
        <is>
          <t>22039</t>
        </is>
      </c>
      <c r="B2471" s="51" t="inlineStr">
        <is>
          <t>13015</t>
        </is>
      </c>
      <c r="C2471" s="51" t="inlineStr">
        <is>
          <t>5×19×137</t>
        </is>
      </c>
      <c r="D2471" s="51" t="inlineStr">
        <is>
          <t>5·19</t>
        </is>
      </c>
      <c r="E2471" s="51" t="inlineStr"/>
      <c r="F2471" s="51" t="inlineStr"/>
    </row>
    <row r="2472" ht="13" customHeight="1">
      <c r="A2472" s="50" t="inlineStr">
        <is>
          <t>22051</t>
        </is>
      </c>
      <c r="B2472" s="50" t="inlineStr">
        <is>
          <t>16063</t>
        </is>
      </c>
      <c r="C2472" s="50" t="inlineStr">
        <is>
          <t>16063</t>
        </is>
      </c>
      <c r="D2472" s="50" t="inlineStr">
        <is>
          <t>—</t>
        </is>
      </c>
      <c r="E2472" s="50" t="inlineStr"/>
      <c r="F2472" s="50" t="inlineStr"/>
    </row>
    <row r="2473" ht="13" customHeight="1">
      <c r="A2473" s="50" t="inlineStr">
        <is>
          <t>22063</t>
        </is>
      </c>
      <c r="B2473" s="50" t="inlineStr">
        <is>
          <t>43283</t>
        </is>
      </c>
      <c r="C2473" s="50" t="inlineStr">
        <is>
          <t>43283</t>
        </is>
      </c>
      <c r="D2473" s="50" t="inlineStr">
        <is>
          <t>—</t>
        </is>
      </c>
      <c r="E2473" s="50" t="inlineStr"/>
      <c r="F2473" s="50" t="inlineStr"/>
    </row>
    <row r="2474" ht="13" customHeight="1">
      <c r="A2474" s="41" t="inlineStr">
        <is>
          <t>22067</t>
        </is>
      </c>
      <c r="B2474" s="41" t="inlineStr">
        <is>
          <t>12410</t>
        </is>
      </c>
      <c r="C2474" s="41" t="inlineStr">
        <is>
          <t>2×5×17×73</t>
        </is>
      </c>
      <c r="D2474" s="41" t="inlineStr">
        <is>
          <t>2·5·17</t>
        </is>
      </c>
      <c r="E2474" s="41" t="inlineStr"/>
      <c r="F2474" s="41" t="inlineStr"/>
    </row>
    <row r="2475" ht="13" customHeight="1">
      <c r="A2475" s="49" t="inlineStr">
        <is>
          <t>22073</t>
        </is>
      </c>
      <c r="B2475" s="49" t="inlineStr">
        <is>
          <t>22263</t>
        </is>
      </c>
      <c r="C2475" s="49" t="inlineStr">
        <is>
          <t>3×41×181</t>
        </is>
      </c>
      <c r="D2475" s="49" t="inlineStr">
        <is>
          <t>3</t>
        </is>
      </c>
      <c r="E2475" s="49" t="inlineStr"/>
      <c r="F2475" s="49" t="inlineStr"/>
    </row>
    <row r="2476" ht="13" customHeight="1">
      <c r="A2476" s="50" t="inlineStr">
        <is>
          <t>22079</t>
        </is>
      </c>
      <c r="B2476" s="50" t="inlineStr">
        <is>
          <t>13001</t>
        </is>
      </c>
      <c r="C2476" s="50" t="inlineStr">
        <is>
          <t>13001</t>
        </is>
      </c>
      <c r="D2476" s="50" t="inlineStr">
        <is>
          <t>—</t>
        </is>
      </c>
      <c r="E2476" s="50" t="inlineStr"/>
      <c r="F2476" s="50" t="inlineStr"/>
    </row>
    <row r="2477" ht="13" customHeight="1">
      <c r="A2477" s="49" t="inlineStr">
        <is>
          <t>22091</t>
        </is>
      </c>
      <c r="B2477" s="49" t="inlineStr">
        <is>
          <t>29516</t>
        </is>
      </c>
      <c r="C2477" s="49" t="inlineStr">
        <is>
          <t>2×2×47×157</t>
        </is>
      </c>
      <c r="D2477" s="49" t="inlineStr">
        <is>
          <t>2</t>
        </is>
      </c>
      <c r="E2477" s="49" t="inlineStr"/>
      <c r="F2477" s="49" t="inlineStr"/>
    </row>
    <row r="2478" ht="13" customHeight="1">
      <c r="A2478" s="43" t="inlineStr">
        <is>
          <t>22093</t>
        </is>
      </c>
      <c r="B2478" s="43" t="inlineStr">
        <is>
          <t>11561</t>
        </is>
      </c>
      <c r="C2478" s="43" t="inlineStr">
        <is>
          <t>11×1051</t>
        </is>
      </c>
      <c r="D2478" s="43" t="inlineStr">
        <is>
          <t>11</t>
        </is>
      </c>
      <c r="E2478" s="43" t="inlineStr"/>
      <c r="F2478" s="43" t="inlineStr"/>
    </row>
    <row r="2479" ht="13" customHeight="1">
      <c r="A2479" s="41" t="inlineStr">
        <is>
          <t>22109</t>
        </is>
      </c>
      <c r="B2479" s="41" t="inlineStr">
        <is>
          <t>3876</t>
        </is>
      </c>
      <c r="C2479" s="41" t="inlineStr">
        <is>
          <t>2×2×3×17×19</t>
        </is>
      </c>
      <c r="D2479" s="41" t="inlineStr">
        <is>
          <t>2·3·17·19</t>
        </is>
      </c>
      <c r="E2479" s="41" t="inlineStr"/>
      <c r="F2479" s="41" t="inlineStr"/>
    </row>
    <row r="2480" ht="13" customHeight="1">
      <c r="A2480" s="45" t="inlineStr">
        <is>
          <t>22111</t>
        </is>
      </c>
      <c r="B2480" s="45" t="inlineStr">
        <is>
          <t>14727</t>
        </is>
      </c>
      <c r="C2480" s="45" t="inlineStr">
        <is>
          <t>3×4909</t>
        </is>
      </c>
      <c r="D2480" s="45" t="inlineStr">
        <is>
          <t>3</t>
        </is>
      </c>
      <c r="E2480" s="45" t="inlineStr"/>
      <c r="F2480" s="45" t="inlineStr"/>
    </row>
    <row r="2481" ht="13" customHeight="1">
      <c r="A2481" s="50" t="inlineStr">
        <is>
          <t>22123</t>
        </is>
      </c>
      <c r="B2481" s="50" t="inlineStr">
        <is>
          <t>30223</t>
        </is>
      </c>
      <c r="C2481" s="50" t="inlineStr">
        <is>
          <t>30223</t>
        </is>
      </c>
      <c r="D2481" s="50" t="inlineStr">
        <is>
          <t>—</t>
        </is>
      </c>
      <c r="E2481" s="50" t="inlineStr"/>
      <c r="F2481" s="50" t="inlineStr"/>
    </row>
    <row r="2482" ht="13" customHeight="1">
      <c r="A2482" s="45" t="inlineStr">
        <is>
          <t>22129</t>
        </is>
      </c>
      <c r="B2482" s="45" t="inlineStr">
        <is>
          <t>37155</t>
        </is>
      </c>
      <c r="C2482" s="45" t="inlineStr">
        <is>
          <t>3×5×2477</t>
        </is>
      </c>
      <c r="D2482" s="45" t="inlineStr">
        <is>
          <t>3·5</t>
        </is>
      </c>
      <c r="E2482" s="45" t="inlineStr"/>
      <c r="F2482" s="45" t="inlineStr"/>
    </row>
    <row r="2483" ht="13" customHeight="1">
      <c r="A2483" s="49" t="inlineStr">
        <is>
          <t>22133</t>
        </is>
      </c>
      <c r="B2483" s="49" t="inlineStr">
        <is>
          <t>4600</t>
        </is>
      </c>
      <c r="C2483" s="49" t="inlineStr">
        <is>
          <t>2×2×2×5×5×23</t>
        </is>
      </c>
      <c r="D2483" s="49" t="inlineStr">
        <is>
          <t>2·5</t>
        </is>
      </c>
      <c r="E2483" s="49" t="inlineStr"/>
      <c r="F2483" s="49" t="inlineStr"/>
    </row>
    <row r="2484" ht="13" customHeight="1">
      <c r="A2484" s="45" t="inlineStr">
        <is>
          <t>22147</t>
        </is>
      </c>
      <c r="B2484" s="45" t="inlineStr">
        <is>
          <t>40017</t>
        </is>
      </c>
      <c r="C2484" s="45" t="inlineStr">
        <is>
          <t>3×13339</t>
        </is>
      </c>
      <c r="D2484" s="45" t="inlineStr">
        <is>
          <t>3</t>
        </is>
      </c>
      <c r="E2484" s="45" t="inlineStr"/>
      <c r="F2484" s="45" t="inlineStr"/>
    </row>
    <row r="2485" ht="13" customHeight="1">
      <c r="A2485" s="49" t="inlineStr">
        <is>
          <t>22153</t>
        </is>
      </c>
      <c r="B2485" s="49" t="inlineStr">
        <is>
          <t>27347</t>
        </is>
      </c>
      <c r="C2485" s="49" t="inlineStr">
        <is>
          <t>23×29×41</t>
        </is>
      </c>
      <c r="D2485" s="49" t="inlineStr">
        <is>
          <t>—</t>
        </is>
      </c>
      <c r="E2485" s="49" t="inlineStr"/>
      <c r="F2485" s="49" t="inlineStr"/>
    </row>
    <row r="2486" ht="13" customHeight="1">
      <c r="A2486" s="41" t="inlineStr">
        <is>
          <t>22157</t>
        </is>
      </c>
      <c r="B2486" s="41" t="inlineStr">
        <is>
          <t>16627</t>
        </is>
      </c>
      <c r="C2486" s="41" t="inlineStr">
        <is>
          <t>13×1279</t>
        </is>
      </c>
      <c r="D2486" s="41" t="inlineStr">
        <is>
          <t>13</t>
        </is>
      </c>
      <c r="E2486" s="41" t="inlineStr"/>
      <c r="F2486" s="41" t="inlineStr"/>
    </row>
    <row r="2487" ht="13" customHeight="1">
      <c r="A2487" s="50" t="inlineStr">
        <is>
          <t>22159</t>
        </is>
      </c>
      <c r="B2487" s="50" t="inlineStr">
        <is>
          <t>3343</t>
        </is>
      </c>
      <c r="C2487" s="50" t="inlineStr">
        <is>
          <t>3343</t>
        </is>
      </c>
      <c r="D2487" s="50" t="inlineStr">
        <is>
          <t>—</t>
        </is>
      </c>
      <c r="E2487" s="50" t="inlineStr"/>
      <c r="F2487" s="50" t="inlineStr"/>
    </row>
    <row r="2488" ht="13" customHeight="1">
      <c r="A2488" s="45" t="inlineStr">
        <is>
          <t>22171</t>
        </is>
      </c>
      <c r="B2488" s="45" t="inlineStr">
        <is>
          <t>11512</t>
        </is>
      </c>
      <c r="C2488" s="45" t="inlineStr">
        <is>
          <t>2×2×2×1439</t>
        </is>
      </c>
      <c r="D2488" s="45" t="inlineStr">
        <is>
          <t>2</t>
        </is>
      </c>
      <c r="E2488" s="45" t="inlineStr"/>
      <c r="F2488" s="45" t="inlineStr"/>
    </row>
    <row r="2489" ht="13" customHeight="1">
      <c r="A2489" s="49" t="inlineStr">
        <is>
          <t>22189</t>
        </is>
      </c>
      <c r="B2489" s="49" t="inlineStr">
        <is>
          <t>17972</t>
        </is>
      </c>
      <c r="C2489" s="49" t="inlineStr">
        <is>
          <t>2×2×4493</t>
        </is>
      </c>
      <c r="D2489" s="49" t="inlineStr">
        <is>
          <t>2</t>
        </is>
      </c>
      <c r="E2489" s="49" t="inlineStr"/>
      <c r="F2489" s="49" t="inlineStr"/>
    </row>
    <row r="2490" ht="13" customHeight="1">
      <c r="A2490" s="45" t="inlineStr">
        <is>
          <t>22193</t>
        </is>
      </c>
      <c r="B2490" s="45" t="inlineStr">
        <is>
          <t>12586</t>
        </is>
      </c>
      <c r="C2490" s="45" t="inlineStr">
        <is>
          <t>2×7×29×31</t>
        </is>
      </c>
      <c r="D2490" s="45" t="inlineStr">
        <is>
          <t>2·7</t>
        </is>
      </c>
      <c r="E2490" s="45" t="inlineStr"/>
      <c r="F2490" s="45" t="inlineStr"/>
    </row>
    <row r="2491" ht="13" customHeight="1">
      <c r="A2491" s="49" t="inlineStr">
        <is>
          <t>22229</t>
        </is>
      </c>
      <c r="B2491" s="49" t="inlineStr">
        <is>
          <t>5470</t>
        </is>
      </c>
      <c r="C2491" s="49" t="inlineStr">
        <is>
          <t>2×5×547</t>
        </is>
      </c>
      <c r="D2491" s="49" t="inlineStr">
        <is>
          <t>2·5</t>
        </is>
      </c>
      <c r="E2491" s="49" t="inlineStr"/>
      <c r="F2491" s="49" t="inlineStr"/>
    </row>
    <row r="2492" ht="13" customHeight="1">
      <c r="A2492" s="45" t="inlineStr">
        <is>
          <t>22247</t>
        </is>
      </c>
      <c r="B2492" s="45" t="inlineStr">
        <is>
          <t>34318</t>
        </is>
      </c>
      <c r="C2492" s="45" t="inlineStr">
        <is>
          <t>2×17159</t>
        </is>
      </c>
      <c r="D2492" s="45" t="inlineStr">
        <is>
          <t>2</t>
        </is>
      </c>
      <c r="E2492" s="45" t="inlineStr"/>
      <c r="F2492" s="45" t="inlineStr"/>
    </row>
    <row r="2493" ht="13" customHeight="1">
      <c r="A2493" s="49" t="inlineStr">
        <is>
          <t>22259</t>
        </is>
      </c>
      <c r="B2493" s="49" t="inlineStr">
        <is>
          <t>27036</t>
        </is>
      </c>
      <c r="C2493" s="49" t="inlineStr">
        <is>
          <t>2×2×3×3×751</t>
        </is>
      </c>
      <c r="D2493" s="49" t="inlineStr">
        <is>
          <t>2·3</t>
        </is>
      </c>
      <c r="E2493" s="49" t="inlineStr"/>
      <c r="F2493" s="49" t="inlineStr"/>
    </row>
    <row r="2494" ht="13" customHeight="1">
      <c r="A2494" s="41" t="inlineStr">
        <is>
          <t>22271</t>
        </is>
      </c>
      <c r="B2494" s="41" t="inlineStr">
        <is>
          <t>9061</t>
        </is>
      </c>
      <c r="C2494" s="41" t="inlineStr">
        <is>
          <t>13×17×41</t>
        </is>
      </c>
      <c r="D2494" s="41" t="inlineStr">
        <is>
          <t>13·17</t>
        </is>
      </c>
      <c r="E2494" s="41" t="inlineStr"/>
      <c r="F2494" s="41" t="inlineStr"/>
    </row>
    <row r="2495" ht="13" customHeight="1">
      <c r="A2495" s="39" t="inlineStr">
        <is>
          <t>22273</t>
        </is>
      </c>
      <c r="B2495" s="39" t="inlineStr">
        <is>
          <t>35</t>
        </is>
      </c>
      <c r="C2495" s="39" t="inlineStr">
        <is>
          <t>5×7</t>
        </is>
      </c>
      <c r="D2495" s="39" t="inlineStr">
        <is>
          <t>5·7</t>
        </is>
      </c>
      <c r="E2495" s="39" t="inlineStr"/>
      <c r="F2495" s="39" t="inlineStr"/>
    </row>
    <row r="2496" ht="13" customHeight="1">
      <c r="A2496" s="45" t="inlineStr">
        <is>
          <t>22277</t>
        </is>
      </c>
      <c r="B2496" s="45" t="inlineStr">
        <is>
          <t>19623</t>
        </is>
      </c>
      <c r="C2496" s="45" t="inlineStr">
        <is>
          <t>3×31×211</t>
        </is>
      </c>
      <c r="D2496" s="45" t="inlineStr">
        <is>
          <t>3</t>
        </is>
      </c>
      <c r="E2496" s="45" t="inlineStr"/>
      <c r="F2496" s="45" t="inlineStr"/>
    </row>
    <row r="2497" ht="13" customHeight="1">
      <c r="A2497" s="49" t="inlineStr">
        <is>
          <t>22279</t>
        </is>
      </c>
      <c r="B2497" s="49" t="inlineStr">
        <is>
          <t>12260</t>
        </is>
      </c>
      <c r="C2497" s="49" t="inlineStr">
        <is>
          <t>2×2×5×613</t>
        </is>
      </c>
      <c r="D2497" s="49" t="inlineStr">
        <is>
          <t>2·5</t>
        </is>
      </c>
      <c r="E2497" s="49" t="inlineStr"/>
      <c r="F2497" s="49" t="inlineStr"/>
    </row>
    <row r="2498" ht="13" customHeight="1">
      <c r="A2498" s="45" t="inlineStr">
        <is>
          <t>22283</t>
        </is>
      </c>
      <c r="B2498" s="45" t="inlineStr">
        <is>
          <t>21834</t>
        </is>
      </c>
      <c r="C2498" s="45" t="inlineStr">
        <is>
          <t>2×3×3×1213</t>
        </is>
      </c>
      <c r="D2498" s="45" t="inlineStr">
        <is>
          <t>2·3</t>
        </is>
      </c>
      <c r="E2498" s="45" t="inlineStr"/>
      <c r="F2498" s="45" t="inlineStr"/>
    </row>
    <row r="2499" ht="13" customHeight="1">
      <c r="A2499" s="49" t="inlineStr">
        <is>
          <t>22291</t>
        </is>
      </c>
      <c r="B2499" s="49" t="inlineStr">
        <is>
          <t>13239</t>
        </is>
      </c>
      <c r="C2499" s="49" t="inlineStr">
        <is>
          <t>3×3×1471</t>
        </is>
      </c>
      <c r="D2499" s="49" t="inlineStr">
        <is>
          <t>3</t>
        </is>
      </c>
      <c r="E2499" s="49" t="inlineStr"/>
      <c r="F2499" s="49" t="inlineStr"/>
    </row>
    <row r="2500" ht="13" customHeight="1">
      <c r="A2500" s="45" t="inlineStr">
        <is>
          <t>22303</t>
        </is>
      </c>
      <c r="B2500" s="45" t="inlineStr">
        <is>
          <t>36602</t>
        </is>
      </c>
      <c r="C2500" s="45" t="inlineStr">
        <is>
          <t>2×18301</t>
        </is>
      </c>
      <c r="D2500" s="45" t="inlineStr">
        <is>
          <t>2</t>
        </is>
      </c>
      <c r="E2500" s="45" t="inlineStr"/>
      <c r="F2500" s="45" t="inlineStr"/>
    </row>
    <row r="2501" ht="13" customHeight="1">
      <c r="A2501" s="49" t="inlineStr">
        <is>
          <t>22307</t>
        </is>
      </c>
      <c r="B2501" s="49" t="inlineStr">
        <is>
          <t>4594</t>
        </is>
      </c>
      <c r="C2501" s="49" t="inlineStr">
        <is>
          <t>2×2297</t>
        </is>
      </c>
      <c r="D2501" s="49" t="inlineStr">
        <is>
          <t>2</t>
        </is>
      </c>
      <c r="E2501" s="49" t="inlineStr"/>
      <c r="F2501" s="49" t="inlineStr"/>
    </row>
    <row r="2502" ht="13" customHeight="1">
      <c r="A2502" s="45" t="inlineStr">
        <is>
          <t>22343</t>
        </is>
      </c>
      <c r="B2502" s="45" t="inlineStr">
        <is>
          <t>10050</t>
        </is>
      </c>
      <c r="C2502" s="45" t="inlineStr">
        <is>
          <t>2×3×5×5×67</t>
        </is>
      </c>
      <c r="D2502" s="45" t="inlineStr">
        <is>
          <t>2·3·5</t>
        </is>
      </c>
      <c r="E2502" s="45" t="inlineStr"/>
      <c r="F2502" s="45" t="inlineStr"/>
    </row>
    <row r="2503" ht="13" customHeight="1">
      <c r="A2503" s="49" t="inlineStr">
        <is>
          <t>22349</t>
        </is>
      </c>
      <c r="B2503" s="49" t="inlineStr">
        <is>
          <t>21058</t>
        </is>
      </c>
      <c r="C2503" s="49" t="inlineStr">
        <is>
          <t>2×10529</t>
        </is>
      </c>
      <c r="D2503" s="49" t="inlineStr">
        <is>
          <t>2</t>
        </is>
      </c>
      <c r="E2503" s="49" t="inlineStr"/>
      <c r="F2503" s="49" t="inlineStr"/>
    </row>
    <row r="2504" ht="13" customHeight="1">
      <c r="A2504" s="41" t="inlineStr">
        <is>
          <t>22367</t>
        </is>
      </c>
      <c r="B2504" s="41" t="inlineStr">
        <is>
          <t>35321</t>
        </is>
      </c>
      <c r="C2504" s="41" t="inlineStr">
        <is>
          <t>11×13×13×19</t>
        </is>
      </c>
      <c r="D2504" s="41" t="inlineStr">
        <is>
          <t>11·13·19</t>
        </is>
      </c>
      <c r="E2504" s="41" t="inlineStr"/>
      <c r="F2504" s="41" t="inlineStr"/>
    </row>
    <row r="2505" ht="13" customHeight="1">
      <c r="A2505" s="49" t="inlineStr">
        <is>
          <t>22369</t>
        </is>
      </c>
      <c r="B2505" s="49" t="inlineStr">
        <is>
          <t>40288</t>
        </is>
      </c>
      <c r="C2505" s="49" t="inlineStr">
        <is>
          <t>2×2×2×2×2×1259</t>
        </is>
      </c>
      <c r="D2505" s="49" t="inlineStr">
        <is>
          <t>2</t>
        </is>
      </c>
      <c r="E2505" s="49" t="inlineStr"/>
      <c r="F2505" s="49" t="inlineStr"/>
    </row>
    <row r="2506" ht="13" customHeight="1">
      <c r="A2506" s="45" t="inlineStr">
        <is>
          <t>22381</t>
        </is>
      </c>
      <c r="B2506" s="45" t="inlineStr">
        <is>
          <t>14444</t>
        </is>
      </c>
      <c r="C2506" s="45" t="inlineStr">
        <is>
          <t>2×2×23×157</t>
        </is>
      </c>
      <c r="D2506" s="45" t="inlineStr">
        <is>
          <t>2</t>
        </is>
      </c>
      <c r="E2506" s="45" t="inlineStr"/>
      <c r="F2506" s="45" t="inlineStr"/>
    </row>
    <row r="2507" ht="13" customHeight="1">
      <c r="A2507" s="49" t="inlineStr">
        <is>
          <t>22391</t>
        </is>
      </c>
      <c r="B2507" s="49" t="inlineStr">
        <is>
          <t>29820</t>
        </is>
      </c>
      <c r="C2507" s="49" t="inlineStr">
        <is>
          <t>2×2×3×5×7×71</t>
        </is>
      </c>
      <c r="D2507" s="49" t="inlineStr">
        <is>
          <t>2·3·5·7</t>
        </is>
      </c>
      <c r="E2507" s="49" t="inlineStr"/>
      <c r="F2507" s="49" t="inlineStr"/>
    </row>
    <row r="2508" ht="13" customHeight="1">
      <c r="A2508" s="43" t="inlineStr">
        <is>
          <t>22397</t>
        </is>
      </c>
      <c r="B2508" s="43" t="inlineStr">
        <is>
          <t>2068</t>
        </is>
      </c>
      <c r="C2508" s="43" t="inlineStr">
        <is>
          <t>2×2×11×47</t>
        </is>
      </c>
      <c r="D2508" s="43" t="inlineStr">
        <is>
          <t>2·11</t>
        </is>
      </c>
      <c r="E2508" s="43" t="inlineStr"/>
      <c r="F2508" s="43" t="inlineStr"/>
    </row>
    <row r="2509" ht="13" customHeight="1">
      <c r="A2509" s="41" t="inlineStr">
        <is>
          <t>22409</t>
        </is>
      </c>
      <c r="B2509" s="41" t="inlineStr">
        <is>
          <t>35724</t>
        </is>
      </c>
      <c r="C2509" s="41" t="inlineStr">
        <is>
          <t>2×2×3×13×229</t>
        </is>
      </c>
      <c r="D2509" s="41" t="inlineStr">
        <is>
          <t>2·3·13</t>
        </is>
      </c>
      <c r="E2509" s="41" t="inlineStr"/>
      <c r="F2509" s="41" t="inlineStr"/>
    </row>
    <row r="2510" ht="13" customHeight="1">
      <c r="A2510" s="39" t="inlineStr">
        <is>
          <t>22433</t>
        </is>
      </c>
      <c r="B2510" s="39" t="inlineStr">
        <is>
          <t>1960</t>
        </is>
      </c>
      <c r="C2510" s="39" t="inlineStr">
        <is>
          <t>2×2×2×5×7×7</t>
        </is>
      </c>
      <c r="D2510" s="39" t="inlineStr">
        <is>
          <t>2·5·7</t>
        </is>
      </c>
      <c r="E2510" s="39" t="inlineStr"/>
      <c r="F2510" s="39" t="inlineStr"/>
    </row>
    <row r="2511" ht="13" customHeight="1">
      <c r="A2511" s="49" t="inlineStr">
        <is>
          <t>22441</t>
        </is>
      </c>
      <c r="B2511" s="49" t="inlineStr">
        <is>
          <t>16506</t>
        </is>
      </c>
      <c r="C2511" s="49" t="inlineStr">
        <is>
          <t>2×3×3×7×131</t>
        </is>
      </c>
      <c r="D2511" s="49" t="inlineStr">
        <is>
          <t>2·3·7</t>
        </is>
      </c>
      <c r="E2511" s="49" t="inlineStr"/>
      <c r="F2511" s="49" t="inlineStr"/>
    </row>
    <row r="2512" ht="13" customHeight="1">
      <c r="A2512" s="45" t="inlineStr">
        <is>
          <t>22447</t>
        </is>
      </c>
      <c r="B2512" s="45" t="inlineStr">
        <is>
          <t>11992</t>
        </is>
      </c>
      <c r="C2512" s="45" t="inlineStr">
        <is>
          <t>2×2×2×1499</t>
        </is>
      </c>
      <c r="D2512" s="45" t="inlineStr">
        <is>
          <t>2</t>
        </is>
      </c>
      <c r="E2512" s="45" t="inlineStr"/>
      <c r="F2512" s="45" t="inlineStr"/>
    </row>
    <row r="2513" ht="13" customHeight="1">
      <c r="A2513" s="49" t="inlineStr">
        <is>
          <t>22453</t>
        </is>
      </c>
      <c r="B2513" s="49" t="inlineStr">
        <is>
          <t>7041</t>
        </is>
      </c>
      <c r="C2513" s="49" t="inlineStr">
        <is>
          <t>3×2347</t>
        </is>
      </c>
      <c r="D2513" s="49" t="inlineStr">
        <is>
          <t>3</t>
        </is>
      </c>
      <c r="E2513" s="49" t="inlineStr"/>
      <c r="F2513" s="49" t="inlineStr"/>
    </row>
    <row r="2514" ht="13" customHeight="1">
      <c r="A2514" s="45" t="inlineStr">
        <is>
          <t>22469</t>
        </is>
      </c>
      <c r="B2514" s="45" t="inlineStr">
        <is>
          <t>20032</t>
        </is>
      </c>
      <c r="C2514" s="45" t="inlineStr">
        <is>
          <t>2×2×2×2×2×2×313</t>
        </is>
      </c>
      <c r="D2514" s="45" t="inlineStr">
        <is>
          <t>2</t>
        </is>
      </c>
      <c r="E2514" s="45" t="inlineStr"/>
      <c r="F2514" s="45" t="inlineStr"/>
    </row>
    <row r="2515" ht="13" customHeight="1">
      <c r="A2515" s="49" t="inlineStr">
        <is>
          <t>22481</t>
        </is>
      </c>
      <c r="B2515" s="49" t="inlineStr">
        <is>
          <t>32557</t>
        </is>
      </c>
      <c r="C2515" s="49" t="inlineStr">
        <is>
          <t>7×4651</t>
        </is>
      </c>
      <c r="D2515" s="49" t="inlineStr">
        <is>
          <t>7</t>
        </is>
      </c>
      <c r="E2515" s="49" t="inlineStr"/>
      <c r="F2515" s="49" t="inlineStr"/>
    </row>
    <row r="2516" ht="13" customHeight="1">
      <c r="A2516" s="39" t="inlineStr">
        <is>
          <t>22483</t>
        </is>
      </c>
      <c r="B2516" s="39" t="inlineStr">
        <is>
          <t>18432</t>
        </is>
      </c>
      <c r="C2516" s="39" t="inlineStr">
        <is>
          <t>2×2×2×2×2×2×2×2×2×2×2×3×3</t>
        </is>
      </c>
      <c r="D2516" s="39" t="inlineStr">
        <is>
          <t>2·3</t>
        </is>
      </c>
      <c r="E2516" s="39" t="inlineStr"/>
      <c r="F2516" s="39" t="inlineStr"/>
    </row>
    <row r="2517" ht="13" customHeight="1">
      <c r="A2517" s="49" t="inlineStr">
        <is>
          <t>22501</t>
        </is>
      </c>
      <c r="B2517" s="49" t="inlineStr">
        <is>
          <t>20841</t>
        </is>
      </c>
      <c r="C2517" s="49" t="inlineStr">
        <is>
          <t>3×6947</t>
        </is>
      </c>
      <c r="D2517" s="49" t="inlineStr">
        <is>
          <t>3</t>
        </is>
      </c>
      <c r="E2517" s="49" t="inlineStr"/>
      <c r="F2517" s="49" t="inlineStr"/>
    </row>
    <row r="2518" ht="13" customHeight="1">
      <c r="A2518" s="43" t="inlineStr">
        <is>
          <t>22511</t>
        </is>
      </c>
      <c r="B2518" s="43" t="inlineStr">
        <is>
          <t>11341</t>
        </is>
      </c>
      <c r="C2518" s="43" t="inlineStr">
        <is>
          <t>11×1031</t>
        </is>
      </c>
      <c r="D2518" s="43" t="inlineStr">
        <is>
          <t>11</t>
        </is>
      </c>
      <c r="E2518" s="43" t="inlineStr"/>
      <c r="F2518" s="43" t="inlineStr"/>
    </row>
    <row r="2519" ht="13" customHeight="1">
      <c r="A2519" s="41" t="inlineStr">
        <is>
          <t>22531</t>
        </is>
      </c>
      <c r="B2519" s="41" t="inlineStr">
        <is>
          <t>43469</t>
        </is>
      </c>
      <c r="C2519" s="41" t="inlineStr">
        <is>
          <t>17×2557</t>
        </is>
      </c>
      <c r="D2519" s="41" t="inlineStr">
        <is>
          <t>17</t>
        </is>
      </c>
      <c r="E2519" s="41" t="inlineStr"/>
      <c r="F2519" s="41" t="inlineStr"/>
    </row>
    <row r="2520" ht="13" customHeight="1">
      <c r="A2520" s="45" t="inlineStr">
        <is>
          <t>22541</t>
        </is>
      </c>
      <c r="B2520" s="45" t="inlineStr">
        <is>
          <t>9904</t>
        </is>
      </c>
      <c r="C2520" s="45" t="inlineStr">
        <is>
          <t>2×2×2×2×619</t>
        </is>
      </c>
      <c r="D2520" s="45" t="inlineStr">
        <is>
          <t>2</t>
        </is>
      </c>
      <c r="E2520" s="45" t="inlineStr"/>
      <c r="F2520" s="45" t="inlineStr"/>
    </row>
    <row r="2521" ht="13" customHeight="1">
      <c r="A2521" s="49" t="inlineStr">
        <is>
          <t>22543</t>
        </is>
      </c>
      <c r="B2521" s="49" t="inlineStr">
        <is>
          <t>17307</t>
        </is>
      </c>
      <c r="C2521" s="49" t="inlineStr">
        <is>
          <t>3×3×3×641</t>
        </is>
      </c>
      <c r="D2521" s="49" t="inlineStr">
        <is>
          <t>3</t>
        </is>
      </c>
      <c r="E2521" s="49" t="inlineStr"/>
      <c r="F2521" s="49" t="inlineStr"/>
    </row>
    <row r="2522" ht="13" customHeight="1">
      <c r="A2522" s="41" t="inlineStr">
        <is>
          <t>22549</t>
        </is>
      </c>
      <c r="B2522" s="41" t="inlineStr">
        <is>
          <t>30654</t>
        </is>
      </c>
      <c r="C2522" s="41" t="inlineStr">
        <is>
          <t>2×3×3×13×131</t>
        </is>
      </c>
      <c r="D2522" s="41" t="inlineStr">
        <is>
          <t>2·3·13</t>
        </is>
      </c>
      <c r="E2522" s="41" t="inlineStr"/>
      <c r="F2522" s="41" t="inlineStr"/>
    </row>
    <row r="2523" ht="13" customHeight="1">
      <c r="A2523" s="49" t="inlineStr">
        <is>
          <t>22567</t>
        </is>
      </c>
      <c r="B2523" s="49" t="inlineStr">
        <is>
          <t>19791</t>
        </is>
      </c>
      <c r="C2523" s="49" t="inlineStr">
        <is>
          <t>3×3×3×733</t>
        </is>
      </c>
      <c r="D2523" s="49" t="inlineStr">
        <is>
          <t>3</t>
        </is>
      </c>
      <c r="E2523" s="49" t="inlineStr"/>
      <c r="F2523" s="49" t="inlineStr"/>
    </row>
    <row r="2524" ht="13" customHeight="1">
      <c r="A2524" s="41" t="inlineStr">
        <is>
          <t>22571</t>
        </is>
      </c>
      <c r="B2524" s="41" t="inlineStr">
        <is>
          <t>17102</t>
        </is>
      </c>
      <c r="C2524" s="41" t="inlineStr">
        <is>
          <t>2×17×503</t>
        </is>
      </c>
      <c r="D2524" s="41" t="inlineStr">
        <is>
          <t>2·17</t>
        </is>
      </c>
      <c r="E2524" s="41" t="inlineStr"/>
      <c r="F2524" s="41" t="inlineStr"/>
    </row>
    <row r="2525" ht="13" customHeight="1">
      <c r="A2525" s="43" t="inlineStr">
        <is>
          <t>22573</t>
        </is>
      </c>
      <c r="B2525" s="43" t="inlineStr">
        <is>
          <t>7370</t>
        </is>
      </c>
      <c r="C2525" s="43" t="inlineStr">
        <is>
          <t>2×5×11×67</t>
        </is>
      </c>
      <c r="D2525" s="43" t="inlineStr">
        <is>
          <t>2·5·11</t>
        </is>
      </c>
      <c r="E2525" s="43" t="inlineStr"/>
      <c r="F2525" s="43" t="inlineStr"/>
    </row>
    <row r="2526" ht="13" customHeight="1">
      <c r="A2526" s="50" t="inlineStr">
        <is>
          <t>22613</t>
        </is>
      </c>
      <c r="B2526" s="50" t="inlineStr">
        <is>
          <t>39659</t>
        </is>
      </c>
      <c r="C2526" s="50" t="inlineStr">
        <is>
          <t>39659</t>
        </is>
      </c>
      <c r="D2526" s="50" t="inlineStr">
        <is>
          <t>—</t>
        </is>
      </c>
      <c r="E2526" s="50" t="inlineStr"/>
      <c r="F2526" s="50" t="inlineStr"/>
    </row>
    <row r="2527" ht="13" customHeight="1">
      <c r="A2527" s="49" t="inlineStr">
        <is>
          <t>22619</t>
        </is>
      </c>
      <c r="B2527" s="49" t="inlineStr">
        <is>
          <t>8982</t>
        </is>
      </c>
      <c r="C2527" s="49" t="inlineStr">
        <is>
          <t>2×3×3×499</t>
        </is>
      </c>
      <c r="D2527" s="49" t="inlineStr">
        <is>
          <t>2·3</t>
        </is>
      </c>
      <c r="E2527" s="49" t="inlineStr"/>
      <c r="F2527" s="49" t="inlineStr"/>
    </row>
    <row r="2528" ht="13" customHeight="1">
      <c r="A2528" s="45" t="inlineStr">
        <is>
          <t>22621</t>
        </is>
      </c>
      <c r="B2528" s="45" t="inlineStr">
        <is>
          <t>23031</t>
        </is>
      </c>
      <c r="C2528" s="45" t="inlineStr">
        <is>
          <t>3×3×3×853</t>
        </is>
      </c>
      <c r="D2528" s="45" t="inlineStr">
        <is>
          <t>3</t>
        </is>
      </c>
      <c r="E2528" s="45" t="inlineStr"/>
      <c r="F2528" s="45" t="inlineStr"/>
    </row>
    <row r="2529" ht="13" customHeight="1">
      <c r="A2529" s="49" t="inlineStr">
        <is>
          <t>22637</t>
        </is>
      </c>
      <c r="B2529" s="49" t="inlineStr">
        <is>
          <t>36230</t>
        </is>
      </c>
      <c r="C2529" s="49" t="inlineStr">
        <is>
          <t>2×5×3623</t>
        </is>
      </c>
      <c r="D2529" s="49" t="inlineStr">
        <is>
          <t>2·5</t>
        </is>
      </c>
      <c r="E2529" s="49" t="inlineStr"/>
      <c r="F2529" s="49" t="inlineStr"/>
    </row>
    <row r="2530" ht="13" customHeight="1">
      <c r="A2530" s="45" t="inlineStr">
        <is>
          <t>22639</t>
        </is>
      </c>
      <c r="B2530" s="45" t="inlineStr">
        <is>
          <t>32546</t>
        </is>
      </c>
      <c r="C2530" s="45" t="inlineStr">
        <is>
          <t>2×16273</t>
        </is>
      </c>
      <c r="D2530" s="45" t="inlineStr">
        <is>
          <t>2</t>
        </is>
      </c>
      <c r="E2530" s="45" t="inlineStr"/>
      <c r="F2530" s="45" t="inlineStr"/>
    </row>
    <row r="2531" ht="13" customHeight="1">
      <c r="A2531" s="49" t="inlineStr">
        <is>
          <t>22643</t>
        </is>
      </c>
      <c r="B2531" s="49" t="inlineStr">
        <is>
          <t>42659</t>
        </is>
      </c>
      <c r="C2531" s="49" t="inlineStr">
        <is>
          <t>29×1471</t>
        </is>
      </c>
      <c r="D2531" s="49" t="inlineStr">
        <is>
          <t>—</t>
        </is>
      </c>
      <c r="E2531" s="49" t="inlineStr"/>
      <c r="F2531" s="49" t="inlineStr"/>
    </row>
    <row r="2532" ht="13" customHeight="1">
      <c r="A2532" s="41" t="inlineStr">
        <is>
          <t>22651</t>
        </is>
      </c>
      <c r="B2532" s="41" t="inlineStr">
        <is>
          <t>27778</t>
        </is>
      </c>
      <c r="C2532" s="41" t="inlineStr">
        <is>
          <t>2×17×19×43</t>
        </is>
      </c>
      <c r="D2532" s="41" t="inlineStr">
        <is>
          <t>2·17·19</t>
        </is>
      </c>
      <c r="E2532" s="41" t="inlineStr"/>
      <c r="F2532" s="41" t="inlineStr"/>
    </row>
    <row r="2533" ht="13" customHeight="1">
      <c r="A2533" s="39" t="inlineStr">
        <is>
          <t>22669</t>
        </is>
      </c>
      <c r="B2533" s="39" t="inlineStr">
        <is>
          <t>14406</t>
        </is>
      </c>
      <c r="C2533" s="39" t="inlineStr">
        <is>
          <t>2×3×7×7×7×7</t>
        </is>
      </c>
      <c r="D2533" s="39" t="inlineStr">
        <is>
          <t>2·3·7</t>
        </is>
      </c>
      <c r="E2533" s="39" t="inlineStr"/>
      <c r="F2533" s="39" t="inlineStr"/>
    </row>
    <row r="2534" ht="13" customHeight="1">
      <c r="A2534" s="50" t="inlineStr">
        <is>
          <t>22679</t>
        </is>
      </c>
      <c r="B2534" s="50" t="inlineStr">
        <is>
          <t>18301</t>
        </is>
      </c>
      <c r="C2534" s="50" t="inlineStr">
        <is>
          <t>18301</t>
        </is>
      </c>
      <c r="D2534" s="50" t="inlineStr">
        <is>
          <t>—</t>
        </is>
      </c>
      <c r="E2534" s="50" t="inlineStr"/>
      <c r="F2534" s="50" t="inlineStr"/>
    </row>
    <row r="2535" ht="13" customHeight="1">
      <c r="A2535" s="49" t="inlineStr">
        <is>
          <t>22691</t>
        </is>
      </c>
      <c r="B2535" s="49" t="inlineStr">
        <is>
          <t>40517</t>
        </is>
      </c>
      <c r="C2535" s="49" t="inlineStr">
        <is>
          <t>31×1307</t>
        </is>
      </c>
      <c r="D2535" s="49" t="inlineStr">
        <is>
          <t>—</t>
        </is>
      </c>
      <c r="E2535" s="49" t="inlineStr"/>
      <c r="F2535" s="49" t="inlineStr"/>
    </row>
    <row r="2536" ht="13" customHeight="1">
      <c r="A2536" s="45" t="inlineStr">
        <is>
          <t>22697</t>
        </is>
      </c>
      <c r="B2536" s="45" t="inlineStr">
        <is>
          <t>7032</t>
        </is>
      </c>
      <c r="C2536" s="45" t="inlineStr">
        <is>
          <t>2×2×2×3×293</t>
        </is>
      </c>
      <c r="D2536" s="45" t="inlineStr">
        <is>
          <t>2·3</t>
        </is>
      </c>
      <c r="E2536" s="45" t="inlineStr"/>
      <c r="F2536" s="45" t="inlineStr"/>
    </row>
    <row r="2537" ht="13" customHeight="1">
      <c r="A2537" s="49" t="inlineStr">
        <is>
          <t>22699</t>
        </is>
      </c>
      <c r="B2537" s="49" t="inlineStr">
        <is>
          <t>38843</t>
        </is>
      </c>
      <c r="C2537" s="49" t="inlineStr">
        <is>
          <t>7×31×179</t>
        </is>
      </c>
      <c r="D2537" s="49" t="inlineStr">
        <is>
          <t>7</t>
        </is>
      </c>
      <c r="E2537" s="49" t="inlineStr"/>
      <c r="F2537" s="49" t="inlineStr"/>
    </row>
    <row r="2538" ht="13" customHeight="1">
      <c r="A2538" s="45" t="inlineStr">
        <is>
          <t>22709</t>
        </is>
      </c>
      <c r="B2538" s="45" t="inlineStr">
        <is>
          <t>30285</t>
        </is>
      </c>
      <c r="C2538" s="45" t="inlineStr">
        <is>
          <t>3×3×5×673</t>
        </is>
      </c>
      <c r="D2538" s="45" t="inlineStr">
        <is>
          <t>3·5</t>
        </is>
      </c>
      <c r="E2538" s="45" t="inlineStr"/>
      <c r="F2538" s="45" t="inlineStr"/>
    </row>
    <row r="2539" ht="13" customHeight="1">
      <c r="A2539" s="41" t="inlineStr">
        <is>
          <t>22717</t>
        </is>
      </c>
      <c r="B2539" s="41" t="inlineStr">
        <is>
          <t>19331</t>
        </is>
      </c>
      <c r="C2539" s="41" t="inlineStr">
        <is>
          <t>13×1487</t>
        </is>
      </c>
      <c r="D2539" s="41" t="inlineStr">
        <is>
          <t>13</t>
        </is>
      </c>
      <c r="E2539" s="41" t="inlineStr"/>
      <c r="F2539" s="41" t="inlineStr"/>
    </row>
    <row r="2540" ht="13" customHeight="1">
      <c r="A2540" s="45" t="inlineStr">
        <is>
          <t>22721</t>
        </is>
      </c>
      <c r="B2540" s="45" t="inlineStr">
        <is>
          <t>34037</t>
        </is>
      </c>
      <c r="C2540" s="45" t="inlineStr">
        <is>
          <t>101×337</t>
        </is>
      </c>
      <c r="D2540" s="45" t="inlineStr">
        <is>
          <t>—</t>
        </is>
      </c>
      <c r="E2540" s="45" t="inlineStr"/>
      <c r="F2540" s="45" t="inlineStr"/>
    </row>
    <row r="2541" ht="13" customHeight="1">
      <c r="A2541" s="49" t="inlineStr">
        <is>
          <t>22727</t>
        </is>
      </c>
      <c r="B2541" s="49" t="inlineStr">
        <is>
          <t>8856</t>
        </is>
      </c>
      <c r="C2541" s="49" t="inlineStr">
        <is>
          <t>2×2×2×3×3×3×41</t>
        </is>
      </c>
      <c r="D2541" s="49" t="inlineStr">
        <is>
          <t>2·3</t>
        </is>
      </c>
      <c r="E2541" s="49" t="inlineStr"/>
      <c r="F2541" s="49" t="inlineStr"/>
    </row>
    <row r="2542" ht="13" customHeight="1">
      <c r="A2542" s="43" t="inlineStr">
        <is>
          <t>22739</t>
        </is>
      </c>
      <c r="B2542" s="43" t="inlineStr">
        <is>
          <t>18392</t>
        </is>
      </c>
      <c r="C2542" s="43" t="inlineStr">
        <is>
          <t>2×2×2×11×11×19</t>
        </is>
      </c>
      <c r="D2542" s="43" t="inlineStr">
        <is>
          <t>2·11·19</t>
        </is>
      </c>
      <c r="E2542" s="43" t="inlineStr"/>
      <c r="F2542" s="43" t="inlineStr"/>
    </row>
    <row r="2543" ht="13" customHeight="1">
      <c r="A2543" s="41" t="inlineStr">
        <is>
          <t>22741</t>
        </is>
      </c>
      <c r="B2543" s="41" t="inlineStr">
        <is>
          <t>23188</t>
        </is>
      </c>
      <c r="C2543" s="41" t="inlineStr">
        <is>
          <t>2×2×11×17×31</t>
        </is>
      </c>
      <c r="D2543" s="41" t="inlineStr">
        <is>
          <t>2·11·17</t>
        </is>
      </c>
      <c r="E2543" s="41" t="inlineStr"/>
      <c r="F2543" s="41" t="inlineStr"/>
    </row>
    <row r="2544" ht="13" customHeight="1">
      <c r="A2544" s="45" t="inlineStr">
        <is>
          <t>22751</t>
        </is>
      </c>
      <c r="B2544" s="45" t="inlineStr">
        <is>
          <t>40654</t>
        </is>
      </c>
      <c r="C2544" s="45" t="inlineStr">
        <is>
          <t>2×20327</t>
        </is>
      </c>
      <c r="D2544" s="45" t="inlineStr">
        <is>
          <t>2</t>
        </is>
      </c>
      <c r="E2544" s="45" t="inlineStr"/>
      <c r="F2544" s="45" t="inlineStr"/>
    </row>
    <row r="2545" ht="13" customHeight="1">
      <c r="A2545" s="41" t="inlineStr">
        <is>
          <t>22769</t>
        </is>
      </c>
      <c r="B2545" s="41" t="inlineStr">
        <is>
          <t>10285</t>
        </is>
      </c>
      <c r="C2545" s="41" t="inlineStr">
        <is>
          <t>5×11×11×17</t>
        </is>
      </c>
      <c r="D2545" s="41" t="inlineStr">
        <is>
          <t>5·11·17</t>
        </is>
      </c>
      <c r="E2545" s="41" t="inlineStr"/>
      <c r="F2545" s="41" t="inlineStr"/>
    </row>
    <row r="2546" ht="13" customHeight="1">
      <c r="A2546" s="41" t="inlineStr">
        <is>
          <t>22777</t>
        </is>
      </c>
      <c r="B2546" s="41" t="inlineStr">
        <is>
          <t>17680</t>
        </is>
      </c>
      <c r="C2546" s="41" t="inlineStr">
        <is>
          <t>2×2×2×2×5×13×17</t>
        </is>
      </c>
      <c r="D2546" s="41" t="inlineStr">
        <is>
          <t>2·5·13·17</t>
        </is>
      </c>
      <c r="E2546" s="41" t="inlineStr"/>
      <c r="F2546" s="41" t="inlineStr"/>
    </row>
    <row r="2547" ht="13" customHeight="1">
      <c r="A2547" s="49" t="inlineStr">
        <is>
          <t>22783</t>
        </is>
      </c>
      <c r="B2547" s="49" t="inlineStr">
        <is>
          <t>43742</t>
        </is>
      </c>
      <c r="C2547" s="49" t="inlineStr">
        <is>
          <t>2×21871</t>
        </is>
      </c>
      <c r="D2547" s="49" t="inlineStr">
        <is>
          <t>2</t>
        </is>
      </c>
      <c r="E2547" s="49" t="inlineStr"/>
      <c r="F2547" s="49" t="inlineStr"/>
    </row>
    <row r="2548" ht="13" customHeight="1">
      <c r="A2548" s="45" t="inlineStr">
        <is>
          <t>22787</t>
        </is>
      </c>
      <c r="B2548" s="45" t="inlineStr">
        <is>
          <t>13017</t>
        </is>
      </c>
      <c r="C2548" s="45" t="inlineStr">
        <is>
          <t>3×4339</t>
        </is>
      </c>
      <c r="D2548" s="45" t="inlineStr">
        <is>
          <t>3</t>
        </is>
      </c>
      <c r="E2548" s="45" t="inlineStr"/>
      <c r="F2548" s="45" t="inlineStr"/>
    </row>
    <row r="2549" ht="13" customHeight="1">
      <c r="A2549" s="51" t="inlineStr">
        <is>
          <t>22807</t>
        </is>
      </c>
      <c r="B2549" s="51" t="inlineStr">
        <is>
          <t>2394</t>
        </is>
      </c>
      <c r="C2549" s="51" t="inlineStr">
        <is>
          <t>2×3×3×7×19</t>
        </is>
      </c>
      <c r="D2549" s="51" t="inlineStr">
        <is>
          <t>2·3·7·19</t>
        </is>
      </c>
      <c r="E2549" s="51" t="inlineStr"/>
      <c r="F2549" s="51" t="inlineStr"/>
    </row>
    <row r="2550" ht="13" customHeight="1">
      <c r="A2550" s="50" t="inlineStr">
        <is>
          <t>22811</t>
        </is>
      </c>
      <c r="B2550" s="50" t="inlineStr">
        <is>
          <t>42071</t>
        </is>
      </c>
      <c r="C2550" s="50" t="inlineStr">
        <is>
          <t>42071</t>
        </is>
      </c>
      <c r="D2550" s="50" t="inlineStr">
        <is>
          <t>—</t>
        </is>
      </c>
      <c r="E2550" s="50" t="inlineStr"/>
      <c r="F2550" s="50" t="inlineStr"/>
    </row>
    <row r="2551" ht="13" customHeight="1">
      <c r="A2551" s="49" t="inlineStr">
        <is>
          <t>22817</t>
        </is>
      </c>
      <c r="B2551" s="49" t="inlineStr">
        <is>
          <t>37641</t>
        </is>
      </c>
      <c r="C2551" s="49" t="inlineStr">
        <is>
          <t>3×12547</t>
        </is>
      </c>
      <c r="D2551" s="49" t="inlineStr">
        <is>
          <t>3</t>
        </is>
      </c>
      <c r="E2551" s="49" t="inlineStr"/>
      <c r="F2551" s="49" t="inlineStr"/>
    </row>
    <row r="2552" ht="13" customHeight="1">
      <c r="A2552" s="45" t="inlineStr">
        <is>
          <t>22853</t>
        </is>
      </c>
      <c r="B2552" s="45" t="inlineStr">
        <is>
          <t>29996</t>
        </is>
      </c>
      <c r="C2552" s="45" t="inlineStr">
        <is>
          <t>2×2×7499</t>
        </is>
      </c>
      <c r="D2552" s="45" t="inlineStr">
        <is>
          <t>2</t>
        </is>
      </c>
      <c r="E2552" s="45" t="inlineStr"/>
      <c r="F2552" s="45" t="inlineStr"/>
    </row>
    <row r="2553" ht="13" customHeight="1">
      <c r="A2553" s="49" t="inlineStr">
        <is>
          <t>22859</t>
        </is>
      </c>
      <c r="B2553" s="49" t="inlineStr">
        <is>
          <t>24275</t>
        </is>
      </c>
      <c r="C2553" s="49" t="inlineStr">
        <is>
          <t>5×5×971</t>
        </is>
      </c>
      <c r="D2553" s="49" t="inlineStr">
        <is>
          <t>5</t>
        </is>
      </c>
      <c r="E2553" s="49" t="inlineStr"/>
      <c r="F2553" s="49" t="inlineStr"/>
    </row>
    <row r="2554" ht="13" customHeight="1">
      <c r="A2554" s="41" t="inlineStr">
        <is>
          <t>22861</t>
        </is>
      </c>
      <c r="B2554" s="41" t="inlineStr">
        <is>
          <t>20605</t>
        </is>
      </c>
      <c r="C2554" s="41" t="inlineStr">
        <is>
          <t>5×13×317</t>
        </is>
      </c>
      <c r="D2554" s="41" t="inlineStr">
        <is>
          <t>5·13</t>
        </is>
      </c>
      <c r="E2554" s="41" t="inlineStr"/>
      <c r="F2554" s="41" t="inlineStr"/>
    </row>
    <row r="2555" ht="13" customHeight="1">
      <c r="A2555" s="50" t="inlineStr">
        <is>
          <t>22871</t>
        </is>
      </c>
      <c r="B2555" s="50" t="inlineStr">
        <is>
          <t>11443</t>
        </is>
      </c>
      <c r="C2555" s="50" t="inlineStr">
        <is>
          <t>11443</t>
        </is>
      </c>
      <c r="D2555" s="50" t="inlineStr">
        <is>
          <t>—</t>
        </is>
      </c>
      <c r="E2555" s="50" t="inlineStr"/>
      <c r="F2555" s="50" t="inlineStr"/>
    </row>
    <row r="2556" ht="13" customHeight="1">
      <c r="A2556" s="45" t="inlineStr">
        <is>
          <t>22877</t>
        </is>
      </c>
      <c r="B2556" s="45" t="inlineStr">
        <is>
          <t>37347</t>
        </is>
      </c>
      <c r="C2556" s="45" t="inlineStr">
        <is>
          <t>3×59×211</t>
        </is>
      </c>
      <c r="D2556" s="45" t="inlineStr">
        <is>
          <t>3</t>
        </is>
      </c>
      <c r="E2556" s="45" t="inlineStr"/>
      <c r="F2556" s="45" t="inlineStr"/>
    </row>
    <row r="2557" ht="13" customHeight="1">
      <c r="A2557" s="49" t="inlineStr">
        <is>
          <t>22901</t>
        </is>
      </c>
      <c r="B2557" s="49" t="inlineStr">
        <is>
          <t>22546</t>
        </is>
      </c>
      <c r="C2557" s="49" t="inlineStr">
        <is>
          <t>2×11273</t>
        </is>
      </c>
      <c r="D2557" s="49" t="inlineStr">
        <is>
          <t>2</t>
        </is>
      </c>
      <c r="E2557" s="49" t="inlineStr"/>
      <c r="F2557" s="49" t="inlineStr"/>
    </row>
    <row r="2558" ht="13" customHeight="1">
      <c r="A2558" s="45" t="inlineStr">
        <is>
          <t>22907</t>
        </is>
      </c>
      <c r="B2558" s="45" t="inlineStr">
        <is>
          <t>23098</t>
        </is>
      </c>
      <c r="C2558" s="45" t="inlineStr">
        <is>
          <t>2×11549</t>
        </is>
      </c>
      <c r="D2558" s="45" t="inlineStr">
        <is>
          <t>2</t>
        </is>
      </c>
      <c r="E2558" s="45" t="inlineStr"/>
      <c r="F2558" s="45" t="inlineStr"/>
    </row>
    <row r="2559" ht="13" customHeight="1">
      <c r="A2559" s="41" t="inlineStr">
        <is>
          <t>22921</t>
        </is>
      </c>
      <c r="B2559" s="41" t="inlineStr">
        <is>
          <t>9763</t>
        </is>
      </c>
      <c r="C2559" s="41" t="inlineStr">
        <is>
          <t>13×751</t>
        </is>
      </c>
      <c r="D2559" s="41" t="inlineStr">
        <is>
          <t>13</t>
        </is>
      </c>
      <c r="E2559" s="41" t="inlineStr"/>
      <c r="F2559" s="41" t="inlineStr"/>
    </row>
    <row r="2560" ht="13" customHeight="1">
      <c r="A2560" s="41" t="inlineStr">
        <is>
          <t>22937</t>
        </is>
      </c>
      <c r="B2560" s="41" t="inlineStr">
        <is>
          <t>26988</t>
        </is>
      </c>
      <c r="C2560" s="41" t="inlineStr">
        <is>
          <t>2×2×3×13×173</t>
        </is>
      </c>
      <c r="D2560" s="41" t="inlineStr">
        <is>
          <t>2·3·13</t>
        </is>
      </c>
      <c r="E2560" s="41" t="inlineStr"/>
      <c r="F2560" s="41" t="inlineStr"/>
    </row>
    <row r="2561" ht="13" customHeight="1">
      <c r="A2561" s="49" t="inlineStr">
        <is>
          <t>22943</t>
        </is>
      </c>
      <c r="B2561" s="49" t="inlineStr">
        <is>
          <t>29344</t>
        </is>
      </c>
      <c r="C2561" s="49" t="inlineStr">
        <is>
          <t>2×2×2×2×2×7×131</t>
        </is>
      </c>
      <c r="D2561" s="49" t="inlineStr">
        <is>
          <t>2·7</t>
        </is>
      </c>
      <c r="E2561" s="49" t="inlineStr"/>
      <c r="F2561" s="49" t="inlineStr"/>
    </row>
    <row r="2562" ht="13" customHeight="1">
      <c r="A2562" s="45" t="inlineStr">
        <is>
          <t>22961</t>
        </is>
      </c>
      <c r="B2562" s="45" t="inlineStr">
        <is>
          <t>34325</t>
        </is>
      </c>
      <c r="C2562" s="45" t="inlineStr">
        <is>
          <t>5×5×1373</t>
        </is>
      </c>
      <c r="D2562" s="45" t="inlineStr">
        <is>
          <t>5</t>
        </is>
      </c>
      <c r="E2562" s="45" t="inlineStr"/>
      <c r="F2562" s="45" t="inlineStr"/>
    </row>
    <row r="2563" ht="13" customHeight="1">
      <c r="A2563" s="49" t="inlineStr">
        <is>
          <t>22963</t>
        </is>
      </c>
      <c r="B2563" s="49" t="inlineStr">
        <is>
          <t>26766</t>
        </is>
      </c>
      <c r="C2563" s="49" t="inlineStr">
        <is>
          <t>2×3×3×1487</t>
        </is>
      </c>
      <c r="D2563" s="49" t="inlineStr">
        <is>
          <t>2·3</t>
        </is>
      </c>
      <c r="E2563" s="49" t="inlineStr"/>
      <c r="F2563" s="49" t="inlineStr"/>
    </row>
    <row r="2564" ht="13" customHeight="1">
      <c r="A2564" s="50" t="inlineStr">
        <is>
          <t>22973</t>
        </is>
      </c>
      <c r="B2564" s="50" t="inlineStr">
        <is>
          <t>4201</t>
        </is>
      </c>
      <c r="C2564" s="50" t="inlineStr">
        <is>
          <t>4201</t>
        </is>
      </c>
      <c r="D2564" s="50" t="inlineStr">
        <is>
          <t>—</t>
        </is>
      </c>
      <c r="E2564" s="50" t="inlineStr"/>
      <c r="F2564" s="50" t="inlineStr"/>
    </row>
    <row r="2565" ht="13" customHeight="1">
      <c r="A2565" s="49" t="inlineStr">
        <is>
          <t>22993</t>
        </is>
      </c>
      <c r="B2565" s="49" t="inlineStr">
        <is>
          <t>6146</t>
        </is>
      </c>
      <c r="C2565" s="49" t="inlineStr">
        <is>
          <t>2×7×439</t>
        </is>
      </c>
      <c r="D2565" s="49" t="inlineStr">
        <is>
          <t>2·7</t>
        </is>
      </c>
      <c r="E2565" s="49" t="inlineStr"/>
      <c r="F2565" s="49" t="inlineStr"/>
    </row>
    <row r="2566" ht="13" customHeight="1">
      <c r="A2566" s="43" t="inlineStr">
        <is>
          <t>23003</t>
        </is>
      </c>
      <c r="B2566" s="43" t="inlineStr">
        <is>
          <t>43285</t>
        </is>
      </c>
      <c r="C2566" s="43" t="inlineStr">
        <is>
          <t>5×11×787</t>
        </is>
      </c>
      <c r="D2566" s="43" t="inlineStr">
        <is>
          <t>5·11</t>
        </is>
      </c>
      <c r="E2566" s="43" t="inlineStr"/>
      <c r="F2566" s="43" t="inlineStr"/>
    </row>
    <row r="2567" ht="13" customHeight="1">
      <c r="A2567" s="49" t="inlineStr">
        <is>
          <t>23011</t>
        </is>
      </c>
      <c r="B2567" s="49" t="inlineStr">
        <is>
          <t>17792</t>
        </is>
      </c>
      <c r="C2567" s="49" t="inlineStr">
        <is>
          <t>2×2×2×2×2×2×2×139</t>
        </is>
      </c>
      <c r="D2567" s="49" t="inlineStr">
        <is>
          <t>2</t>
        </is>
      </c>
      <c r="E2567" s="49" t="inlineStr"/>
      <c r="F2567" s="49" t="inlineStr"/>
    </row>
    <row r="2568" ht="13" customHeight="1">
      <c r="A2568" s="50" t="inlineStr">
        <is>
          <t>23017</t>
        </is>
      </c>
      <c r="B2568" s="50" t="inlineStr">
        <is>
          <t>30713</t>
        </is>
      </c>
      <c r="C2568" s="50" t="inlineStr">
        <is>
          <t>30713</t>
        </is>
      </c>
      <c r="D2568" s="50" t="inlineStr">
        <is>
          <t>—</t>
        </is>
      </c>
      <c r="E2568" s="50" t="inlineStr"/>
      <c r="F2568" s="50" t="inlineStr"/>
    </row>
    <row r="2569" ht="13" customHeight="1">
      <c r="A2569" s="41" t="inlineStr">
        <is>
          <t>23021</t>
        </is>
      </c>
      <c r="B2569" s="41" t="inlineStr">
        <is>
          <t>34541</t>
        </is>
      </c>
      <c r="C2569" s="41" t="inlineStr">
        <is>
          <t>13×2657</t>
        </is>
      </c>
      <c r="D2569" s="41" t="inlineStr">
        <is>
          <t>13</t>
        </is>
      </c>
      <c r="E2569" s="41" t="inlineStr"/>
      <c r="F2569" s="41" t="inlineStr"/>
    </row>
    <row r="2570" ht="13" customHeight="1">
      <c r="A2570" s="45" t="inlineStr">
        <is>
          <t>23027</t>
        </is>
      </c>
      <c r="B2570" s="45" t="inlineStr">
        <is>
          <t>28784</t>
        </is>
      </c>
      <c r="C2570" s="45" t="inlineStr">
        <is>
          <t>2×2×2×2×7×257</t>
        </is>
      </c>
      <c r="D2570" s="45" t="inlineStr">
        <is>
          <t>2·7</t>
        </is>
      </c>
      <c r="E2570" s="45" t="inlineStr"/>
      <c r="F2570" s="45" t="inlineStr"/>
    </row>
    <row r="2571" ht="13" customHeight="1">
      <c r="A2571" s="49" t="inlineStr">
        <is>
          <t>23029</t>
        </is>
      </c>
      <c r="B2571" s="49" t="inlineStr">
        <is>
          <t>4638</t>
        </is>
      </c>
      <c r="C2571" s="49" t="inlineStr">
        <is>
          <t>2×3×773</t>
        </is>
      </c>
      <c r="D2571" s="49" t="inlineStr">
        <is>
          <t>2·3</t>
        </is>
      </c>
      <c r="E2571" s="49" t="inlineStr"/>
      <c r="F2571" s="49" t="inlineStr"/>
    </row>
    <row r="2572" ht="13" customHeight="1">
      <c r="A2572" s="45" t="inlineStr">
        <is>
          <t>23039</t>
        </is>
      </c>
      <c r="B2572" s="45" t="inlineStr">
        <is>
          <t>12412</t>
        </is>
      </c>
      <c r="C2572" s="45" t="inlineStr">
        <is>
          <t>2×2×29×107</t>
        </is>
      </c>
      <c r="D2572" s="45" t="inlineStr">
        <is>
          <t>2</t>
        </is>
      </c>
      <c r="E2572" s="45" t="inlineStr"/>
      <c r="F2572" s="45" t="inlineStr"/>
    </row>
    <row r="2573" ht="13" customHeight="1">
      <c r="A2573" s="49" t="inlineStr">
        <is>
          <t>23041</t>
        </is>
      </c>
      <c r="B2573" s="49" t="inlineStr">
        <is>
          <t>23662</t>
        </is>
      </c>
      <c r="C2573" s="49" t="inlineStr">
        <is>
          <t>2×11831</t>
        </is>
      </c>
      <c r="D2573" s="49" t="inlineStr">
        <is>
          <t>2</t>
        </is>
      </c>
      <c r="E2573" s="49" t="inlineStr"/>
      <c r="F2573" s="49" t="inlineStr"/>
    </row>
    <row r="2574" ht="13" customHeight="1">
      <c r="A2574" s="50" t="inlineStr">
        <is>
          <t>23053</t>
        </is>
      </c>
      <c r="B2574" s="50" t="inlineStr">
        <is>
          <t>14389</t>
        </is>
      </c>
      <c r="C2574" s="50" t="inlineStr">
        <is>
          <t>14389</t>
        </is>
      </c>
      <c r="D2574" s="50" t="inlineStr">
        <is>
          <t>—</t>
        </is>
      </c>
      <c r="E2574" s="50" t="inlineStr"/>
      <c r="F2574" s="50" t="inlineStr"/>
    </row>
    <row r="2575" ht="13" customHeight="1">
      <c r="A2575" s="41" t="inlineStr">
        <is>
          <t>23057</t>
        </is>
      </c>
      <c r="B2575" s="41" t="inlineStr">
        <is>
          <t>33644</t>
        </is>
      </c>
      <c r="C2575" s="41" t="inlineStr">
        <is>
          <t>2×2×13×647</t>
        </is>
      </c>
      <c r="D2575" s="41" t="inlineStr">
        <is>
          <t>2·13</t>
        </is>
      </c>
      <c r="E2575" s="41" t="inlineStr"/>
      <c r="F2575" s="41" t="inlineStr"/>
    </row>
    <row r="2576" ht="13" customHeight="1">
      <c r="A2576" s="45" t="inlineStr">
        <is>
          <t>23059</t>
        </is>
      </c>
      <c r="B2576" s="45" t="inlineStr">
        <is>
          <t>466</t>
        </is>
      </c>
      <c r="C2576" s="45" t="inlineStr">
        <is>
          <t>2×233</t>
        </is>
      </c>
      <c r="D2576" s="45" t="inlineStr">
        <is>
          <t>2</t>
        </is>
      </c>
      <c r="E2576" s="45" t="inlineStr"/>
      <c r="F2576" s="45" t="inlineStr"/>
    </row>
    <row r="2577" ht="13" customHeight="1">
      <c r="A2577" s="49" t="inlineStr">
        <is>
          <t>23063</t>
        </is>
      </c>
      <c r="B2577" s="49" t="inlineStr">
        <is>
          <t>9368</t>
        </is>
      </c>
      <c r="C2577" s="49" t="inlineStr">
        <is>
          <t>2×2×2×1171</t>
        </is>
      </c>
      <c r="D2577" s="49" t="inlineStr">
        <is>
          <t>2</t>
        </is>
      </c>
      <c r="E2577" s="49" t="inlineStr"/>
      <c r="F2577" s="49" t="inlineStr"/>
    </row>
    <row r="2578" ht="13" customHeight="1">
      <c r="A2578" s="41" t="inlineStr">
        <is>
          <t>23071</t>
        </is>
      </c>
      <c r="B2578" s="41" t="inlineStr">
        <is>
          <t>25337</t>
        </is>
      </c>
      <c r="C2578" s="41" t="inlineStr">
        <is>
          <t>13×1949</t>
        </is>
      </c>
      <c r="D2578" s="41" t="inlineStr">
        <is>
          <t>13</t>
        </is>
      </c>
      <c r="E2578" s="41" t="inlineStr"/>
      <c r="F2578" s="41" t="inlineStr"/>
    </row>
    <row r="2579" ht="13" customHeight="1">
      <c r="A2579" s="49" t="inlineStr">
        <is>
          <t>23081</t>
        </is>
      </c>
      <c r="B2579" s="49" t="inlineStr">
        <is>
          <t>32663</t>
        </is>
      </c>
      <c r="C2579" s="49" t="inlineStr">
        <is>
          <t>89×367</t>
        </is>
      </c>
      <c r="D2579" s="49" t="inlineStr">
        <is>
          <t>—</t>
        </is>
      </c>
      <c r="E2579" s="49" t="inlineStr"/>
      <c r="F2579" s="49" t="inlineStr"/>
    </row>
    <row r="2580" ht="13" customHeight="1">
      <c r="A2580" s="50" t="inlineStr">
        <is>
          <t>23087</t>
        </is>
      </c>
      <c r="B2580" s="50" t="inlineStr">
        <is>
          <t>27241</t>
        </is>
      </c>
      <c r="C2580" s="50" t="inlineStr">
        <is>
          <t>27241</t>
        </is>
      </c>
      <c r="D2580" s="50" t="inlineStr">
        <is>
          <t>—</t>
        </is>
      </c>
      <c r="E2580" s="50" t="inlineStr"/>
      <c r="F2580" s="50" t="inlineStr"/>
    </row>
    <row r="2581" ht="13" customHeight="1">
      <c r="A2581" s="49" t="inlineStr">
        <is>
          <t>23099</t>
        </is>
      </c>
      <c r="B2581" s="49" t="inlineStr">
        <is>
          <t>43533</t>
        </is>
      </c>
      <c r="C2581" s="49" t="inlineStr">
        <is>
          <t>3×3×7×691</t>
        </is>
      </c>
      <c r="D2581" s="49" t="inlineStr">
        <is>
          <t>3·7</t>
        </is>
      </c>
      <c r="E2581" s="49" t="inlineStr"/>
      <c r="F2581" s="49" t="inlineStr"/>
    </row>
    <row r="2582" ht="13" customHeight="1">
      <c r="A2582" s="43" t="inlineStr">
        <is>
          <t>23117</t>
        </is>
      </c>
      <c r="B2582" s="43" t="inlineStr">
        <is>
          <t>20977</t>
        </is>
      </c>
      <c r="C2582" s="43" t="inlineStr">
        <is>
          <t>11×1907</t>
        </is>
      </c>
      <c r="D2582" s="43" t="inlineStr">
        <is>
          <t>11</t>
        </is>
      </c>
      <c r="E2582" s="43" t="inlineStr"/>
      <c r="F2582" s="43" t="inlineStr"/>
    </row>
    <row r="2583" ht="13" customHeight="1">
      <c r="A2583" s="50" t="inlineStr">
        <is>
          <t>23131</t>
        </is>
      </c>
      <c r="B2583" s="50" t="inlineStr">
        <is>
          <t>20347</t>
        </is>
      </c>
      <c r="C2583" s="50" t="inlineStr">
        <is>
          <t>20347</t>
        </is>
      </c>
      <c r="D2583" s="50" t="inlineStr">
        <is>
          <t>—</t>
        </is>
      </c>
      <c r="E2583" s="50" t="inlineStr"/>
      <c r="F2583" s="50" t="inlineStr"/>
    </row>
    <row r="2584" ht="13" customHeight="1">
      <c r="A2584" s="45" t="inlineStr">
        <is>
          <t>23143</t>
        </is>
      </c>
      <c r="B2584" s="45" t="inlineStr">
        <is>
          <t>11434</t>
        </is>
      </c>
      <c r="C2584" s="45" t="inlineStr">
        <is>
          <t>2×5717</t>
        </is>
      </c>
      <c r="D2584" s="45" t="inlineStr">
        <is>
          <t>2</t>
        </is>
      </c>
      <c r="E2584" s="45" t="inlineStr"/>
      <c r="F2584" s="45" t="inlineStr"/>
    </row>
    <row r="2585" ht="13" customHeight="1">
      <c r="A2585" s="49" t="inlineStr">
        <is>
          <t>23159</t>
        </is>
      </c>
      <c r="B2585" s="49" t="inlineStr">
        <is>
          <t>11217</t>
        </is>
      </c>
      <c r="C2585" s="49" t="inlineStr">
        <is>
          <t>3×3739</t>
        </is>
      </c>
      <c r="D2585" s="49" t="inlineStr">
        <is>
          <t>3</t>
        </is>
      </c>
      <c r="E2585" s="49" t="inlineStr"/>
      <c r="F2585" s="49" t="inlineStr"/>
    </row>
    <row r="2586" ht="13" customHeight="1">
      <c r="A2586" s="45" t="inlineStr">
        <is>
          <t>23167</t>
        </is>
      </c>
      <c r="B2586" s="45" t="inlineStr">
        <is>
          <t>13092</t>
        </is>
      </c>
      <c r="C2586" s="45" t="inlineStr">
        <is>
          <t>2×2×3×1091</t>
        </is>
      </c>
      <c r="D2586" s="45" t="inlineStr">
        <is>
          <t>2·3</t>
        </is>
      </c>
      <c r="E2586" s="45" t="inlineStr"/>
      <c r="F2586" s="45" t="inlineStr"/>
    </row>
    <row r="2587" ht="13" customHeight="1">
      <c r="A2587" s="41" t="inlineStr">
        <is>
          <t>23173</t>
        </is>
      </c>
      <c r="B2587" s="41" t="inlineStr">
        <is>
          <t>29874</t>
        </is>
      </c>
      <c r="C2587" s="41" t="inlineStr">
        <is>
          <t>2×3×13×383</t>
        </is>
      </c>
      <c r="D2587" s="41" t="inlineStr">
        <is>
          <t>2·3·13</t>
        </is>
      </c>
      <c r="E2587" s="41" t="inlineStr"/>
      <c r="F2587" s="41" t="inlineStr"/>
    </row>
    <row r="2588" ht="13" customHeight="1">
      <c r="A2588" s="45" t="inlineStr">
        <is>
          <t>23189</t>
        </is>
      </c>
      <c r="B2588" s="45" t="inlineStr">
        <is>
          <t>10063</t>
        </is>
      </c>
      <c r="C2588" s="45" t="inlineStr">
        <is>
          <t>29×347</t>
        </is>
      </c>
      <c r="D2588" s="45" t="inlineStr">
        <is>
          <t>—</t>
        </is>
      </c>
      <c r="E2588" s="45" t="inlineStr"/>
      <c r="F2588" s="45" t="inlineStr"/>
    </row>
    <row r="2589" ht="13" customHeight="1">
      <c r="A2589" s="43" t="inlineStr">
        <is>
          <t>23197</t>
        </is>
      </c>
      <c r="B2589" s="43" t="inlineStr">
        <is>
          <t>31020</t>
        </is>
      </c>
      <c r="C2589" s="43" t="inlineStr">
        <is>
          <t>2×2×3×5×11×47</t>
        </is>
      </c>
      <c r="D2589" s="43" t="inlineStr">
        <is>
          <t>2·3·5·11</t>
        </is>
      </c>
      <c r="E2589" s="43" t="inlineStr"/>
      <c r="F2589" s="43" t="inlineStr"/>
    </row>
    <row r="2590" ht="13" customHeight="1">
      <c r="A2590" s="41" t="inlineStr">
        <is>
          <t>23201</t>
        </is>
      </c>
      <c r="B2590" s="41" t="inlineStr">
        <is>
          <t>16003</t>
        </is>
      </c>
      <c r="C2590" s="41" t="inlineStr">
        <is>
          <t>13×1231</t>
        </is>
      </c>
      <c r="D2590" s="41" t="inlineStr">
        <is>
          <t>13</t>
        </is>
      </c>
      <c r="E2590" s="41" t="inlineStr"/>
      <c r="F2590" s="41" t="inlineStr"/>
    </row>
    <row r="2591" ht="13" customHeight="1">
      <c r="A2591" s="49" t="inlineStr">
        <is>
          <t>23203</t>
        </is>
      </c>
      <c r="B2591" s="49" t="inlineStr">
        <is>
          <t>36581</t>
        </is>
      </c>
      <c r="C2591" s="49" t="inlineStr">
        <is>
          <t>157×233</t>
        </is>
      </c>
      <c r="D2591" s="49" t="inlineStr">
        <is>
          <t>—</t>
        </is>
      </c>
      <c r="E2591" s="49" t="inlineStr"/>
      <c r="F2591" s="49" t="inlineStr"/>
    </row>
    <row r="2592" ht="13" customHeight="1">
      <c r="A2592" s="45" t="inlineStr">
        <is>
          <t>23209</t>
        </is>
      </c>
      <c r="B2592" s="45" t="inlineStr">
        <is>
          <t>43794</t>
        </is>
      </c>
      <c r="C2592" s="45" t="inlineStr">
        <is>
          <t>2×3×3×3×811</t>
        </is>
      </c>
      <c r="D2592" s="45" t="inlineStr">
        <is>
          <t>2·3</t>
        </is>
      </c>
      <c r="E2592" s="45" t="inlineStr"/>
      <c r="F2592" s="45" t="inlineStr"/>
    </row>
    <row r="2593" ht="13" customHeight="1">
      <c r="A2593" s="49" t="inlineStr">
        <is>
          <t>23227</t>
        </is>
      </c>
      <c r="B2593" s="49" t="inlineStr">
        <is>
          <t>3379</t>
        </is>
      </c>
      <c r="C2593" s="49" t="inlineStr">
        <is>
          <t>31×109</t>
        </is>
      </c>
      <c r="D2593" s="49" t="inlineStr">
        <is>
          <t>—</t>
        </is>
      </c>
      <c r="E2593" s="49" t="inlineStr"/>
      <c r="F2593" s="49" t="inlineStr"/>
    </row>
    <row r="2594" ht="13" customHeight="1">
      <c r="A2594" s="45" t="inlineStr">
        <is>
          <t>23251</t>
        </is>
      </c>
      <c r="B2594" s="45" t="inlineStr">
        <is>
          <t>27070</t>
        </is>
      </c>
      <c r="C2594" s="45" t="inlineStr">
        <is>
          <t>2×5×2707</t>
        </is>
      </c>
      <c r="D2594" s="45" t="inlineStr">
        <is>
          <t>2·5</t>
        </is>
      </c>
      <c r="E2594" s="45" t="inlineStr"/>
      <c r="F2594" s="45" t="inlineStr"/>
    </row>
    <row r="2595" ht="13" customHeight="1">
      <c r="A2595" s="49" t="inlineStr">
        <is>
          <t>23269</t>
        </is>
      </c>
      <c r="B2595" s="49" t="inlineStr">
        <is>
          <t>37303</t>
        </is>
      </c>
      <c r="C2595" s="49" t="inlineStr">
        <is>
          <t>7×73×73</t>
        </is>
      </c>
      <c r="D2595" s="49" t="inlineStr">
        <is>
          <t>7</t>
        </is>
      </c>
      <c r="E2595" s="49" t="inlineStr"/>
      <c r="F2595" s="49" t="inlineStr"/>
    </row>
    <row r="2596" ht="13" customHeight="1">
      <c r="A2596" s="45" t="inlineStr">
        <is>
          <t>23279</t>
        </is>
      </c>
      <c r="B2596" s="45" t="inlineStr">
        <is>
          <t>36004</t>
        </is>
      </c>
      <c r="C2596" s="45" t="inlineStr">
        <is>
          <t>2×2×9001</t>
        </is>
      </c>
      <c r="D2596" s="45" t="inlineStr">
        <is>
          <t>2</t>
        </is>
      </c>
      <c r="E2596" s="45" t="inlineStr"/>
      <c r="F2596" s="45" t="inlineStr"/>
    </row>
    <row r="2597" ht="13" customHeight="1">
      <c r="A2597" s="49" t="inlineStr">
        <is>
          <t>23291</t>
        </is>
      </c>
      <c r="B2597" s="49" t="inlineStr">
        <is>
          <t>17473</t>
        </is>
      </c>
      <c r="C2597" s="49" t="inlineStr">
        <is>
          <t>101×173</t>
        </is>
      </c>
      <c r="D2597" s="49" t="inlineStr">
        <is>
          <t>—</t>
        </is>
      </c>
      <c r="E2597" s="49" t="inlineStr"/>
      <c r="F2597" s="49" t="inlineStr"/>
    </row>
    <row r="2598" ht="13" customHeight="1">
      <c r="A2598" s="45" t="inlineStr">
        <is>
          <t>23293</t>
        </is>
      </c>
      <c r="B2598" s="45" t="inlineStr">
        <is>
          <t>42596</t>
        </is>
      </c>
      <c r="C2598" s="45" t="inlineStr">
        <is>
          <t>2×2×23×463</t>
        </is>
      </c>
      <c r="D2598" s="45" t="inlineStr">
        <is>
          <t>2</t>
        </is>
      </c>
      <c r="E2598" s="45" t="inlineStr"/>
      <c r="F2598" s="45" t="inlineStr"/>
    </row>
    <row r="2599" ht="13" customHeight="1">
      <c r="A2599" s="49" t="inlineStr">
        <is>
          <t>23297</t>
        </is>
      </c>
      <c r="B2599" s="49" t="inlineStr">
        <is>
          <t>10481</t>
        </is>
      </c>
      <c r="C2599" s="49" t="inlineStr">
        <is>
          <t>47×223</t>
        </is>
      </c>
      <c r="D2599" s="49" t="inlineStr">
        <is>
          <t>—</t>
        </is>
      </c>
      <c r="E2599" s="49" t="inlineStr"/>
      <c r="F2599" s="49" t="inlineStr"/>
    </row>
    <row r="2600" ht="13" customHeight="1">
      <c r="A2600" s="41" t="inlineStr">
        <is>
          <t>23311</t>
        </is>
      </c>
      <c r="B2600" s="41" t="inlineStr">
        <is>
          <t>2977</t>
        </is>
      </c>
      <c r="C2600" s="41" t="inlineStr">
        <is>
          <t>13×229</t>
        </is>
      </c>
      <c r="D2600" s="41" t="inlineStr">
        <is>
          <t>13</t>
        </is>
      </c>
      <c r="E2600" s="41" t="inlineStr"/>
      <c r="F2600" s="41" t="inlineStr"/>
    </row>
    <row r="2601" ht="13" customHeight="1">
      <c r="A2601" s="43" t="inlineStr">
        <is>
          <t>23321</t>
        </is>
      </c>
      <c r="B2601" s="43" t="inlineStr">
        <is>
          <t>10329</t>
        </is>
      </c>
      <c r="C2601" s="43" t="inlineStr">
        <is>
          <t>3×11×313</t>
        </is>
      </c>
      <c r="D2601" s="43" t="inlineStr">
        <is>
          <t>3·11</t>
        </is>
      </c>
      <c r="E2601" s="43" t="inlineStr"/>
      <c r="F2601" s="43" t="inlineStr"/>
    </row>
    <row r="2602" ht="13" customHeight="1">
      <c r="A2602" s="41" t="inlineStr">
        <is>
          <t>23327</t>
        </is>
      </c>
      <c r="B2602" s="41" t="inlineStr">
        <is>
          <t>29121</t>
        </is>
      </c>
      <c r="C2602" s="41" t="inlineStr">
        <is>
          <t>3×17×571</t>
        </is>
      </c>
      <c r="D2602" s="41" t="inlineStr">
        <is>
          <t>3·17</t>
        </is>
      </c>
      <c r="E2602" s="41" t="inlineStr"/>
      <c r="F2602" s="41" t="inlineStr"/>
    </row>
    <row r="2603" ht="13" customHeight="1">
      <c r="A2603" s="43" t="inlineStr">
        <is>
          <t>23333</t>
        </is>
      </c>
      <c r="B2603" s="43" t="inlineStr">
        <is>
          <t>36014</t>
        </is>
      </c>
      <c r="C2603" s="43" t="inlineStr">
        <is>
          <t>2×11×1637</t>
        </is>
      </c>
      <c r="D2603" s="43" t="inlineStr">
        <is>
          <t>2·11</t>
        </is>
      </c>
      <c r="E2603" s="43" t="inlineStr"/>
      <c r="F2603" s="43" t="inlineStr"/>
    </row>
    <row r="2604" ht="13" customHeight="1">
      <c r="A2604" s="43" t="inlineStr">
        <is>
          <t>23339</t>
        </is>
      </c>
      <c r="B2604" s="43" t="inlineStr">
        <is>
          <t>2541</t>
        </is>
      </c>
      <c r="C2604" s="43" t="inlineStr">
        <is>
          <t>3×7×11×11</t>
        </is>
      </c>
      <c r="D2604" s="43" t="inlineStr">
        <is>
          <t>3·7·11</t>
        </is>
      </c>
      <c r="E2604" s="43" t="inlineStr"/>
      <c r="F2604" s="43" t="inlineStr"/>
    </row>
    <row r="2605" ht="13" customHeight="1">
      <c r="A2605" s="49" t="inlineStr">
        <is>
          <t>23357</t>
        </is>
      </c>
      <c r="B2605" s="49" t="inlineStr">
        <is>
          <t>39408</t>
        </is>
      </c>
      <c r="C2605" s="49" t="inlineStr">
        <is>
          <t>2×2×2×2×3×821</t>
        </is>
      </c>
      <c r="D2605" s="49" t="inlineStr">
        <is>
          <t>2·3</t>
        </is>
      </c>
      <c r="E2605" s="49" t="inlineStr"/>
      <c r="F2605" s="49" t="inlineStr"/>
    </row>
    <row r="2606" ht="13" customHeight="1">
      <c r="A2606" s="45" t="inlineStr">
        <is>
          <t>23369</t>
        </is>
      </c>
      <c r="B2606" s="45" t="inlineStr">
        <is>
          <t>15456</t>
        </is>
      </c>
      <c r="C2606" s="45" t="inlineStr">
        <is>
          <t>2×2×2×2×2×3×7×23</t>
        </is>
      </c>
      <c r="D2606" s="45" t="inlineStr">
        <is>
          <t>2·3·7</t>
        </is>
      </c>
      <c r="E2606" s="45" t="inlineStr"/>
      <c r="F2606" s="45" t="inlineStr"/>
    </row>
    <row r="2607" ht="13" customHeight="1">
      <c r="A2607" s="49" t="inlineStr">
        <is>
          <t>23371</t>
        </is>
      </c>
      <c r="B2607" s="49" t="inlineStr">
        <is>
          <t>8610</t>
        </is>
      </c>
      <c r="C2607" s="49" t="inlineStr">
        <is>
          <t>2×3×5×7×41</t>
        </is>
      </c>
      <c r="D2607" s="49" t="inlineStr">
        <is>
          <t>2·3·5·7</t>
        </is>
      </c>
      <c r="E2607" s="49" t="inlineStr"/>
      <c r="F2607" s="49" t="inlineStr"/>
    </row>
    <row r="2608" ht="13" customHeight="1">
      <c r="A2608" s="45" t="inlineStr">
        <is>
          <t>23399</t>
        </is>
      </c>
      <c r="B2608" s="45" t="inlineStr">
        <is>
          <t>36715</t>
        </is>
      </c>
      <c r="C2608" s="45" t="inlineStr">
        <is>
          <t>5×7×1049</t>
        </is>
      </c>
      <c r="D2608" s="45" t="inlineStr">
        <is>
          <t>5·7</t>
        </is>
      </c>
      <c r="E2608" s="45" t="inlineStr"/>
      <c r="F2608" s="45" t="inlineStr"/>
    </row>
    <row r="2609" ht="13" customHeight="1">
      <c r="A2609" s="49" t="inlineStr">
        <is>
          <t>23417</t>
        </is>
      </c>
      <c r="B2609" s="49" t="inlineStr">
        <is>
          <t>3878</t>
        </is>
      </c>
      <c r="C2609" s="49" t="inlineStr">
        <is>
          <t>2×7×277</t>
        </is>
      </c>
      <c r="D2609" s="49" t="inlineStr">
        <is>
          <t>2·7</t>
        </is>
      </c>
      <c r="E2609" s="49" t="inlineStr"/>
      <c r="F2609" s="49" t="inlineStr"/>
    </row>
    <row r="2610" ht="13" customHeight="1">
      <c r="A2610" s="45" t="inlineStr">
        <is>
          <t>23431</t>
        </is>
      </c>
      <c r="B2610" s="45" t="inlineStr">
        <is>
          <t>909</t>
        </is>
      </c>
      <c r="C2610" s="45" t="inlineStr">
        <is>
          <t>3×3×101</t>
        </is>
      </c>
      <c r="D2610" s="45" t="inlineStr">
        <is>
          <t>3</t>
        </is>
      </c>
      <c r="E2610" s="45" t="inlineStr"/>
      <c r="F2610" s="45" t="inlineStr"/>
    </row>
    <row r="2611" ht="13" customHeight="1">
      <c r="A2611" s="49" t="inlineStr">
        <is>
          <t>23447</t>
        </is>
      </c>
      <c r="B2611" s="49" t="inlineStr">
        <is>
          <t>3006</t>
        </is>
      </c>
      <c r="C2611" s="49" t="inlineStr">
        <is>
          <t>2×3×3×167</t>
        </is>
      </c>
      <c r="D2611" s="49" t="inlineStr">
        <is>
          <t>2·3</t>
        </is>
      </c>
      <c r="E2611" s="49" t="inlineStr"/>
      <c r="F2611" s="49" t="inlineStr"/>
    </row>
    <row r="2612" ht="13" customHeight="1">
      <c r="A2612" s="43" t="inlineStr">
        <is>
          <t>23459</t>
        </is>
      </c>
      <c r="B2612" s="43" t="inlineStr">
        <is>
          <t>37488</t>
        </is>
      </c>
      <c r="C2612" s="43" t="inlineStr">
        <is>
          <t>2×2×2×2×3×11×71</t>
        </is>
      </c>
      <c r="D2612" s="43" t="inlineStr">
        <is>
          <t>2·3·11</t>
        </is>
      </c>
      <c r="E2612" s="43" t="inlineStr"/>
      <c r="F2612" s="43" t="inlineStr"/>
    </row>
    <row r="2613" ht="13" customHeight="1">
      <c r="A2613" s="49" t="inlineStr">
        <is>
          <t>23473</t>
        </is>
      </c>
      <c r="B2613" s="49" t="inlineStr">
        <is>
          <t>23411</t>
        </is>
      </c>
      <c r="C2613" s="49" t="inlineStr">
        <is>
          <t>41×571</t>
        </is>
      </c>
      <c r="D2613" s="49" t="inlineStr">
        <is>
          <t>—</t>
        </is>
      </c>
      <c r="E2613" s="49" t="inlineStr"/>
      <c r="F2613" s="49" t="inlineStr"/>
    </row>
    <row r="2614" ht="13" customHeight="1">
      <c r="A2614" s="43" t="inlineStr">
        <is>
          <t>23497</t>
        </is>
      </c>
      <c r="B2614" s="43" t="inlineStr">
        <is>
          <t>6380</t>
        </is>
      </c>
      <c r="C2614" s="43" t="inlineStr">
        <is>
          <t>2×2×5×11×29</t>
        </is>
      </c>
      <c r="D2614" s="43" t="inlineStr">
        <is>
          <t>2·5·11</t>
        </is>
      </c>
      <c r="E2614" s="43" t="inlineStr"/>
      <c r="F2614" s="43" t="inlineStr"/>
    </row>
    <row r="2615" ht="13" customHeight="1">
      <c r="A2615" s="50" t="inlineStr">
        <is>
          <t>23509</t>
        </is>
      </c>
      <c r="B2615" s="50" t="inlineStr">
        <is>
          <t>43669</t>
        </is>
      </c>
      <c r="C2615" s="50" t="inlineStr">
        <is>
          <t>43669</t>
        </is>
      </c>
      <c r="D2615" s="50" t="inlineStr">
        <is>
          <t>—</t>
        </is>
      </c>
      <c r="E2615" s="50" t="inlineStr"/>
      <c r="F2615" s="50" t="inlineStr"/>
    </row>
    <row r="2616" ht="13" customHeight="1">
      <c r="A2616" s="45" t="inlineStr">
        <is>
          <t>23531</t>
        </is>
      </c>
      <c r="B2616" s="45" t="inlineStr">
        <is>
          <t>29267</t>
        </is>
      </c>
      <c r="C2616" s="45" t="inlineStr">
        <is>
          <t>7×37×113</t>
        </is>
      </c>
      <c r="D2616" s="45" t="inlineStr">
        <is>
          <t>7</t>
        </is>
      </c>
      <c r="E2616" s="45" t="inlineStr"/>
      <c r="F2616" s="45" t="inlineStr"/>
    </row>
    <row r="2617" ht="13" customHeight="1">
      <c r="A2617" s="49" t="inlineStr">
        <is>
          <t>23537</t>
        </is>
      </c>
      <c r="B2617" s="49" t="inlineStr">
        <is>
          <t>3147</t>
        </is>
      </c>
      <c r="C2617" s="49" t="inlineStr">
        <is>
          <t>3×1049</t>
        </is>
      </c>
      <c r="D2617" s="49" t="inlineStr">
        <is>
          <t>3</t>
        </is>
      </c>
      <c r="E2617" s="49" t="inlineStr"/>
      <c r="F2617" s="49" t="inlineStr"/>
    </row>
    <row r="2618" ht="13" customHeight="1">
      <c r="A2618" s="45" t="inlineStr">
        <is>
          <t>23539</t>
        </is>
      </c>
      <c r="B2618" s="45" t="inlineStr">
        <is>
          <t>37767</t>
        </is>
      </c>
      <c r="C2618" s="45" t="inlineStr">
        <is>
          <t>3×12589</t>
        </is>
      </c>
      <c r="D2618" s="45" t="inlineStr">
        <is>
          <t>3</t>
        </is>
      </c>
      <c r="E2618" s="45" t="inlineStr"/>
      <c r="F2618" s="45" t="inlineStr"/>
    </row>
    <row r="2619" ht="13" customHeight="1">
      <c r="A2619" s="49" t="inlineStr">
        <is>
          <t>23549</t>
        </is>
      </c>
      <c r="B2619" s="49" t="inlineStr">
        <is>
          <t>43844</t>
        </is>
      </c>
      <c r="C2619" s="49" t="inlineStr">
        <is>
          <t>2×2×97×113</t>
        </is>
      </c>
      <c r="D2619" s="49" t="inlineStr">
        <is>
          <t>2</t>
        </is>
      </c>
      <c r="E2619" s="49" t="inlineStr"/>
      <c r="F2619" s="49" t="inlineStr"/>
    </row>
    <row r="2620" ht="13" customHeight="1">
      <c r="A2620" s="39" t="inlineStr">
        <is>
          <t>23557</t>
        </is>
      </c>
      <c r="B2620" s="39" t="inlineStr">
        <is>
          <t>5292</t>
        </is>
      </c>
      <c r="C2620" s="39" t="inlineStr">
        <is>
          <t>2×2×3×3×3×7×7</t>
        </is>
      </c>
      <c r="D2620" s="39" t="inlineStr">
        <is>
          <t>2·3·7</t>
        </is>
      </c>
      <c r="E2620" s="39" t="inlineStr"/>
      <c r="F2620" s="39" t="inlineStr"/>
    </row>
    <row r="2621" ht="13" customHeight="1">
      <c r="A2621" s="41" t="inlineStr">
        <is>
          <t>23561</t>
        </is>
      </c>
      <c r="B2621" s="41" t="inlineStr">
        <is>
          <t>8585</t>
        </is>
      </c>
      <c r="C2621" s="41" t="inlineStr">
        <is>
          <t>5×17×101</t>
        </is>
      </c>
      <c r="D2621" s="41" t="inlineStr">
        <is>
          <t>5·17</t>
        </is>
      </c>
      <c r="E2621" s="41" t="inlineStr"/>
      <c r="F2621" s="41" t="inlineStr"/>
    </row>
    <row r="2622" ht="13" customHeight="1">
      <c r="A2622" s="41" t="inlineStr">
        <is>
          <t>23563</t>
        </is>
      </c>
      <c r="B2622" s="41" t="inlineStr">
        <is>
          <t>12614</t>
        </is>
      </c>
      <c r="C2622" s="41" t="inlineStr">
        <is>
          <t>2×7×17×53</t>
        </is>
      </c>
      <c r="D2622" s="41" t="inlineStr">
        <is>
          <t>2·7·17</t>
        </is>
      </c>
      <c r="E2622" s="41" t="inlineStr"/>
      <c r="F2622" s="41" t="inlineStr"/>
    </row>
    <row r="2623" ht="13" customHeight="1">
      <c r="A2623" s="49" t="inlineStr">
        <is>
          <t>23567</t>
        </is>
      </c>
      <c r="B2623" s="49" t="inlineStr">
        <is>
          <t>41564</t>
        </is>
      </c>
      <c r="C2623" s="49" t="inlineStr">
        <is>
          <t>2×2×10391</t>
        </is>
      </c>
      <c r="D2623" s="49" t="inlineStr">
        <is>
          <t>2</t>
        </is>
      </c>
      <c r="E2623" s="49" t="inlineStr"/>
      <c r="F2623" s="49" t="inlineStr"/>
    </row>
    <row r="2624" ht="13" customHeight="1">
      <c r="A2624" s="45" t="inlineStr">
        <is>
          <t>23581</t>
        </is>
      </c>
      <c r="B2624" s="45" t="inlineStr">
        <is>
          <t>14228</t>
        </is>
      </c>
      <c r="C2624" s="45" t="inlineStr">
        <is>
          <t>2×2×3557</t>
        </is>
      </c>
      <c r="D2624" s="45" t="inlineStr">
        <is>
          <t>2</t>
        </is>
      </c>
      <c r="E2624" s="45" t="inlineStr"/>
      <c r="F2624" s="45" t="inlineStr"/>
    </row>
    <row r="2625" ht="13" customHeight="1">
      <c r="A2625" s="49" t="inlineStr">
        <is>
          <t>23593</t>
        </is>
      </c>
      <c r="B2625" s="49" t="inlineStr">
        <is>
          <t>9609</t>
        </is>
      </c>
      <c r="C2625" s="49" t="inlineStr">
        <is>
          <t>3×3203</t>
        </is>
      </c>
      <c r="D2625" s="49" t="inlineStr">
        <is>
          <t>3</t>
        </is>
      </c>
      <c r="E2625" s="49" t="inlineStr"/>
      <c r="F2625" s="49" t="inlineStr"/>
    </row>
    <row r="2626" ht="13" customHeight="1">
      <c r="A2626" s="45" t="inlineStr">
        <is>
          <t>23599</t>
        </is>
      </c>
      <c r="B2626" s="45" t="inlineStr">
        <is>
          <t>38840</t>
        </is>
      </c>
      <c r="C2626" s="45" t="inlineStr">
        <is>
          <t>2×2×2×5×971</t>
        </is>
      </c>
      <c r="D2626" s="45" t="inlineStr">
        <is>
          <t>2·5</t>
        </is>
      </c>
      <c r="E2626" s="45" t="inlineStr"/>
      <c r="F2626" s="45" t="inlineStr"/>
    </row>
    <row r="2627" ht="13" customHeight="1">
      <c r="A2627" s="49" t="inlineStr">
        <is>
          <t>23603</t>
        </is>
      </c>
      <c r="B2627" s="49" t="inlineStr">
        <is>
          <t>2391</t>
        </is>
      </c>
      <c r="C2627" s="49" t="inlineStr">
        <is>
          <t>3×797</t>
        </is>
      </c>
      <c r="D2627" s="49" t="inlineStr">
        <is>
          <t>3</t>
        </is>
      </c>
      <c r="E2627" s="49" t="inlineStr"/>
      <c r="F2627" s="49" t="inlineStr"/>
    </row>
    <row r="2628" ht="13" customHeight="1">
      <c r="A2628" s="45" t="inlineStr">
        <is>
          <t>23609</t>
        </is>
      </c>
      <c r="B2628" s="45" t="inlineStr">
        <is>
          <t>37935</t>
        </is>
      </c>
      <c r="C2628" s="45" t="inlineStr">
        <is>
          <t>3×3×3×5×281</t>
        </is>
      </c>
      <c r="D2628" s="45" t="inlineStr">
        <is>
          <t>3·5</t>
        </is>
      </c>
      <c r="E2628" s="45" t="inlineStr"/>
      <c r="F2628" s="45" t="inlineStr"/>
    </row>
    <row r="2629" ht="13" customHeight="1">
      <c r="A2629" s="43" t="inlineStr">
        <is>
          <t>23623</t>
        </is>
      </c>
      <c r="B2629" s="43" t="inlineStr">
        <is>
          <t>10461</t>
        </is>
      </c>
      <c r="C2629" s="43" t="inlineStr">
        <is>
          <t>3×11×317</t>
        </is>
      </c>
      <c r="D2629" s="43" t="inlineStr">
        <is>
          <t>3·11</t>
        </is>
      </c>
      <c r="E2629" s="43" t="inlineStr"/>
      <c r="F2629" s="43" t="inlineStr"/>
    </row>
    <row r="2630" ht="13" customHeight="1">
      <c r="A2630" s="41" t="inlineStr">
        <is>
          <t>23627</t>
        </is>
      </c>
      <c r="B2630" s="41" t="inlineStr">
        <is>
          <t>26013</t>
        </is>
      </c>
      <c r="C2630" s="41" t="inlineStr">
        <is>
          <t>3×13×23×29</t>
        </is>
      </c>
      <c r="D2630" s="41" t="inlineStr">
        <is>
          <t>3·13</t>
        </is>
      </c>
      <c r="E2630" s="41" t="inlineStr"/>
      <c r="F2630" s="41" t="inlineStr"/>
    </row>
    <row r="2631" ht="13" customHeight="1">
      <c r="A2631" s="49" t="inlineStr">
        <is>
          <t>23629</t>
        </is>
      </c>
      <c r="B2631" s="49" t="inlineStr">
        <is>
          <t>43666</t>
        </is>
      </c>
      <c r="C2631" s="49" t="inlineStr">
        <is>
          <t>2×7×3119</t>
        </is>
      </c>
      <c r="D2631" s="49" t="inlineStr">
        <is>
          <t>2·7</t>
        </is>
      </c>
      <c r="E2631" s="49" t="inlineStr"/>
      <c r="F2631" s="49" t="inlineStr"/>
    </row>
    <row r="2632" ht="13" customHeight="1">
      <c r="A2632" s="41" t="inlineStr">
        <is>
          <t>23633</t>
        </is>
      </c>
      <c r="B2632" s="41" t="inlineStr">
        <is>
          <t>4602</t>
        </is>
      </c>
      <c r="C2632" s="41" t="inlineStr">
        <is>
          <t>2×3×13×59</t>
        </is>
      </c>
      <c r="D2632" s="41" t="inlineStr">
        <is>
          <t>2·3·13</t>
        </is>
      </c>
      <c r="E2632" s="41" t="inlineStr"/>
      <c r="F2632" s="41" t="inlineStr"/>
    </row>
    <row r="2633" ht="13" customHeight="1">
      <c r="A2633" s="49" t="inlineStr">
        <is>
          <t>23663</t>
        </is>
      </c>
      <c r="B2633" s="49" t="inlineStr">
        <is>
          <t>36185</t>
        </is>
      </c>
      <c r="C2633" s="49" t="inlineStr">
        <is>
          <t>5×7237</t>
        </is>
      </c>
      <c r="D2633" s="49" t="inlineStr">
        <is>
          <t>5</t>
        </is>
      </c>
      <c r="E2633" s="49" t="inlineStr"/>
      <c r="F2633" s="49" t="inlineStr"/>
    </row>
    <row r="2634" ht="13" customHeight="1">
      <c r="A2634" s="45" t="inlineStr">
        <is>
          <t>23669</t>
        </is>
      </c>
      <c r="B2634" s="45" t="inlineStr">
        <is>
          <t>2768</t>
        </is>
      </c>
      <c r="C2634" s="45" t="inlineStr">
        <is>
          <t>2×2×2×2×173</t>
        </is>
      </c>
      <c r="D2634" s="45" t="inlineStr">
        <is>
          <t>2</t>
        </is>
      </c>
      <c r="E2634" s="45" t="inlineStr"/>
      <c r="F2634" s="45" t="inlineStr"/>
    </row>
    <row r="2635" ht="13" customHeight="1">
      <c r="A2635" s="49" t="inlineStr">
        <is>
          <t>23671</t>
        </is>
      </c>
      <c r="B2635" s="49" t="inlineStr">
        <is>
          <t>7472</t>
        </is>
      </c>
      <c r="C2635" s="49" t="inlineStr">
        <is>
          <t>2×2×2×2×467</t>
        </is>
      </c>
      <c r="D2635" s="49" t="inlineStr">
        <is>
          <t>2</t>
        </is>
      </c>
      <c r="E2635" s="49" t="inlineStr"/>
      <c r="F2635" s="49" t="inlineStr"/>
    </row>
    <row r="2636" ht="13" customHeight="1">
      <c r="A2636" s="41" t="inlineStr">
        <is>
          <t>23677</t>
        </is>
      </c>
      <c r="B2636" s="41" t="inlineStr">
        <is>
          <t>43173</t>
        </is>
      </c>
      <c r="C2636" s="41" t="inlineStr">
        <is>
          <t>3×3×3×3×13×41</t>
        </is>
      </c>
      <c r="D2636" s="41" t="inlineStr">
        <is>
          <t>3·13</t>
        </is>
      </c>
      <c r="E2636" s="41" t="inlineStr"/>
      <c r="F2636" s="41" t="inlineStr"/>
    </row>
    <row r="2637" ht="13" customHeight="1">
      <c r="A2637" s="41" t="inlineStr">
        <is>
          <t>23687</t>
        </is>
      </c>
      <c r="B2637" s="41" t="inlineStr">
        <is>
          <t>9010</t>
        </is>
      </c>
      <c r="C2637" s="41" t="inlineStr">
        <is>
          <t>2×5×17×53</t>
        </is>
      </c>
      <c r="D2637" s="41" t="inlineStr">
        <is>
          <t>2·5·17</t>
        </is>
      </c>
      <c r="E2637" s="41" t="inlineStr"/>
      <c r="F2637" s="41" t="inlineStr"/>
    </row>
    <row r="2638" ht="13" customHeight="1">
      <c r="A2638" s="45" t="inlineStr">
        <is>
          <t>23689</t>
        </is>
      </c>
      <c r="B2638" s="45" t="inlineStr">
        <is>
          <t>40802</t>
        </is>
      </c>
      <c r="C2638" s="45" t="inlineStr">
        <is>
          <t>2×23×887</t>
        </is>
      </c>
      <c r="D2638" s="45" t="inlineStr">
        <is>
          <t>2</t>
        </is>
      </c>
      <c r="E2638" s="45" t="inlineStr"/>
      <c r="F2638" s="45" t="inlineStr"/>
    </row>
    <row r="2639" ht="13" customHeight="1">
      <c r="A2639" s="49" t="inlineStr">
        <is>
          <t>23719</t>
        </is>
      </c>
      <c r="B2639" s="49" t="inlineStr">
        <is>
          <t>4418</t>
        </is>
      </c>
      <c r="C2639" s="49" t="inlineStr">
        <is>
          <t>2×47×47</t>
        </is>
      </c>
      <c r="D2639" s="49" t="inlineStr">
        <is>
          <t>2</t>
        </is>
      </c>
      <c r="E2639" s="49" t="inlineStr"/>
      <c r="F2639" s="49" t="inlineStr"/>
    </row>
    <row r="2640" ht="13" customHeight="1">
      <c r="A2640" s="39" t="inlineStr">
        <is>
          <t>23741</t>
        </is>
      </c>
      <c r="B2640" s="39" t="inlineStr">
        <is>
          <t>2688</t>
        </is>
      </c>
      <c r="C2640" s="39" t="inlineStr">
        <is>
          <t>2×2×2×2×2×2×2×3×7</t>
        </is>
      </c>
      <c r="D2640" s="39" t="inlineStr">
        <is>
          <t>2·3·7</t>
        </is>
      </c>
      <c r="E2640" s="39" t="inlineStr"/>
      <c r="F2640" s="39" t="inlineStr"/>
    </row>
    <row r="2641" ht="13" customHeight="1">
      <c r="A2641" s="49" t="inlineStr">
        <is>
          <t>23743</t>
        </is>
      </c>
      <c r="B2641" s="49" t="inlineStr">
        <is>
          <t>1106</t>
        </is>
      </c>
      <c r="C2641" s="49" t="inlineStr">
        <is>
          <t>2×7×79</t>
        </is>
      </c>
      <c r="D2641" s="49" t="inlineStr">
        <is>
          <t>2·7</t>
        </is>
      </c>
      <c r="E2641" s="49" t="inlineStr"/>
      <c r="F2641" s="49" t="inlineStr"/>
    </row>
    <row r="2642" ht="13" customHeight="1">
      <c r="A2642" s="41" t="inlineStr">
        <is>
          <t>23747</t>
        </is>
      </c>
      <c r="B2642" s="41" t="inlineStr">
        <is>
          <t>2899</t>
        </is>
      </c>
      <c r="C2642" s="41" t="inlineStr">
        <is>
          <t>13×223</t>
        </is>
      </c>
      <c r="D2642" s="41" t="inlineStr">
        <is>
          <t>13</t>
        </is>
      </c>
      <c r="E2642" s="41" t="inlineStr"/>
      <c r="F2642" s="41" t="inlineStr"/>
    </row>
    <row r="2643" ht="13" customHeight="1">
      <c r="A2643" s="41" t="inlineStr">
        <is>
          <t>23753</t>
        </is>
      </c>
      <c r="B2643" s="41" t="inlineStr">
        <is>
          <t>31252</t>
        </is>
      </c>
      <c r="C2643" s="41" t="inlineStr">
        <is>
          <t>2×2×13×601</t>
        </is>
      </c>
      <c r="D2643" s="41" t="inlineStr">
        <is>
          <t>2·13</t>
        </is>
      </c>
      <c r="E2643" s="41" t="inlineStr"/>
      <c r="F2643" s="41" t="inlineStr"/>
    </row>
    <row r="2644" ht="13" customHeight="1">
      <c r="A2644" s="45" t="inlineStr">
        <is>
          <t>23761</t>
        </is>
      </c>
      <c r="B2644" s="45" t="inlineStr">
        <is>
          <t>7597</t>
        </is>
      </c>
      <c r="C2644" s="45" t="inlineStr">
        <is>
          <t>71×107</t>
        </is>
      </c>
      <c r="D2644" s="45" t="inlineStr">
        <is>
          <t>—</t>
        </is>
      </c>
      <c r="E2644" s="45" t="inlineStr"/>
      <c r="F2644" s="45" t="inlineStr"/>
    </row>
    <row r="2645" ht="13" customHeight="1">
      <c r="A2645" s="49" t="inlineStr">
        <is>
          <t>23767</t>
        </is>
      </c>
      <c r="B2645" s="49" t="inlineStr">
        <is>
          <t>17756</t>
        </is>
      </c>
      <c r="C2645" s="49" t="inlineStr">
        <is>
          <t>2×2×23×193</t>
        </is>
      </c>
      <c r="D2645" s="49" t="inlineStr">
        <is>
          <t>2</t>
        </is>
      </c>
      <c r="E2645" s="49" t="inlineStr"/>
      <c r="F2645" s="49" t="inlineStr"/>
    </row>
    <row r="2646" ht="13" customHeight="1">
      <c r="A2646" s="41" t="inlineStr">
        <is>
          <t>23773</t>
        </is>
      </c>
      <c r="B2646" s="41" t="inlineStr">
        <is>
          <t>18863</t>
        </is>
      </c>
      <c r="C2646" s="41" t="inlineStr">
        <is>
          <t>13×1451</t>
        </is>
      </c>
      <c r="D2646" s="41" t="inlineStr">
        <is>
          <t>13</t>
        </is>
      </c>
      <c r="E2646" s="41" t="inlineStr"/>
      <c r="F2646" s="41" t="inlineStr"/>
    </row>
    <row r="2647" ht="13" customHeight="1">
      <c r="A2647" s="49" t="inlineStr">
        <is>
          <t>23789</t>
        </is>
      </c>
      <c r="B2647" s="49" t="inlineStr">
        <is>
          <t>12745</t>
        </is>
      </c>
      <c r="C2647" s="49" t="inlineStr">
        <is>
          <t>5×2549</t>
        </is>
      </c>
      <c r="D2647" s="49" t="inlineStr">
        <is>
          <t>5</t>
        </is>
      </c>
      <c r="E2647" s="49" t="inlineStr"/>
      <c r="F2647" s="49" t="inlineStr"/>
    </row>
    <row r="2648" ht="13" customHeight="1">
      <c r="A2648" s="45" t="inlineStr">
        <is>
          <t>23801</t>
        </is>
      </c>
      <c r="B2648" s="45" t="inlineStr">
        <is>
          <t>4016</t>
        </is>
      </c>
      <c r="C2648" s="45" t="inlineStr">
        <is>
          <t>2×2×2×2×251</t>
        </is>
      </c>
      <c r="D2648" s="45" t="inlineStr">
        <is>
          <t>2</t>
        </is>
      </c>
      <c r="E2648" s="45" t="inlineStr"/>
      <c r="F2648" s="45" t="inlineStr"/>
    </row>
    <row r="2649" ht="13" customHeight="1">
      <c r="A2649" s="49" t="inlineStr">
        <is>
          <t>23813</t>
        </is>
      </c>
      <c r="B2649" s="49" t="inlineStr">
        <is>
          <t>27349</t>
        </is>
      </c>
      <c r="C2649" s="49" t="inlineStr">
        <is>
          <t>7×3907</t>
        </is>
      </c>
      <c r="D2649" s="49" t="inlineStr">
        <is>
          <t>7</t>
        </is>
      </c>
      <c r="E2649" s="49" t="inlineStr"/>
      <c r="F2649" s="49" t="inlineStr"/>
    </row>
    <row r="2650" ht="13" customHeight="1">
      <c r="A2650" s="45" t="inlineStr">
        <is>
          <t>23819</t>
        </is>
      </c>
      <c r="B2650" s="45" t="inlineStr">
        <is>
          <t>26313</t>
        </is>
      </c>
      <c r="C2650" s="45" t="inlineStr">
        <is>
          <t>3×7×7×179</t>
        </is>
      </c>
      <c r="D2650" s="45" t="inlineStr">
        <is>
          <t>3·7</t>
        </is>
      </c>
      <c r="E2650" s="45" t="inlineStr"/>
      <c r="F2650" s="45" t="inlineStr"/>
    </row>
    <row r="2651" ht="13" customHeight="1">
      <c r="A2651" s="49" t="inlineStr">
        <is>
          <t>23827</t>
        </is>
      </c>
      <c r="B2651" s="49" t="inlineStr">
        <is>
          <t>18441</t>
        </is>
      </c>
      <c r="C2651" s="49" t="inlineStr">
        <is>
          <t>3×3×3×683</t>
        </is>
      </c>
      <c r="D2651" s="49" t="inlineStr">
        <is>
          <t>3</t>
        </is>
      </c>
      <c r="E2651" s="49" t="inlineStr"/>
      <c r="F2651" s="49" t="inlineStr"/>
    </row>
    <row r="2652" ht="13" customHeight="1">
      <c r="A2652" s="45" t="inlineStr">
        <is>
          <t>23831</t>
        </is>
      </c>
      <c r="B2652" s="45" t="inlineStr">
        <is>
          <t>23380</t>
        </is>
      </c>
      <c r="C2652" s="45" t="inlineStr">
        <is>
          <t>2×2×5×7×167</t>
        </is>
      </c>
      <c r="D2652" s="45" t="inlineStr">
        <is>
          <t>2·5·7</t>
        </is>
      </c>
      <c r="E2652" s="45" t="inlineStr"/>
      <c r="F2652" s="45" t="inlineStr"/>
    </row>
    <row r="2653" ht="13" customHeight="1">
      <c r="A2653" s="50" t="inlineStr">
        <is>
          <t>23833</t>
        </is>
      </c>
      <c r="B2653" s="50" t="inlineStr">
        <is>
          <t>1741</t>
        </is>
      </c>
      <c r="C2653" s="50" t="inlineStr">
        <is>
          <t>1741</t>
        </is>
      </c>
      <c r="D2653" s="50" t="inlineStr">
        <is>
          <t>—</t>
        </is>
      </c>
      <c r="E2653" s="50" t="inlineStr"/>
      <c r="F2653" s="50" t="inlineStr"/>
    </row>
    <row r="2654" ht="13" customHeight="1">
      <c r="A2654" s="51" t="inlineStr">
        <is>
          <t>23857</t>
        </is>
      </c>
      <c r="B2654" s="51" t="inlineStr">
        <is>
          <t>17480</t>
        </is>
      </c>
      <c r="C2654" s="51" t="inlineStr">
        <is>
          <t>2×2×2×5×19×23</t>
        </is>
      </c>
      <c r="D2654" s="51" t="inlineStr">
        <is>
          <t>2·5·19</t>
        </is>
      </c>
      <c r="E2654" s="51" t="inlineStr"/>
      <c r="F2654" s="51" t="inlineStr"/>
    </row>
    <row r="2655" ht="13" customHeight="1">
      <c r="A2655" s="51" t="inlineStr">
        <is>
          <t>23869</t>
        </is>
      </c>
      <c r="B2655" s="51" t="inlineStr">
        <is>
          <t>4921</t>
        </is>
      </c>
      <c r="C2655" s="51" t="inlineStr">
        <is>
          <t>7×19×37</t>
        </is>
      </c>
      <c r="D2655" s="51" t="inlineStr">
        <is>
          <t>7·19</t>
        </is>
      </c>
      <c r="E2655" s="51" t="inlineStr"/>
      <c r="F2655" s="51" t="inlineStr"/>
    </row>
    <row r="2656" ht="13" customHeight="1">
      <c r="A2656" s="50" t="inlineStr">
        <is>
          <t>23873</t>
        </is>
      </c>
      <c r="B2656" s="50" t="inlineStr">
        <is>
          <t>41579</t>
        </is>
      </c>
      <c r="C2656" s="50" t="inlineStr">
        <is>
          <t>41579</t>
        </is>
      </c>
      <c r="D2656" s="50" t="inlineStr">
        <is>
          <t>—</t>
        </is>
      </c>
      <c r="E2656" s="50" t="inlineStr"/>
      <c r="F2656" s="50" t="inlineStr"/>
    </row>
    <row r="2657" ht="13" customHeight="1">
      <c r="A2657" s="49" t="inlineStr">
        <is>
          <t>23879</t>
        </is>
      </c>
      <c r="B2657" s="49" t="inlineStr">
        <is>
          <t>26453</t>
        </is>
      </c>
      <c r="C2657" s="49" t="inlineStr">
        <is>
          <t>7×3779</t>
        </is>
      </c>
      <c r="D2657" s="49" t="inlineStr">
        <is>
          <t>7</t>
        </is>
      </c>
      <c r="E2657" s="49" t="inlineStr"/>
      <c r="F2657" s="49" t="inlineStr"/>
    </row>
    <row r="2658" ht="13" customHeight="1">
      <c r="A2658" s="50" t="inlineStr">
        <is>
          <t>23887</t>
        </is>
      </c>
      <c r="B2658" s="50" t="inlineStr">
        <is>
          <t>5347</t>
        </is>
      </c>
      <c r="C2658" s="50" t="inlineStr">
        <is>
          <t>5347</t>
        </is>
      </c>
      <c r="D2658" s="50" t="inlineStr">
        <is>
          <t>—</t>
        </is>
      </c>
      <c r="E2658" s="50" t="inlineStr"/>
      <c r="F2658" s="50" t="inlineStr"/>
    </row>
    <row r="2659" ht="13" customHeight="1">
      <c r="A2659" s="49" t="inlineStr">
        <is>
          <t>23893</t>
        </is>
      </c>
      <c r="B2659" s="49" t="inlineStr">
        <is>
          <t>17978</t>
        </is>
      </c>
      <c r="C2659" s="49" t="inlineStr">
        <is>
          <t>2×89×101</t>
        </is>
      </c>
      <c r="D2659" s="49" t="inlineStr">
        <is>
          <t>2</t>
        </is>
      </c>
      <c r="E2659" s="49" t="inlineStr"/>
      <c r="F2659" s="49" t="inlineStr"/>
    </row>
    <row r="2660" ht="13" customHeight="1">
      <c r="A2660" s="45" t="inlineStr">
        <is>
          <t>23899</t>
        </is>
      </c>
      <c r="B2660" s="45" t="inlineStr">
        <is>
          <t>41832</t>
        </is>
      </c>
      <c r="C2660" s="45" t="inlineStr">
        <is>
          <t>2×2×2×3×3×7×83</t>
        </is>
      </c>
      <c r="D2660" s="45" t="inlineStr">
        <is>
          <t>2·3·7</t>
        </is>
      </c>
      <c r="E2660" s="45" t="inlineStr"/>
      <c r="F2660" s="45" t="inlineStr"/>
    </row>
    <row r="2661" ht="13" customHeight="1">
      <c r="A2661" s="49" t="inlineStr">
        <is>
          <t>23909</t>
        </is>
      </c>
      <c r="B2661" s="49" t="inlineStr">
        <is>
          <t>6077</t>
        </is>
      </c>
      <c r="C2661" s="49" t="inlineStr">
        <is>
          <t>59×103</t>
        </is>
      </c>
      <c r="D2661" s="49" t="inlineStr">
        <is>
          <t>—</t>
        </is>
      </c>
      <c r="E2661" s="49" t="inlineStr"/>
      <c r="F2661" s="49" t="inlineStr"/>
    </row>
    <row r="2662" ht="13" customHeight="1">
      <c r="A2662" s="41" t="inlineStr">
        <is>
          <t>23911</t>
        </is>
      </c>
      <c r="B2662" s="41" t="inlineStr">
        <is>
          <t>37978</t>
        </is>
      </c>
      <c r="C2662" s="41" t="inlineStr">
        <is>
          <t>2×17×1117</t>
        </is>
      </c>
      <c r="D2662" s="41" t="inlineStr">
        <is>
          <t>2·17</t>
        </is>
      </c>
      <c r="E2662" s="41" t="inlineStr"/>
      <c r="F2662" s="41" t="inlineStr"/>
    </row>
    <row r="2663" ht="13" customHeight="1">
      <c r="A2663" s="50" t="inlineStr">
        <is>
          <t>23917</t>
        </is>
      </c>
      <c r="B2663" s="50" t="inlineStr">
        <is>
          <t>11777</t>
        </is>
      </c>
      <c r="C2663" s="50" t="inlineStr">
        <is>
          <t>11777</t>
        </is>
      </c>
      <c r="D2663" s="50" t="inlineStr">
        <is>
          <t>—</t>
        </is>
      </c>
      <c r="E2663" s="50" t="inlineStr"/>
      <c r="F2663" s="50" t="inlineStr"/>
    </row>
    <row r="2664" ht="13" customHeight="1">
      <c r="A2664" s="41" t="inlineStr">
        <is>
          <t>23929</t>
        </is>
      </c>
      <c r="B2664" s="41" t="inlineStr">
        <is>
          <t>35071</t>
        </is>
      </c>
      <c r="C2664" s="41" t="inlineStr">
        <is>
          <t>17×2063</t>
        </is>
      </c>
      <c r="D2664" s="41" t="inlineStr">
        <is>
          <t>17</t>
        </is>
      </c>
      <c r="E2664" s="41" t="inlineStr"/>
      <c r="F2664" s="41" t="inlineStr"/>
    </row>
    <row r="2665" ht="13" customHeight="1">
      <c r="A2665" s="49" t="inlineStr">
        <is>
          <t>23957</t>
        </is>
      </c>
      <c r="B2665" s="49" t="inlineStr">
        <is>
          <t>26602</t>
        </is>
      </c>
      <c r="C2665" s="49" t="inlineStr">
        <is>
          <t>2×47×283</t>
        </is>
      </c>
      <c r="D2665" s="49" t="inlineStr">
        <is>
          <t>2</t>
        </is>
      </c>
      <c r="E2665" s="49" t="inlineStr"/>
      <c r="F2665" s="49" t="inlineStr"/>
    </row>
    <row r="2666" ht="13" customHeight="1">
      <c r="A2666" s="45" t="inlineStr">
        <is>
          <t>23971</t>
        </is>
      </c>
      <c r="B2666" s="45" t="inlineStr">
        <is>
          <t>31158</t>
        </is>
      </c>
      <c r="C2666" s="45" t="inlineStr">
        <is>
          <t>2×3×3×3×577</t>
        </is>
      </c>
      <c r="D2666" s="45" t="inlineStr">
        <is>
          <t>2·3</t>
        </is>
      </c>
      <c r="E2666" s="45" t="inlineStr"/>
      <c r="F2666" s="45" t="inlineStr"/>
    </row>
    <row r="2667" ht="13" customHeight="1">
      <c r="A2667" s="49" t="inlineStr">
        <is>
          <t>23977</t>
        </is>
      </c>
      <c r="B2667" s="49" t="inlineStr">
        <is>
          <t>17738</t>
        </is>
      </c>
      <c r="C2667" s="49" t="inlineStr">
        <is>
          <t>2×7×7×181</t>
        </is>
      </c>
      <c r="D2667" s="49" t="inlineStr">
        <is>
          <t>2·7</t>
        </is>
      </c>
      <c r="E2667" s="49" t="inlineStr"/>
      <c r="F2667" s="49" t="inlineStr"/>
    </row>
    <row r="2668" ht="13" customHeight="1">
      <c r="A2668" s="51" t="inlineStr">
        <is>
          <t>23981</t>
        </is>
      </c>
      <c r="B2668" s="51" t="inlineStr">
        <is>
          <t>9842</t>
        </is>
      </c>
      <c r="C2668" s="51" t="inlineStr">
        <is>
          <t>2×7×19×37</t>
        </is>
      </c>
      <c r="D2668" s="51" t="inlineStr">
        <is>
          <t>2·7·19</t>
        </is>
      </c>
      <c r="E2668" s="51" t="inlineStr"/>
      <c r="F2668" s="51" t="inlineStr"/>
    </row>
    <row r="2669" ht="13" customHeight="1">
      <c r="A2669" s="43" t="inlineStr">
        <is>
          <t>23993</t>
        </is>
      </c>
      <c r="B2669" s="43" t="inlineStr">
        <is>
          <t>12254</t>
        </is>
      </c>
      <c r="C2669" s="43" t="inlineStr">
        <is>
          <t>2×11×557</t>
        </is>
      </c>
      <c r="D2669" s="43" t="inlineStr">
        <is>
          <t>2·11</t>
        </is>
      </c>
      <c r="E2669" s="43" t="inlineStr"/>
      <c r="F2669" s="43" t="inlineStr"/>
    </row>
    <row r="2670" ht="13" customHeight="1">
      <c r="A2670" s="43" t="inlineStr">
        <is>
          <t>24001</t>
        </is>
      </c>
      <c r="B2670" s="43" t="inlineStr">
        <is>
          <t>43417</t>
        </is>
      </c>
      <c r="C2670" s="43" t="inlineStr">
        <is>
          <t>11×3947</t>
        </is>
      </c>
      <c r="D2670" s="43" t="inlineStr">
        <is>
          <t>11</t>
        </is>
      </c>
      <c r="E2670" s="43" t="inlineStr"/>
      <c r="F2670" s="43" t="inlineStr"/>
    </row>
    <row r="2671" ht="13" customHeight="1">
      <c r="A2671" s="41" t="inlineStr">
        <is>
          <t>24007</t>
        </is>
      </c>
      <c r="B2671" s="41" t="inlineStr">
        <is>
          <t>6279</t>
        </is>
      </c>
      <c r="C2671" s="41" t="inlineStr">
        <is>
          <t>3×7×13×23</t>
        </is>
      </c>
      <c r="D2671" s="41" t="inlineStr">
        <is>
          <t>3·7·13</t>
        </is>
      </c>
      <c r="E2671" s="41" t="inlineStr"/>
      <c r="F2671" s="41" t="inlineStr"/>
    </row>
    <row r="2672" ht="13" customHeight="1">
      <c r="A2672" s="50" t="inlineStr">
        <is>
          <t>24019</t>
        </is>
      </c>
      <c r="B2672" s="50" t="inlineStr">
        <is>
          <t>28751</t>
        </is>
      </c>
      <c r="C2672" s="50" t="inlineStr">
        <is>
          <t>28751</t>
        </is>
      </c>
      <c r="D2672" s="50" t="inlineStr">
        <is>
          <t>—</t>
        </is>
      </c>
      <c r="E2672" s="50" t="inlineStr"/>
      <c r="F2672" s="50" t="inlineStr"/>
    </row>
    <row r="2673" ht="13" customHeight="1">
      <c r="A2673" s="50" t="inlineStr">
        <is>
          <t>24023</t>
        </is>
      </c>
      <c r="B2673" s="50" t="inlineStr">
        <is>
          <t>28081</t>
        </is>
      </c>
      <c r="C2673" s="50" t="inlineStr">
        <is>
          <t>28081</t>
        </is>
      </c>
      <c r="D2673" s="50" t="inlineStr">
        <is>
          <t>—</t>
        </is>
      </c>
      <c r="E2673" s="50" t="inlineStr"/>
      <c r="F2673" s="50" t="inlineStr"/>
    </row>
    <row r="2674" ht="13" customHeight="1">
      <c r="A2674" s="45" t="inlineStr">
        <is>
          <t>24029</t>
        </is>
      </c>
      <c r="B2674" s="45" t="inlineStr">
        <is>
          <t>24235</t>
        </is>
      </c>
      <c r="C2674" s="45" t="inlineStr">
        <is>
          <t>5×37×131</t>
        </is>
      </c>
      <c r="D2674" s="45" t="inlineStr">
        <is>
          <t>5</t>
        </is>
      </c>
      <c r="E2674" s="45" t="inlineStr"/>
      <c r="F2674" s="45" t="inlineStr"/>
    </row>
    <row r="2675" ht="13" customHeight="1">
      <c r="A2675" s="49" t="inlineStr">
        <is>
          <t>24043</t>
        </is>
      </c>
      <c r="B2675" s="49" t="inlineStr">
        <is>
          <t>37539</t>
        </is>
      </c>
      <c r="C2675" s="49" t="inlineStr">
        <is>
          <t>3×3×43×97</t>
        </is>
      </c>
      <c r="D2675" s="49" t="inlineStr">
        <is>
          <t>3</t>
        </is>
      </c>
      <c r="E2675" s="49" t="inlineStr"/>
      <c r="F2675" s="49" t="inlineStr"/>
    </row>
    <row r="2676" ht="13" customHeight="1">
      <c r="A2676" s="45" t="inlineStr">
        <is>
          <t>24049</t>
        </is>
      </c>
      <c r="B2676" s="45" t="inlineStr">
        <is>
          <t>35976</t>
        </is>
      </c>
      <c r="C2676" s="45" t="inlineStr">
        <is>
          <t>2×2×2×3×1499</t>
        </is>
      </c>
      <c r="D2676" s="45" t="inlineStr">
        <is>
          <t>2·3</t>
        </is>
      </c>
      <c r="E2676" s="45" t="inlineStr"/>
      <c r="F2676" s="45" t="inlineStr"/>
    </row>
    <row r="2677" ht="13" customHeight="1">
      <c r="A2677" s="49" t="inlineStr">
        <is>
          <t>24061</t>
        </is>
      </c>
      <c r="B2677" s="49" t="inlineStr">
        <is>
          <t>6891</t>
        </is>
      </c>
      <c r="C2677" s="49" t="inlineStr">
        <is>
          <t>3×2297</t>
        </is>
      </c>
      <c r="D2677" s="49" t="inlineStr">
        <is>
          <t>3</t>
        </is>
      </c>
      <c r="E2677" s="49" t="inlineStr"/>
      <c r="F2677" s="49" t="inlineStr"/>
    </row>
    <row r="2678" ht="13" customHeight="1">
      <c r="A2678" s="45" t="inlineStr">
        <is>
          <t>24071</t>
        </is>
      </c>
      <c r="B2678" s="45" t="inlineStr">
        <is>
          <t>27894</t>
        </is>
      </c>
      <c r="C2678" s="45" t="inlineStr">
        <is>
          <t>2×3×4649</t>
        </is>
      </c>
      <c r="D2678" s="45" t="inlineStr">
        <is>
          <t>2·3</t>
        </is>
      </c>
      <c r="E2678" s="45" t="inlineStr"/>
      <c r="F2678" s="45" t="inlineStr"/>
    </row>
    <row r="2679" ht="13" customHeight="1">
      <c r="A2679" s="49" t="inlineStr">
        <is>
          <t>24077</t>
        </is>
      </c>
      <c r="B2679" s="49" t="inlineStr">
        <is>
          <t>17335</t>
        </is>
      </c>
      <c r="C2679" s="49" t="inlineStr">
        <is>
          <t>5×3467</t>
        </is>
      </c>
      <c r="D2679" s="49" t="inlineStr">
        <is>
          <t>5</t>
        </is>
      </c>
      <c r="E2679" s="49" t="inlineStr"/>
      <c r="F2679" s="49" t="inlineStr"/>
    </row>
    <row r="2680" ht="13" customHeight="1">
      <c r="A2680" s="43" t="inlineStr">
        <is>
          <t>24083</t>
        </is>
      </c>
      <c r="B2680" s="43" t="inlineStr">
        <is>
          <t>19052</t>
        </is>
      </c>
      <c r="C2680" s="43" t="inlineStr">
        <is>
          <t>2×2×11×433</t>
        </is>
      </c>
      <c r="D2680" s="43" t="inlineStr">
        <is>
          <t>2·11</t>
        </is>
      </c>
      <c r="E2680" s="43" t="inlineStr"/>
      <c r="F2680" s="43" t="inlineStr"/>
    </row>
    <row r="2681" ht="13" customHeight="1">
      <c r="A2681" s="49" t="inlineStr">
        <is>
          <t>24091</t>
        </is>
      </c>
      <c r="B2681" s="49" t="inlineStr">
        <is>
          <t>11569</t>
        </is>
      </c>
      <c r="C2681" s="49" t="inlineStr">
        <is>
          <t>23×503</t>
        </is>
      </c>
      <c r="D2681" s="49" t="inlineStr">
        <is>
          <t>—</t>
        </is>
      </c>
      <c r="E2681" s="49" t="inlineStr"/>
      <c r="F2681" s="49" t="inlineStr"/>
    </row>
    <row r="2682" ht="13" customHeight="1">
      <c r="A2682" s="45" t="inlineStr">
        <is>
          <t>24097</t>
        </is>
      </c>
      <c r="B2682" s="45" t="inlineStr">
        <is>
          <t>38745</t>
        </is>
      </c>
      <c r="C2682" s="45" t="inlineStr">
        <is>
          <t>3×3×3×5×7×41</t>
        </is>
      </c>
      <c r="D2682" s="45" t="inlineStr">
        <is>
          <t>3·5·7</t>
        </is>
      </c>
      <c r="E2682" s="45" t="inlineStr"/>
      <c r="F2682" s="45" t="inlineStr"/>
    </row>
    <row r="2683" ht="13" customHeight="1">
      <c r="A2683" s="49" t="inlineStr">
        <is>
          <t>24103</t>
        </is>
      </c>
      <c r="B2683" s="49" t="inlineStr">
        <is>
          <t>41335</t>
        </is>
      </c>
      <c r="C2683" s="49" t="inlineStr">
        <is>
          <t>5×7×1181</t>
        </is>
      </c>
      <c r="D2683" s="49" t="inlineStr">
        <is>
          <t>5·7</t>
        </is>
      </c>
      <c r="E2683" s="49" t="inlineStr"/>
      <c r="F2683" s="49" t="inlineStr"/>
    </row>
    <row r="2684" ht="13" customHeight="1">
      <c r="A2684" s="50" t="inlineStr">
        <is>
          <t>24107</t>
        </is>
      </c>
      <c r="B2684" s="50" t="inlineStr">
        <is>
          <t>34679</t>
        </is>
      </c>
      <c r="C2684" s="50" t="inlineStr">
        <is>
          <t>34679</t>
        </is>
      </c>
      <c r="D2684" s="50" t="inlineStr">
        <is>
          <t>—</t>
        </is>
      </c>
      <c r="E2684" s="50" t="inlineStr"/>
      <c r="F2684" s="50" t="inlineStr"/>
    </row>
    <row r="2685" ht="13" customHeight="1">
      <c r="A2685" s="49" t="inlineStr">
        <is>
          <t>24109</t>
        </is>
      </c>
      <c r="B2685" s="49" t="inlineStr">
        <is>
          <t>1148</t>
        </is>
      </c>
      <c r="C2685" s="49" t="inlineStr">
        <is>
          <t>2×2×7×41</t>
        </is>
      </c>
      <c r="D2685" s="49" t="inlineStr">
        <is>
          <t>2·7</t>
        </is>
      </c>
      <c r="E2685" s="49" t="inlineStr"/>
      <c r="F2685" s="49" t="inlineStr"/>
    </row>
    <row r="2686" ht="13" customHeight="1">
      <c r="A2686" s="45" t="inlineStr">
        <is>
          <t>24113</t>
        </is>
      </c>
      <c r="B2686" s="45" t="inlineStr">
        <is>
          <t>5462</t>
        </is>
      </c>
      <c r="C2686" s="45" t="inlineStr">
        <is>
          <t>2×2731</t>
        </is>
      </c>
      <c r="D2686" s="45" t="inlineStr">
        <is>
          <t>2</t>
        </is>
      </c>
      <c r="E2686" s="45" t="inlineStr"/>
      <c r="F2686" s="45" t="inlineStr"/>
    </row>
    <row r="2687" ht="13" customHeight="1">
      <c r="A2687" s="51" t="inlineStr">
        <is>
          <t>24121</t>
        </is>
      </c>
      <c r="B2687" s="51" t="inlineStr">
        <is>
          <t>6745</t>
        </is>
      </c>
      <c r="C2687" s="51" t="inlineStr">
        <is>
          <t>5×19×71</t>
        </is>
      </c>
      <c r="D2687" s="51" t="inlineStr">
        <is>
          <t>5·19</t>
        </is>
      </c>
      <c r="E2687" s="51" t="inlineStr"/>
      <c r="F2687" s="51" t="inlineStr"/>
    </row>
    <row r="2688" ht="13" customHeight="1">
      <c r="A2688" s="45" t="inlineStr">
        <is>
          <t>24133</t>
        </is>
      </c>
      <c r="B2688" s="45" t="inlineStr">
        <is>
          <t>24318</t>
        </is>
      </c>
      <c r="C2688" s="45" t="inlineStr">
        <is>
          <t>2×3×3×7×193</t>
        </is>
      </c>
      <c r="D2688" s="45" t="inlineStr">
        <is>
          <t>2·3·7</t>
        </is>
      </c>
      <c r="E2688" s="45" t="inlineStr"/>
      <c r="F2688" s="45" t="inlineStr"/>
    </row>
    <row r="2689" ht="13" customHeight="1">
      <c r="A2689" s="43" t="inlineStr">
        <is>
          <t>24137</t>
        </is>
      </c>
      <c r="B2689" s="43" t="inlineStr">
        <is>
          <t>17974</t>
        </is>
      </c>
      <c r="C2689" s="43" t="inlineStr">
        <is>
          <t>2×11×19×43</t>
        </is>
      </c>
      <c r="D2689" s="43" t="inlineStr">
        <is>
          <t>2·11·19</t>
        </is>
      </c>
      <c r="E2689" s="43" t="inlineStr"/>
      <c r="F2689" s="43" t="inlineStr"/>
    </row>
    <row r="2690" ht="13" customHeight="1">
      <c r="A2690" s="45" t="inlineStr">
        <is>
          <t>24151</t>
        </is>
      </c>
      <c r="B2690" s="45" t="inlineStr">
        <is>
          <t>21075</t>
        </is>
      </c>
      <c r="C2690" s="45" t="inlineStr">
        <is>
          <t>3×5×5×281</t>
        </is>
      </c>
      <c r="D2690" s="45" t="inlineStr">
        <is>
          <t>3·5</t>
        </is>
      </c>
      <c r="E2690" s="45" t="inlineStr"/>
      <c r="F2690" s="45" t="inlineStr"/>
    </row>
    <row r="2691" ht="13" customHeight="1">
      <c r="A2691" s="49" t="inlineStr">
        <is>
          <t>24169</t>
        </is>
      </c>
      <c r="B2691" s="49" t="inlineStr">
        <is>
          <t>15718</t>
        </is>
      </c>
      <c r="C2691" s="49" t="inlineStr">
        <is>
          <t>2×29×271</t>
        </is>
      </c>
      <c r="D2691" s="49" t="inlineStr">
        <is>
          <t>2</t>
        </is>
      </c>
      <c r="E2691" s="49" t="inlineStr"/>
      <c r="F2691" s="49" t="inlineStr"/>
    </row>
    <row r="2692" ht="13" customHeight="1">
      <c r="A2692" s="51" t="inlineStr">
        <is>
          <t>24179</t>
        </is>
      </c>
      <c r="B2692" s="51" t="inlineStr">
        <is>
          <t>20957</t>
        </is>
      </c>
      <c r="C2692" s="51" t="inlineStr">
        <is>
          <t>19×1103</t>
        </is>
      </c>
      <c r="D2692" s="51" t="inlineStr">
        <is>
          <t>19</t>
        </is>
      </c>
      <c r="E2692" s="51" t="inlineStr"/>
      <c r="F2692" s="51" t="inlineStr"/>
    </row>
    <row r="2693" ht="13" customHeight="1">
      <c r="A2693" s="50" t="inlineStr">
        <is>
          <t>24181</t>
        </is>
      </c>
      <c r="B2693" s="50" t="inlineStr">
        <is>
          <t>15233</t>
        </is>
      </c>
      <c r="C2693" s="50" t="inlineStr">
        <is>
          <t>15233</t>
        </is>
      </c>
      <c r="D2693" s="50" t="inlineStr">
        <is>
          <t>—</t>
        </is>
      </c>
      <c r="E2693" s="50" t="inlineStr"/>
      <c r="F2693" s="50" t="inlineStr"/>
    </row>
    <row r="2694" ht="13" customHeight="1">
      <c r="A2694" s="45" t="inlineStr">
        <is>
          <t>24197</t>
        </is>
      </c>
      <c r="B2694" s="45" t="inlineStr">
        <is>
          <t>3262</t>
        </is>
      </c>
      <c r="C2694" s="45" t="inlineStr">
        <is>
          <t>2×7×233</t>
        </is>
      </c>
      <c r="D2694" s="45" t="inlineStr">
        <is>
          <t>2·7</t>
        </is>
      </c>
      <c r="E2694" s="45" t="inlineStr"/>
      <c r="F2694" s="45" t="inlineStr"/>
    </row>
    <row r="2695" ht="13" customHeight="1">
      <c r="A2695" s="49" t="inlineStr">
        <is>
          <t>24203</t>
        </is>
      </c>
      <c r="B2695" s="49" t="inlineStr">
        <is>
          <t>28726</t>
        </is>
      </c>
      <c r="C2695" s="49" t="inlineStr">
        <is>
          <t>2×53×271</t>
        </is>
      </c>
      <c r="D2695" s="49" t="inlineStr">
        <is>
          <t>2</t>
        </is>
      </c>
      <c r="E2695" s="49" t="inlineStr"/>
      <c r="F2695" s="49" t="inlineStr"/>
    </row>
    <row r="2696" ht="13" customHeight="1">
      <c r="A2696" s="45" t="inlineStr">
        <is>
          <t>24223</t>
        </is>
      </c>
      <c r="B2696" s="45" t="inlineStr">
        <is>
          <t>28741</t>
        </is>
      </c>
      <c r="C2696" s="45" t="inlineStr">
        <is>
          <t>41×701</t>
        </is>
      </c>
      <c r="D2696" s="45" t="inlineStr">
        <is>
          <t>—</t>
        </is>
      </c>
      <c r="E2696" s="45" t="inlineStr"/>
      <c r="F2696" s="45" t="inlineStr"/>
    </row>
    <row r="2697" ht="13" customHeight="1">
      <c r="A2697" s="49" t="inlineStr">
        <is>
          <t>24229</t>
        </is>
      </c>
      <c r="B2697" s="49" t="inlineStr">
        <is>
          <t>18323</t>
        </is>
      </c>
      <c r="C2697" s="49" t="inlineStr">
        <is>
          <t>73×251</t>
        </is>
      </c>
      <c r="D2697" s="49" t="inlineStr">
        <is>
          <t>—</t>
        </is>
      </c>
      <c r="E2697" s="49" t="inlineStr"/>
      <c r="F2697" s="49" t="inlineStr"/>
    </row>
    <row r="2698" ht="13" customHeight="1">
      <c r="A2698" s="45" t="inlineStr">
        <is>
          <t>24239</t>
        </is>
      </c>
      <c r="B2698" s="45" t="inlineStr">
        <is>
          <t>34512</t>
        </is>
      </c>
      <c r="C2698" s="45" t="inlineStr">
        <is>
          <t>2×2×2×2×3×719</t>
        </is>
      </c>
      <c r="D2698" s="45" t="inlineStr">
        <is>
          <t>2·3</t>
        </is>
      </c>
      <c r="E2698" s="45" t="inlineStr"/>
      <c r="F2698" s="45" t="inlineStr"/>
    </row>
    <row r="2699" ht="13" customHeight="1">
      <c r="A2699" s="49" t="inlineStr">
        <is>
          <t>24247</t>
        </is>
      </c>
      <c r="B2699" s="49" t="inlineStr">
        <is>
          <t>26685</t>
        </is>
      </c>
      <c r="C2699" s="49" t="inlineStr">
        <is>
          <t>3×3×5×593</t>
        </is>
      </c>
      <c r="D2699" s="49" t="inlineStr">
        <is>
          <t>3·5</t>
        </is>
      </c>
      <c r="E2699" s="49" t="inlineStr"/>
      <c r="F2699" s="49" t="inlineStr"/>
    </row>
    <row r="2700" ht="13" customHeight="1">
      <c r="A2700" s="45" t="inlineStr">
        <is>
          <t>24251</t>
        </is>
      </c>
      <c r="B2700" s="45" t="inlineStr">
        <is>
          <t>2199</t>
        </is>
      </c>
      <c r="C2700" s="45" t="inlineStr">
        <is>
          <t>3×733</t>
        </is>
      </c>
      <c r="D2700" s="45" t="inlineStr">
        <is>
          <t>3</t>
        </is>
      </c>
      <c r="E2700" s="45" t="inlineStr"/>
      <c r="F2700" s="45" t="inlineStr"/>
    </row>
    <row r="2701" ht="13" customHeight="1">
      <c r="A2701" s="49" t="inlineStr">
        <is>
          <t>24281</t>
        </is>
      </c>
      <c r="B2701" s="49" t="inlineStr">
        <is>
          <t>21366</t>
        </is>
      </c>
      <c r="C2701" s="49" t="inlineStr">
        <is>
          <t>2×3×3×1187</t>
        </is>
      </c>
      <c r="D2701" s="49" t="inlineStr">
        <is>
          <t>2·3</t>
        </is>
      </c>
      <c r="E2701" s="49" t="inlineStr"/>
      <c r="F2701" s="49" t="inlineStr"/>
    </row>
    <row r="2702" ht="13" customHeight="1">
      <c r="A2702" s="45" t="inlineStr">
        <is>
          <t>24317</t>
        </is>
      </c>
      <c r="B2702" s="45" t="inlineStr">
        <is>
          <t>43090</t>
        </is>
      </c>
      <c r="C2702" s="45" t="inlineStr">
        <is>
          <t>2×5×31×139</t>
        </is>
      </c>
      <c r="D2702" s="45" t="inlineStr">
        <is>
          <t>2·5</t>
        </is>
      </c>
      <c r="E2702" s="45" t="inlineStr"/>
      <c r="F2702" s="45" t="inlineStr"/>
    </row>
    <row r="2703" ht="13" customHeight="1">
      <c r="A2703" s="49" t="inlineStr">
        <is>
          <t>24329</t>
        </is>
      </c>
      <c r="B2703" s="49" t="inlineStr">
        <is>
          <t>30775</t>
        </is>
      </c>
      <c r="C2703" s="49" t="inlineStr">
        <is>
          <t>5×5×1231</t>
        </is>
      </c>
      <c r="D2703" s="49" t="inlineStr">
        <is>
          <t>5</t>
        </is>
      </c>
      <c r="E2703" s="49" t="inlineStr"/>
      <c r="F2703" s="49" t="inlineStr"/>
    </row>
    <row r="2704" ht="13" customHeight="1">
      <c r="A2704" s="45" t="inlineStr">
        <is>
          <t>24337</t>
        </is>
      </c>
      <c r="B2704" s="45" t="inlineStr">
        <is>
          <t>13196</t>
        </is>
      </c>
      <c r="C2704" s="45" t="inlineStr">
        <is>
          <t>2×2×3299</t>
        </is>
      </c>
      <c r="D2704" s="45" t="inlineStr">
        <is>
          <t>2</t>
        </is>
      </c>
      <c r="E2704" s="45" t="inlineStr"/>
      <c r="F2704" s="45" t="inlineStr"/>
    </row>
    <row r="2705" ht="13" customHeight="1">
      <c r="A2705" s="50" t="inlineStr">
        <is>
          <t>24359</t>
        </is>
      </c>
      <c r="B2705" s="50" t="inlineStr">
        <is>
          <t>40759</t>
        </is>
      </c>
      <c r="C2705" s="50" t="inlineStr">
        <is>
          <t>40759</t>
        </is>
      </c>
      <c r="D2705" s="50" t="inlineStr">
        <is>
          <t>—</t>
        </is>
      </c>
      <c r="E2705" s="50" t="inlineStr"/>
      <c r="F2705" s="50" t="inlineStr"/>
    </row>
    <row r="2706" ht="13" customHeight="1">
      <c r="A2706" s="45" t="inlineStr">
        <is>
          <t>24371</t>
        </is>
      </c>
      <c r="B2706" s="45" t="inlineStr">
        <is>
          <t>15940</t>
        </is>
      </c>
      <c r="C2706" s="45" t="inlineStr">
        <is>
          <t>2×2×5×797</t>
        </is>
      </c>
      <c r="D2706" s="45" t="inlineStr">
        <is>
          <t>2·5</t>
        </is>
      </c>
      <c r="E2706" s="45" t="inlineStr"/>
      <c r="F2706" s="45" t="inlineStr"/>
    </row>
    <row r="2707" ht="13" customHeight="1">
      <c r="A2707" s="49" t="inlineStr">
        <is>
          <t>24373</t>
        </is>
      </c>
      <c r="B2707" s="49" t="inlineStr">
        <is>
          <t>39550</t>
        </is>
      </c>
      <c r="C2707" s="49" t="inlineStr">
        <is>
          <t>2×5×5×7×113</t>
        </is>
      </c>
      <c r="D2707" s="49" t="inlineStr">
        <is>
          <t>2·5·7</t>
        </is>
      </c>
      <c r="E2707" s="49" t="inlineStr"/>
      <c r="F2707" s="49" t="inlineStr"/>
    </row>
    <row r="2708" ht="13" customHeight="1">
      <c r="A2708" s="45" t="inlineStr">
        <is>
          <t>24379</t>
        </is>
      </c>
      <c r="B2708" s="45" t="inlineStr">
        <is>
          <t>14544</t>
        </is>
      </c>
      <c r="C2708" s="45" t="inlineStr">
        <is>
          <t>2×2×2×2×3×3×101</t>
        </is>
      </c>
      <c r="D2708" s="45" t="inlineStr">
        <is>
          <t>2·3</t>
        </is>
      </c>
      <c r="E2708" s="45" t="inlineStr"/>
      <c r="F2708" s="45" t="inlineStr"/>
    </row>
    <row r="2709" ht="13" customHeight="1">
      <c r="A2709" s="49" t="inlineStr">
        <is>
          <t>24391</t>
        </is>
      </c>
      <c r="B2709" s="49" t="inlineStr">
        <is>
          <t>13348</t>
        </is>
      </c>
      <c r="C2709" s="49" t="inlineStr">
        <is>
          <t>2×2×47×71</t>
        </is>
      </c>
      <c r="D2709" s="49" t="inlineStr">
        <is>
          <t>2</t>
        </is>
      </c>
      <c r="E2709" s="49" t="inlineStr"/>
      <c r="F2709" s="49" t="inlineStr"/>
    </row>
    <row r="2710" ht="13" customHeight="1">
      <c r="A2710" s="45" t="inlineStr">
        <is>
          <t>24407</t>
        </is>
      </c>
      <c r="B2710" s="45" t="inlineStr">
        <is>
          <t>18286</t>
        </is>
      </c>
      <c r="C2710" s="45" t="inlineStr">
        <is>
          <t>2×41×223</t>
        </is>
      </c>
      <c r="D2710" s="45" t="inlineStr">
        <is>
          <t>2</t>
        </is>
      </c>
      <c r="E2710" s="45" t="inlineStr"/>
      <c r="F2710" s="45" t="inlineStr"/>
    </row>
    <row r="2711" ht="13" customHeight="1">
      <c r="A2711" s="49" t="inlineStr">
        <is>
          <t>24413</t>
        </is>
      </c>
      <c r="B2711" s="49" t="inlineStr">
        <is>
          <t>36345</t>
        </is>
      </c>
      <c r="C2711" s="49" t="inlineStr">
        <is>
          <t>3×5×2423</t>
        </is>
      </c>
      <c r="D2711" s="49" t="inlineStr">
        <is>
          <t>3·5</t>
        </is>
      </c>
      <c r="E2711" s="49" t="inlineStr"/>
      <c r="F2711" s="49" t="inlineStr"/>
    </row>
    <row r="2712" ht="13" customHeight="1">
      <c r="A2712" s="45" t="inlineStr">
        <is>
          <t>24419</t>
        </is>
      </c>
      <c r="B2712" s="45" t="inlineStr">
        <is>
          <t>12715</t>
        </is>
      </c>
      <c r="C2712" s="45" t="inlineStr">
        <is>
          <t>5×2543</t>
        </is>
      </c>
      <c r="D2712" s="45" t="inlineStr">
        <is>
          <t>5</t>
        </is>
      </c>
      <c r="E2712" s="45" t="inlineStr"/>
      <c r="F2712" s="45" t="inlineStr"/>
    </row>
    <row r="2713" ht="13" customHeight="1">
      <c r="A2713" s="49" t="inlineStr">
        <is>
          <t>24421</t>
        </is>
      </c>
      <c r="B2713" s="49" t="inlineStr">
        <is>
          <t>26108</t>
        </is>
      </c>
      <c r="C2713" s="49" t="inlineStr">
        <is>
          <t>2×2×61×107</t>
        </is>
      </c>
      <c r="D2713" s="49" t="inlineStr">
        <is>
          <t>2</t>
        </is>
      </c>
      <c r="E2713" s="49" t="inlineStr"/>
      <c r="F2713" s="49" t="inlineStr"/>
    </row>
    <row r="2714" ht="13" customHeight="1">
      <c r="A2714" s="41" t="inlineStr">
        <is>
          <t>24439</t>
        </is>
      </c>
      <c r="B2714" s="41" t="inlineStr">
        <is>
          <t>41752</t>
        </is>
      </c>
      <c r="C2714" s="41" t="inlineStr">
        <is>
          <t>2×2×2×17×307</t>
        </is>
      </c>
      <c r="D2714" s="41" t="inlineStr">
        <is>
          <t>2·17</t>
        </is>
      </c>
      <c r="E2714" s="41" t="inlineStr"/>
      <c r="F2714" s="41" t="inlineStr"/>
    </row>
    <row r="2715" ht="13" customHeight="1">
      <c r="A2715" s="49" t="inlineStr">
        <is>
          <t>24443</t>
        </is>
      </c>
      <c r="B2715" s="49" t="inlineStr">
        <is>
          <t>9358</t>
        </is>
      </c>
      <c r="C2715" s="49" t="inlineStr">
        <is>
          <t>2×4679</t>
        </is>
      </c>
      <c r="D2715" s="49" t="inlineStr">
        <is>
          <t>2</t>
        </is>
      </c>
      <c r="E2715" s="49" t="inlineStr"/>
      <c r="F2715" s="49" t="inlineStr"/>
    </row>
    <row r="2716" ht="13" customHeight="1">
      <c r="A2716" s="45" t="inlineStr">
        <is>
          <t>24469</t>
        </is>
      </c>
      <c r="B2716" s="45" t="inlineStr">
        <is>
          <t>21844</t>
        </is>
      </c>
      <c r="C2716" s="45" t="inlineStr">
        <is>
          <t>2×2×43×127</t>
        </is>
      </c>
      <c r="D2716" s="45" t="inlineStr">
        <is>
          <t>2</t>
        </is>
      </c>
      <c r="E2716" s="45" t="inlineStr"/>
      <c r="F2716" s="45" t="inlineStr"/>
    </row>
    <row r="2717" ht="13" customHeight="1">
      <c r="A2717" s="49" t="inlineStr">
        <is>
          <t>24473</t>
        </is>
      </c>
      <c r="B2717" s="49" t="inlineStr">
        <is>
          <t>22742</t>
        </is>
      </c>
      <c r="C2717" s="49" t="inlineStr">
        <is>
          <t>2×83×137</t>
        </is>
      </c>
      <c r="D2717" s="49" t="inlineStr">
        <is>
          <t>2</t>
        </is>
      </c>
      <c r="E2717" s="49" t="inlineStr"/>
      <c r="F2717" s="49" t="inlineStr"/>
    </row>
    <row r="2718" ht="13" customHeight="1">
      <c r="A2718" s="41" t="inlineStr">
        <is>
          <t>24481</t>
        </is>
      </c>
      <c r="B2718" s="41" t="inlineStr">
        <is>
          <t>9750</t>
        </is>
      </c>
      <c r="C2718" s="41" t="inlineStr">
        <is>
          <t>2×3×5×5×5×13</t>
        </is>
      </c>
      <c r="D2718" s="41" t="inlineStr">
        <is>
          <t>2·3·5·13</t>
        </is>
      </c>
      <c r="E2718" s="41" t="inlineStr"/>
      <c r="F2718" s="41" t="inlineStr"/>
    </row>
    <row r="2719" ht="13" customHeight="1">
      <c r="A2719" s="50" t="inlineStr">
        <is>
          <t>24499</t>
        </is>
      </c>
      <c r="B2719" s="50" t="inlineStr">
        <is>
          <t>26321</t>
        </is>
      </c>
      <c r="C2719" s="50" t="inlineStr">
        <is>
          <t>26321</t>
        </is>
      </c>
      <c r="D2719" s="50" t="inlineStr">
        <is>
          <t>—</t>
        </is>
      </c>
      <c r="E2719" s="50" t="inlineStr"/>
      <c r="F2719" s="50" t="inlineStr"/>
    </row>
    <row r="2720" ht="13" customHeight="1">
      <c r="A2720" s="45" t="inlineStr">
        <is>
          <t>24509</t>
        </is>
      </c>
      <c r="B2720" s="45" t="inlineStr">
        <is>
          <t>917</t>
        </is>
      </c>
      <c r="C2720" s="45" t="inlineStr">
        <is>
          <t>7×131</t>
        </is>
      </c>
      <c r="D2720" s="45" t="inlineStr">
        <is>
          <t>7</t>
        </is>
      </c>
      <c r="E2720" s="45" t="inlineStr"/>
      <c r="F2720" s="45" t="inlineStr"/>
    </row>
    <row r="2721" ht="13" customHeight="1">
      <c r="A2721" s="49" t="inlineStr">
        <is>
          <t>24517</t>
        </is>
      </c>
      <c r="B2721" s="49" t="inlineStr">
        <is>
          <t>31282</t>
        </is>
      </c>
      <c r="C2721" s="49" t="inlineStr">
        <is>
          <t>2×15641</t>
        </is>
      </c>
      <c r="D2721" s="49" t="inlineStr">
        <is>
          <t>2</t>
        </is>
      </c>
      <c r="E2721" s="49" t="inlineStr"/>
      <c r="F2721" s="49" t="inlineStr"/>
    </row>
    <row r="2722" ht="13" customHeight="1">
      <c r="A2722" s="45" t="inlineStr">
        <is>
          <t>24527</t>
        </is>
      </c>
      <c r="B2722" s="45" t="inlineStr">
        <is>
          <t>24672</t>
        </is>
      </c>
      <c r="C2722" s="45" t="inlineStr">
        <is>
          <t>2×2×2×2×2×3×257</t>
        </is>
      </c>
      <c r="D2722" s="45" t="inlineStr">
        <is>
          <t>2·3</t>
        </is>
      </c>
      <c r="E2722" s="45" t="inlineStr"/>
      <c r="F2722" s="45" t="inlineStr"/>
    </row>
    <row r="2723" ht="13" customHeight="1">
      <c r="A2723" s="49" t="inlineStr">
        <is>
          <t>24533</t>
        </is>
      </c>
      <c r="B2723" s="49" t="inlineStr">
        <is>
          <t>2881</t>
        </is>
      </c>
      <c r="C2723" s="49" t="inlineStr">
        <is>
          <t>43×67</t>
        </is>
      </c>
      <c r="D2723" s="49" t="inlineStr">
        <is>
          <t>—</t>
        </is>
      </c>
      <c r="E2723" s="49" t="inlineStr"/>
      <c r="F2723" s="49" t="inlineStr"/>
    </row>
    <row r="2724" ht="13" customHeight="1">
      <c r="A2724" s="45" t="inlineStr">
        <is>
          <t>24547</t>
        </is>
      </c>
      <c r="B2724" s="45" t="inlineStr">
        <is>
          <t>43828</t>
        </is>
      </c>
      <c r="C2724" s="45" t="inlineStr">
        <is>
          <t>2×2×10957</t>
        </is>
      </c>
      <c r="D2724" s="45" t="inlineStr">
        <is>
          <t>2</t>
        </is>
      </c>
      <c r="E2724" s="45" t="inlineStr"/>
      <c r="F2724" s="45" t="inlineStr"/>
    </row>
    <row r="2725" ht="13" customHeight="1">
      <c r="A2725" s="49" t="inlineStr">
        <is>
          <t>24551</t>
        </is>
      </c>
      <c r="B2725" s="49" t="inlineStr">
        <is>
          <t>29973</t>
        </is>
      </c>
      <c r="C2725" s="49" t="inlineStr">
        <is>
          <t>3×97×103</t>
        </is>
      </c>
      <c r="D2725" s="49" t="inlineStr">
        <is>
          <t>3</t>
        </is>
      </c>
      <c r="E2725" s="49" t="inlineStr"/>
      <c r="F2725" s="49" t="inlineStr"/>
    </row>
    <row r="2726" ht="13" customHeight="1">
      <c r="A2726" s="45" t="inlineStr">
        <is>
          <t>24571</t>
        </is>
      </c>
      <c r="B2726" s="45" t="inlineStr">
        <is>
          <t>29388</t>
        </is>
      </c>
      <c r="C2726" s="45" t="inlineStr">
        <is>
          <t>2×2×3×31×79</t>
        </is>
      </c>
      <c r="D2726" s="45" t="inlineStr">
        <is>
          <t>2·3</t>
        </is>
      </c>
      <c r="E2726" s="45" t="inlineStr"/>
      <c r="F2726" s="45" t="inlineStr"/>
    </row>
    <row r="2727" ht="13" customHeight="1">
      <c r="A2727" s="49" t="inlineStr">
        <is>
          <t>24593</t>
        </is>
      </c>
      <c r="B2727" s="49" t="inlineStr">
        <is>
          <t>14595</t>
        </is>
      </c>
      <c r="C2727" s="49" t="inlineStr">
        <is>
          <t>3×5×7×139</t>
        </is>
      </c>
      <c r="D2727" s="49" t="inlineStr">
        <is>
          <t>3·5·7</t>
        </is>
      </c>
      <c r="E2727" s="49" t="inlineStr"/>
      <c r="F2727" s="49" t="inlineStr"/>
    </row>
    <row r="2728" ht="13" customHeight="1">
      <c r="A2728" s="41" t="inlineStr">
        <is>
          <t>24611</t>
        </is>
      </c>
      <c r="B2728" s="41" t="inlineStr">
        <is>
          <t>35061</t>
        </is>
      </c>
      <c r="C2728" s="41" t="inlineStr">
        <is>
          <t>3×13×29×31</t>
        </is>
      </c>
      <c r="D2728" s="41" t="inlineStr">
        <is>
          <t>3·13</t>
        </is>
      </c>
      <c r="E2728" s="41" t="inlineStr"/>
      <c r="F2728" s="41" t="inlineStr"/>
    </row>
    <row r="2729" ht="13" customHeight="1">
      <c r="A2729" s="49" t="inlineStr">
        <is>
          <t>24623</t>
        </is>
      </c>
      <c r="B2729" s="49" t="inlineStr">
        <is>
          <t>15325</t>
        </is>
      </c>
      <c r="C2729" s="49" t="inlineStr">
        <is>
          <t>5×5×613</t>
        </is>
      </c>
      <c r="D2729" s="49" t="inlineStr">
        <is>
          <t>5</t>
        </is>
      </c>
      <c r="E2729" s="49" t="inlineStr"/>
      <c r="F2729" s="49" t="inlineStr"/>
    </row>
    <row r="2730" ht="13" customHeight="1">
      <c r="A2730" s="50" t="inlineStr">
        <is>
          <t>24631</t>
        </is>
      </c>
      <c r="B2730" s="50" t="inlineStr">
        <is>
          <t>42853</t>
        </is>
      </c>
      <c r="C2730" s="50" t="inlineStr">
        <is>
          <t>42853</t>
        </is>
      </c>
      <c r="D2730" s="50" t="inlineStr">
        <is>
          <t>—</t>
        </is>
      </c>
      <c r="E2730" s="50" t="inlineStr"/>
      <c r="F2730" s="50" t="inlineStr"/>
    </row>
    <row r="2731" ht="13" customHeight="1">
      <c r="A2731" s="41" t="inlineStr">
        <is>
          <t>24659</t>
        </is>
      </c>
      <c r="B2731" s="41" t="inlineStr">
        <is>
          <t>34320</t>
        </is>
      </c>
      <c r="C2731" s="41" t="inlineStr">
        <is>
          <t>2×2×2×2×3×5×11×13</t>
        </is>
      </c>
      <c r="D2731" s="41" t="inlineStr">
        <is>
          <t>2·3·5·11·13</t>
        </is>
      </c>
      <c r="E2731" s="41" t="inlineStr"/>
      <c r="F2731" s="41" t="inlineStr"/>
    </row>
    <row r="2732" ht="13" customHeight="1">
      <c r="A2732" s="45" t="inlineStr">
        <is>
          <t>24671</t>
        </is>
      </c>
      <c r="B2732" s="45" t="inlineStr">
        <is>
          <t>30981</t>
        </is>
      </c>
      <c r="C2732" s="45" t="inlineStr">
        <is>
          <t>3×23×449</t>
        </is>
      </c>
      <c r="D2732" s="45" t="inlineStr">
        <is>
          <t>3</t>
        </is>
      </c>
      <c r="E2732" s="45" t="inlineStr"/>
      <c r="F2732" s="45" t="inlineStr"/>
    </row>
    <row r="2733" ht="13" customHeight="1">
      <c r="A2733" s="49" t="inlineStr">
        <is>
          <t>24677</t>
        </is>
      </c>
      <c r="B2733" s="49" t="inlineStr">
        <is>
          <t>28285</t>
        </is>
      </c>
      <c r="C2733" s="49" t="inlineStr">
        <is>
          <t>5×5657</t>
        </is>
      </c>
      <c r="D2733" s="49" t="inlineStr">
        <is>
          <t>5</t>
        </is>
      </c>
      <c r="E2733" s="49" t="inlineStr"/>
      <c r="F2733" s="49" t="inlineStr"/>
    </row>
    <row r="2734" ht="13" customHeight="1">
      <c r="A2734" s="39" t="inlineStr">
        <is>
          <t>24683</t>
        </is>
      </c>
      <c r="B2734" s="39" t="inlineStr">
        <is>
          <t>864</t>
        </is>
      </c>
      <c r="C2734" s="39" t="inlineStr">
        <is>
          <t>2×2×2×2×2×3×3×3</t>
        </is>
      </c>
      <c r="D2734" s="39" t="inlineStr">
        <is>
          <t>2·3</t>
        </is>
      </c>
      <c r="E2734" s="39" t="inlineStr"/>
      <c r="F2734" s="39" t="inlineStr"/>
    </row>
    <row r="2735" ht="13" customHeight="1">
      <c r="A2735" s="51" t="inlineStr">
        <is>
          <t>24691</t>
        </is>
      </c>
      <c r="B2735" s="51" t="inlineStr">
        <is>
          <t>19912</t>
        </is>
      </c>
      <c r="C2735" s="51" t="inlineStr">
        <is>
          <t>2×2×2×19×131</t>
        </is>
      </c>
      <c r="D2735" s="51" t="inlineStr">
        <is>
          <t>2·19</t>
        </is>
      </c>
      <c r="E2735" s="51" t="inlineStr"/>
      <c r="F2735" s="51" t="inlineStr"/>
    </row>
    <row r="2736" ht="13" customHeight="1">
      <c r="A2736" s="51" t="inlineStr">
        <is>
          <t>24697</t>
        </is>
      </c>
      <c r="B2736" s="51" t="inlineStr">
        <is>
          <t>39900</t>
        </is>
      </c>
      <c r="C2736" s="51" t="inlineStr">
        <is>
          <t>2×2×3×5×5×7×19</t>
        </is>
      </c>
      <c r="D2736" s="51" t="inlineStr">
        <is>
          <t>2·3·5·7·19</t>
        </is>
      </c>
      <c r="E2736" s="51" t="inlineStr"/>
      <c r="F2736" s="51" t="inlineStr"/>
    </row>
    <row r="2737" ht="13" customHeight="1">
      <c r="A2737" s="49" t="inlineStr">
        <is>
          <t>24709</t>
        </is>
      </c>
      <c r="B2737" s="49" t="inlineStr">
        <is>
          <t>39174</t>
        </is>
      </c>
      <c r="C2737" s="49" t="inlineStr">
        <is>
          <t>2×3×6529</t>
        </is>
      </c>
      <c r="D2737" s="49" t="inlineStr">
        <is>
          <t>2·3</t>
        </is>
      </c>
      <c r="E2737" s="49" t="inlineStr"/>
      <c r="F2737" s="49" t="inlineStr"/>
    </row>
    <row r="2738" ht="13" customHeight="1">
      <c r="A2738" s="41" t="inlineStr">
        <is>
          <t>24733</t>
        </is>
      </c>
      <c r="B2738" s="41" t="inlineStr">
        <is>
          <t>36452</t>
        </is>
      </c>
      <c r="C2738" s="41" t="inlineStr">
        <is>
          <t>2×2×13×701</t>
        </is>
      </c>
      <c r="D2738" s="41" t="inlineStr">
        <is>
          <t>2·13</t>
        </is>
      </c>
      <c r="E2738" s="41" t="inlineStr"/>
      <c r="F2738" s="41" t="inlineStr"/>
    </row>
    <row r="2739" ht="13" customHeight="1">
      <c r="A2739" s="49" t="inlineStr">
        <is>
          <t>24749</t>
        </is>
      </c>
      <c r="B2739" s="49" t="inlineStr">
        <is>
          <t>6063</t>
        </is>
      </c>
      <c r="C2739" s="49" t="inlineStr">
        <is>
          <t>3×43×47</t>
        </is>
      </c>
      <c r="D2739" s="49" t="inlineStr">
        <is>
          <t>3</t>
        </is>
      </c>
      <c r="E2739" s="49" t="inlineStr"/>
      <c r="F2739" s="49" t="inlineStr"/>
    </row>
    <row r="2740" ht="13" customHeight="1">
      <c r="A2740" s="45" t="inlineStr">
        <is>
          <t>24763</t>
        </is>
      </c>
      <c r="B2740" s="45" t="inlineStr">
        <is>
          <t>6233</t>
        </is>
      </c>
      <c r="C2740" s="45" t="inlineStr">
        <is>
          <t>23×271</t>
        </is>
      </c>
      <c r="D2740" s="45" t="inlineStr">
        <is>
          <t>—</t>
        </is>
      </c>
      <c r="E2740" s="45" t="inlineStr"/>
      <c r="F2740" s="45" t="inlineStr"/>
    </row>
    <row r="2741" ht="13" customHeight="1">
      <c r="A2741" s="43" t="inlineStr">
        <is>
          <t>24767</t>
        </is>
      </c>
      <c r="B2741" s="43" t="inlineStr">
        <is>
          <t>27038</t>
        </is>
      </c>
      <c r="C2741" s="43" t="inlineStr">
        <is>
          <t>2×11×1229</t>
        </is>
      </c>
      <c r="D2741" s="43" t="inlineStr">
        <is>
          <t>2·11</t>
        </is>
      </c>
      <c r="E2741" s="43" t="inlineStr"/>
      <c r="F2741" s="43" t="inlineStr"/>
    </row>
    <row r="2742" ht="13" customHeight="1">
      <c r="A2742" s="45" t="inlineStr">
        <is>
          <t>24781</t>
        </is>
      </c>
      <c r="B2742" s="45" t="inlineStr">
        <is>
          <t>2449</t>
        </is>
      </c>
      <c r="C2742" s="45" t="inlineStr">
        <is>
          <t>31×79</t>
        </is>
      </c>
      <c r="D2742" s="45" t="inlineStr">
        <is>
          <t>—</t>
        </is>
      </c>
      <c r="E2742" s="45" t="inlineStr"/>
      <c r="F2742" s="45" t="inlineStr"/>
    </row>
    <row r="2743" ht="13" customHeight="1">
      <c r="A2743" s="50" t="inlineStr">
        <is>
          <t>24793</t>
        </is>
      </c>
      <c r="B2743" s="50" t="inlineStr">
        <is>
          <t>283</t>
        </is>
      </c>
      <c r="C2743" s="50" t="inlineStr">
        <is>
          <t>283</t>
        </is>
      </c>
      <c r="D2743" s="50" t="inlineStr">
        <is>
          <t>—</t>
        </is>
      </c>
      <c r="E2743" s="50" t="inlineStr"/>
      <c r="F2743" s="50" t="inlineStr"/>
    </row>
    <row r="2744" ht="13" customHeight="1">
      <c r="A2744" s="50" t="inlineStr">
        <is>
          <t>24799</t>
        </is>
      </c>
      <c r="B2744" s="50" t="inlineStr">
        <is>
          <t>7919</t>
        </is>
      </c>
      <c r="C2744" s="50" t="inlineStr">
        <is>
          <t>7919</t>
        </is>
      </c>
      <c r="D2744" s="50" t="inlineStr">
        <is>
          <t>—</t>
        </is>
      </c>
      <c r="E2744" s="50" t="inlineStr"/>
      <c r="F2744" s="50" t="inlineStr"/>
    </row>
    <row r="2745" ht="13" customHeight="1">
      <c r="A2745" s="49" t="inlineStr">
        <is>
          <t>24809</t>
        </is>
      </c>
      <c r="B2745" s="49" t="inlineStr">
        <is>
          <t>25628</t>
        </is>
      </c>
      <c r="C2745" s="49" t="inlineStr">
        <is>
          <t>2×2×43×149</t>
        </is>
      </c>
      <c r="D2745" s="49" t="inlineStr">
        <is>
          <t>2</t>
        </is>
      </c>
      <c r="E2745" s="49" t="inlineStr"/>
      <c r="F2745" s="49" t="inlineStr"/>
    </row>
    <row r="2746" ht="13" customHeight="1">
      <c r="A2746" s="45" t="inlineStr">
        <is>
          <t>24821</t>
        </is>
      </c>
      <c r="B2746" s="45" t="inlineStr">
        <is>
          <t>3569</t>
        </is>
      </c>
      <c r="C2746" s="45" t="inlineStr">
        <is>
          <t>43×83</t>
        </is>
      </c>
      <c r="D2746" s="45" t="inlineStr">
        <is>
          <t>—</t>
        </is>
      </c>
      <c r="E2746" s="45" t="inlineStr"/>
      <c r="F2746" s="45" t="inlineStr"/>
    </row>
    <row r="2747" ht="13" customHeight="1">
      <c r="A2747" s="49" t="inlineStr">
        <is>
          <t>24841</t>
        </is>
      </c>
      <c r="B2747" s="49" t="inlineStr">
        <is>
          <t>5614</t>
        </is>
      </c>
      <c r="C2747" s="49" t="inlineStr">
        <is>
          <t>2×7×401</t>
        </is>
      </c>
      <c r="D2747" s="49" t="inlineStr">
        <is>
          <t>2·7</t>
        </is>
      </c>
      <c r="E2747" s="49" t="inlineStr"/>
      <c r="F2747" s="49" t="inlineStr"/>
    </row>
    <row r="2748" ht="13" customHeight="1">
      <c r="A2748" s="45" t="inlineStr">
        <is>
          <t>24847</t>
        </is>
      </c>
      <c r="B2748" s="45" t="inlineStr">
        <is>
          <t>3123</t>
        </is>
      </c>
      <c r="C2748" s="45" t="inlineStr">
        <is>
          <t>3×3×347</t>
        </is>
      </c>
      <c r="D2748" s="45" t="inlineStr">
        <is>
          <t>3</t>
        </is>
      </c>
      <c r="E2748" s="45" t="inlineStr"/>
      <c r="F2748" s="45" t="inlineStr"/>
    </row>
    <row r="2749" ht="13" customHeight="1">
      <c r="A2749" s="49" t="inlineStr">
        <is>
          <t>24851</t>
        </is>
      </c>
      <c r="B2749" s="49" t="inlineStr">
        <is>
          <t>6728</t>
        </is>
      </c>
      <c r="C2749" s="49" t="inlineStr">
        <is>
          <t>2×2×2×29×29</t>
        </is>
      </c>
      <c r="D2749" s="49" t="inlineStr">
        <is>
          <t>2</t>
        </is>
      </c>
      <c r="E2749" s="49" t="inlineStr"/>
      <c r="F2749" s="49" t="inlineStr"/>
    </row>
    <row r="2750" ht="13" customHeight="1">
      <c r="A2750" s="45" t="inlineStr">
        <is>
          <t>24859</t>
        </is>
      </c>
      <c r="B2750" s="45" t="inlineStr">
        <is>
          <t>6626</t>
        </is>
      </c>
      <c r="C2750" s="45" t="inlineStr">
        <is>
          <t>2×3313</t>
        </is>
      </c>
      <c r="D2750" s="45" t="inlineStr">
        <is>
          <t>2</t>
        </is>
      </c>
      <c r="E2750" s="45" t="inlineStr"/>
      <c r="F2750" s="45" t="inlineStr"/>
    </row>
    <row r="2751" ht="13" customHeight="1">
      <c r="A2751" s="41" t="inlineStr">
        <is>
          <t>24877</t>
        </is>
      </c>
      <c r="B2751" s="41" t="inlineStr">
        <is>
          <t>35530</t>
        </is>
      </c>
      <c r="C2751" s="41" t="inlineStr">
        <is>
          <t>2×5×11×17×19</t>
        </is>
      </c>
      <c r="D2751" s="41" t="inlineStr">
        <is>
          <t>2·5·11·17·19</t>
        </is>
      </c>
      <c r="E2751" s="41" t="inlineStr"/>
      <c r="F2751" s="41" t="inlineStr"/>
    </row>
    <row r="2752" ht="13" customHeight="1">
      <c r="A2752" s="45" t="inlineStr">
        <is>
          <t>24889</t>
        </is>
      </c>
      <c r="B2752" s="45" t="inlineStr">
        <is>
          <t>43080</t>
        </is>
      </c>
      <c r="C2752" s="45" t="inlineStr">
        <is>
          <t>2×2×2×3×5×359</t>
        </is>
      </c>
      <c r="D2752" s="45" t="inlineStr">
        <is>
          <t>2·3·5</t>
        </is>
      </c>
      <c r="E2752" s="45" t="inlineStr"/>
      <c r="F2752" s="45" t="inlineStr"/>
    </row>
    <row r="2753" ht="13" customHeight="1">
      <c r="A2753" s="50" t="inlineStr">
        <is>
          <t>24907</t>
        </is>
      </c>
      <c r="B2753" s="50" t="inlineStr">
        <is>
          <t>11657</t>
        </is>
      </c>
      <c r="C2753" s="50" t="inlineStr">
        <is>
          <t>11657</t>
        </is>
      </c>
      <c r="D2753" s="50" t="inlineStr">
        <is>
          <t>—</t>
        </is>
      </c>
      <c r="E2753" s="50" t="inlineStr"/>
      <c r="F2753" s="50" t="inlineStr"/>
    </row>
    <row r="2754" ht="13" customHeight="1">
      <c r="A2754" s="45" t="inlineStr">
        <is>
          <t>24917</t>
        </is>
      </c>
      <c r="B2754" s="45" t="inlineStr">
        <is>
          <t>8773</t>
        </is>
      </c>
      <c r="C2754" s="45" t="inlineStr">
        <is>
          <t>31×283</t>
        </is>
      </c>
      <c r="D2754" s="45" t="inlineStr">
        <is>
          <t>—</t>
        </is>
      </c>
      <c r="E2754" s="45" t="inlineStr"/>
      <c r="F2754" s="45" t="inlineStr"/>
    </row>
    <row r="2755" ht="13" customHeight="1">
      <c r="A2755" s="41" t="inlineStr">
        <is>
          <t>24919</t>
        </is>
      </c>
      <c r="B2755" s="41" t="inlineStr">
        <is>
          <t>27820</t>
        </is>
      </c>
      <c r="C2755" s="41" t="inlineStr">
        <is>
          <t>2×2×5×13×107</t>
        </is>
      </c>
      <c r="D2755" s="41" t="inlineStr">
        <is>
          <t>2·5·13</t>
        </is>
      </c>
      <c r="E2755" s="41" t="inlineStr"/>
      <c r="F2755" s="41" t="inlineStr"/>
    </row>
    <row r="2756" ht="13" customHeight="1">
      <c r="A2756" s="45" t="inlineStr">
        <is>
          <t>24923</t>
        </is>
      </c>
      <c r="B2756" s="45" t="inlineStr">
        <is>
          <t>36562</t>
        </is>
      </c>
      <c r="C2756" s="45" t="inlineStr">
        <is>
          <t>2×101×181</t>
        </is>
      </c>
      <c r="D2756" s="45" t="inlineStr">
        <is>
          <t>2</t>
        </is>
      </c>
      <c r="E2756" s="45" t="inlineStr"/>
      <c r="F2756" s="45" t="inlineStr"/>
    </row>
    <row r="2757" ht="13" customHeight="1">
      <c r="A2757" s="49" t="inlineStr">
        <is>
          <t>24943</t>
        </is>
      </c>
      <c r="B2757" s="49" t="inlineStr">
        <is>
          <t>4054</t>
        </is>
      </c>
      <c r="C2757" s="49" t="inlineStr">
        <is>
          <t>2×2027</t>
        </is>
      </c>
      <c r="D2757" s="49" t="inlineStr">
        <is>
          <t>2</t>
        </is>
      </c>
      <c r="E2757" s="49" t="inlineStr"/>
      <c r="F2757" s="49" t="inlineStr"/>
    </row>
    <row r="2758" ht="13" customHeight="1">
      <c r="A2758" s="50" t="inlineStr">
        <is>
          <t>24953</t>
        </is>
      </c>
      <c r="B2758" s="50" t="inlineStr">
        <is>
          <t>30323</t>
        </is>
      </c>
      <c r="C2758" s="50" t="inlineStr">
        <is>
          <t>30323</t>
        </is>
      </c>
      <c r="D2758" s="50" t="inlineStr">
        <is>
          <t>—</t>
        </is>
      </c>
      <c r="E2758" s="50" t="inlineStr"/>
      <c r="F2758" s="50" t="inlineStr"/>
    </row>
    <row r="2759" ht="13" customHeight="1">
      <c r="A2759" s="49" t="inlineStr">
        <is>
          <t>24967</t>
        </is>
      </c>
      <c r="B2759" s="49" t="inlineStr">
        <is>
          <t>26529</t>
        </is>
      </c>
      <c r="C2759" s="49" t="inlineStr">
        <is>
          <t>3×37×239</t>
        </is>
      </c>
      <c r="D2759" s="49" t="inlineStr">
        <is>
          <t>3</t>
        </is>
      </c>
      <c r="E2759" s="49" t="inlineStr"/>
      <c r="F2759" s="49" t="inlineStr"/>
    </row>
    <row r="2760" ht="13" customHeight="1">
      <c r="A2760" s="45" t="inlineStr">
        <is>
          <t>24971</t>
        </is>
      </c>
      <c r="B2760" s="45" t="inlineStr">
        <is>
          <t>25400</t>
        </is>
      </c>
      <c r="C2760" s="45" t="inlineStr">
        <is>
          <t>2×2×2×5×5×127</t>
        </is>
      </c>
      <c r="D2760" s="45" t="inlineStr">
        <is>
          <t>2·5</t>
        </is>
      </c>
      <c r="E2760" s="45" t="inlineStr"/>
      <c r="F2760" s="45" t="inlineStr"/>
    </row>
    <row r="2761" ht="13" customHeight="1">
      <c r="A2761" s="49" t="inlineStr">
        <is>
          <t>24977</t>
        </is>
      </c>
      <c r="B2761" s="49" t="inlineStr">
        <is>
          <t>13227</t>
        </is>
      </c>
      <c r="C2761" s="49" t="inlineStr">
        <is>
          <t>3×4409</t>
        </is>
      </c>
      <c r="D2761" s="49" t="inlineStr">
        <is>
          <t>3</t>
        </is>
      </c>
      <c r="E2761" s="49" t="inlineStr"/>
      <c r="F2761" s="49" t="inlineStr"/>
    </row>
    <row r="2762" ht="13" customHeight="1">
      <c r="A2762" s="45" t="inlineStr">
        <is>
          <t>24979</t>
        </is>
      </c>
      <c r="B2762" s="45" t="inlineStr">
        <is>
          <t>22523</t>
        </is>
      </c>
      <c r="C2762" s="45" t="inlineStr">
        <is>
          <t>101×223</t>
        </is>
      </c>
      <c r="D2762" s="45" t="inlineStr">
        <is>
          <t>—</t>
        </is>
      </c>
      <c r="E2762" s="45" t="inlineStr"/>
      <c r="F2762" s="45" t="inlineStr"/>
    </row>
    <row r="2763" ht="13" customHeight="1">
      <c r="A2763" s="41" t="inlineStr">
        <is>
          <t>24989</t>
        </is>
      </c>
      <c r="B2763" s="41" t="inlineStr">
        <is>
          <t>39576</t>
        </is>
      </c>
      <c r="C2763" s="41" t="inlineStr">
        <is>
          <t>2×2×2×3×17×97</t>
        </is>
      </c>
      <c r="D2763" s="41" t="inlineStr">
        <is>
          <t>2·3·17</t>
        </is>
      </c>
      <c r="E2763" s="41" t="inlineStr"/>
      <c r="F2763" s="41" t="inlineStr"/>
    </row>
    <row r="2764" ht="13" customHeight="1">
      <c r="A2764" s="45" t="inlineStr">
        <is>
          <t>25013</t>
        </is>
      </c>
      <c r="B2764" s="45" t="inlineStr">
        <is>
          <t>42896</t>
        </is>
      </c>
      <c r="C2764" s="45" t="inlineStr">
        <is>
          <t>2×2×2×2×7×383</t>
        </is>
      </c>
      <c r="D2764" s="45" t="inlineStr">
        <is>
          <t>2·7</t>
        </is>
      </c>
      <c r="E2764" s="45" t="inlineStr"/>
      <c r="F2764" s="45" t="inlineStr"/>
    </row>
    <row r="2765" ht="13" customHeight="1">
      <c r="A2765" s="50" t="inlineStr">
        <is>
          <t>25031</t>
        </is>
      </c>
      <c r="B2765" s="50" t="inlineStr">
        <is>
          <t>30427</t>
        </is>
      </c>
      <c r="C2765" s="50" t="inlineStr">
        <is>
          <t>30427</t>
        </is>
      </c>
      <c r="D2765" s="50" t="inlineStr">
        <is>
          <t>—</t>
        </is>
      </c>
      <c r="E2765" s="50" t="inlineStr"/>
      <c r="F2765" s="50" t="inlineStr"/>
    </row>
    <row r="2766" ht="13" customHeight="1">
      <c r="A2766" s="45" t="inlineStr">
        <is>
          <t>25033</t>
        </is>
      </c>
      <c r="B2766" s="45" t="inlineStr">
        <is>
          <t>43068</t>
        </is>
      </c>
      <c r="C2766" s="45" t="inlineStr">
        <is>
          <t>2×2×3×37×97</t>
        </is>
      </c>
      <c r="D2766" s="45" t="inlineStr">
        <is>
          <t>2·3</t>
        </is>
      </c>
      <c r="E2766" s="45" t="inlineStr"/>
      <c r="F2766" s="45" t="inlineStr"/>
    </row>
    <row r="2767" ht="13" customHeight="1">
      <c r="A2767" s="41" t="inlineStr">
        <is>
          <t>25037</t>
        </is>
      </c>
      <c r="B2767" s="41" t="inlineStr">
        <is>
          <t>9529</t>
        </is>
      </c>
      <c r="C2767" s="41" t="inlineStr">
        <is>
          <t>13×733</t>
        </is>
      </c>
      <c r="D2767" s="41" t="inlineStr">
        <is>
          <t>13</t>
        </is>
      </c>
      <c r="E2767" s="41" t="inlineStr"/>
      <c r="F2767" s="41" t="inlineStr"/>
    </row>
    <row r="2768" ht="13" customHeight="1">
      <c r="A2768" s="45" t="inlineStr">
        <is>
          <t>25057</t>
        </is>
      </c>
      <c r="B2768" s="45" t="inlineStr">
        <is>
          <t>29064</t>
        </is>
      </c>
      <c r="C2768" s="45" t="inlineStr">
        <is>
          <t>2×2×2×3×7×173</t>
        </is>
      </c>
      <c r="D2768" s="45" t="inlineStr">
        <is>
          <t>2·3·7</t>
        </is>
      </c>
      <c r="E2768" s="45" t="inlineStr"/>
      <c r="F2768" s="45" t="inlineStr"/>
    </row>
    <row r="2769" ht="13" customHeight="1">
      <c r="A2769" s="49" t="inlineStr">
        <is>
          <t>25073</t>
        </is>
      </c>
      <c r="B2769" s="49" t="inlineStr">
        <is>
          <t>43760</t>
        </is>
      </c>
      <c r="C2769" s="49" t="inlineStr">
        <is>
          <t>2×2×2×2×5×547</t>
        </is>
      </c>
      <c r="D2769" s="49" t="inlineStr">
        <is>
          <t>2·5</t>
        </is>
      </c>
      <c r="E2769" s="49" t="inlineStr"/>
      <c r="F2769" s="49" t="inlineStr"/>
    </row>
    <row r="2770" ht="13" customHeight="1">
      <c r="A2770" s="50" t="inlineStr">
        <is>
          <t>25087</t>
        </is>
      </c>
      <c r="B2770" s="50" t="inlineStr">
        <is>
          <t>33599</t>
        </is>
      </c>
      <c r="C2770" s="50" t="inlineStr">
        <is>
          <t>33599</t>
        </is>
      </c>
      <c r="D2770" s="50" t="inlineStr">
        <is>
          <t>—</t>
        </is>
      </c>
      <c r="E2770" s="50" t="inlineStr"/>
      <c r="F2770" s="50" t="inlineStr"/>
    </row>
    <row r="2771" ht="13" customHeight="1">
      <c r="A2771" s="49" t="inlineStr">
        <is>
          <t>25097</t>
        </is>
      </c>
      <c r="B2771" s="49" t="inlineStr">
        <is>
          <t>14645</t>
        </is>
      </c>
      <c r="C2771" s="49" t="inlineStr">
        <is>
          <t>5×29×101</t>
        </is>
      </c>
      <c r="D2771" s="49" t="inlineStr">
        <is>
          <t>5</t>
        </is>
      </c>
      <c r="E2771" s="49" t="inlineStr"/>
      <c r="F2771" s="49" t="inlineStr"/>
    </row>
    <row r="2772" ht="13" customHeight="1">
      <c r="A2772" s="41" t="inlineStr">
        <is>
          <t>25111</t>
        </is>
      </c>
      <c r="B2772" s="41" t="inlineStr">
        <is>
          <t>41990</t>
        </is>
      </c>
      <c r="C2772" s="41" t="inlineStr">
        <is>
          <t>2×5×13×17×19</t>
        </is>
      </c>
      <c r="D2772" s="41" t="inlineStr">
        <is>
          <t>2·5·13·17·19</t>
        </is>
      </c>
      <c r="E2772" s="41" t="inlineStr"/>
      <c r="F2772" s="41" t="inlineStr"/>
    </row>
    <row r="2773" ht="13" customHeight="1">
      <c r="A2773" s="43" t="inlineStr">
        <is>
          <t>25117</t>
        </is>
      </c>
      <c r="B2773" s="43" t="inlineStr">
        <is>
          <t>16797</t>
        </is>
      </c>
      <c r="C2773" s="43" t="inlineStr">
        <is>
          <t>3×11×509</t>
        </is>
      </c>
      <c r="D2773" s="43" t="inlineStr">
        <is>
          <t>3·11</t>
        </is>
      </c>
      <c r="E2773" s="43" t="inlineStr"/>
      <c r="F2773" s="43" t="inlineStr"/>
    </row>
    <row r="2774" ht="13" customHeight="1">
      <c r="A2774" s="45" t="inlineStr">
        <is>
          <t>25121</t>
        </is>
      </c>
      <c r="B2774" s="45" t="inlineStr">
        <is>
          <t>10245</t>
        </is>
      </c>
      <c r="C2774" s="45" t="inlineStr">
        <is>
          <t>3×5×683</t>
        </is>
      </c>
      <c r="D2774" s="45" t="inlineStr">
        <is>
          <t>3·5</t>
        </is>
      </c>
      <c r="E2774" s="45" t="inlineStr"/>
      <c r="F2774" s="45" t="inlineStr"/>
    </row>
    <row r="2775" ht="13" customHeight="1">
      <c r="A2775" s="49" t="inlineStr">
        <is>
          <t>25127</t>
        </is>
      </c>
      <c r="B2775" s="49" t="inlineStr">
        <is>
          <t>40383</t>
        </is>
      </c>
      <c r="C2775" s="49" t="inlineStr">
        <is>
          <t>3×3×7×641</t>
        </is>
      </c>
      <c r="D2775" s="49" t="inlineStr">
        <is>
          <t>3·7</t>
        </is>
      </c>
      <c r="E2775" s="49" t="inlineStr"/>
      <c r="F2775" s="49" t="inlineStr"/>
    </row>
    <row r="2776" ht="13" customHeight="1">
      <c r="A2776" s="45" t="inlineStr">
        <is>
          <t>25147</t>
        </is>
      </c>
      <c r="B2776" s="45" t="inlineStr">
        <is>
          <t>37192</t>
        </is>
      </c>
      <c r="C2776" s="45" t="inlineStr">
        <is>
          <t>2×2×2×4649</t>
        </is>
      </c>
      <c r="D2776" s="45" t="inlineStr">
        <is>
          <t>2</t>
        </is>
      </c>
      <c r="E2776" s="45" t="inlineStr"/>
      <c r="F2776" s="45" t="inlineStr"/>
    </row>
    <row r="2777" ht="13" customHeight="1">
      <c r="A2777" s="49" t="inlineStr">
        <is>
          <t>25153</t>
        </is>
      </c>
      <c r="B2777" s="49" t="inlineStr">
        <is>
          <t>11086</t>
        </is>
      </c>
      <c r="C2777" s="49" t="inlineStr">
        <is>
          <t>2×23×241</t>
        </is>
      </c>
      <c r="D2777" s="49" t="inlineStr">
        <is>
          <t>2</t>
        </is>
      </c>
      <c r="E2777" s="49" t="inlineStr"/>
      <c r="F2777" s="49" t="inlineStr"/>
    </row>
    <row r="2778" ht="13" customHeight="1">
      <c r="A2778" s="45" t="inlineStr">
        <is>
          <t>25163</t>
        </is>
      </c>
      <c r="B2778" s="45" t="inlineStr">
        <is>
          <t>36604</t>
        </is>
      </c>
      <c r="C2778" s="45" t="inlineStr">
        <is>
          <t>2×2×9151</t>
        </is>
      </c>
      <c r="D2778" s="45" t="inlineStr">
        <is>
          <t>2</t>
        </is>
      </c>
      <c r="E2778" s="45" t="inlineStr"/>
      <c r="F2778" s="45" t="inlineStr"/>
    </row>
    <row r="2779" ht="13" customHeight="1">
      <c r="A2779" s="49" t="inlineStr">
        <is>
          <t>25169</t>
        </is>
      </c>
      <c r="B2779" s="49" t="inlineStr">
        <is>
          <t>22181</t>
        </is>
      </c>
      <c r="C2779" s="49" t="inlineStr">
        <is>
          <t>41×541</t>
        </is>
      </c>
      <c r="D2779" s="49" t="inlineStr">
        <is>
          <t>—</t>
        </is>
      </c>
      <c r="E2779" s="49" t="inlineStr"/>
      <c r="F2779" s="49" t="inlineStr"/>
    </row>
    <row r="2780" ht="13" customHeight="1">
      <c r="A2780" s="45" t="inlineStr">
        <is>
          <t>25171</t>
        </is>
      </c>
      <c r="B2780" s="45" t="inlineStr">
        <is>
          <t>10598</t>
        </is>
      </c>
      <c r="C2780" s="45" t="inlineStr">
        <is>
          <t>2×7×757</t>
        </is>
      </c>
      <c r="D2780" s="45" t="inlineStr">
        <is>
          <t>2·7</t>
        </is>
      </c>
      <c r="E2780" s="45" t="inlineStr"/>
      <c r="F2780" s="45" t="inlineStr"/>
    </row>
    <row r="2781" ht="13" customHeight="1">
      <c r="A2781" s="49" t="inlineStr">
        <is>
          <t>25183</t>
        </is>
      </c>
      <c r="B2781" s="49" t="inlineStr">
        <is>
          <t>29074</t>
        </is>
      </c>
      <c r="C2781" s="49" t="inlineStr">
        <is>
          <t>2×14537</t>
        </is>
      </c>
      <c r="D2781" s="49" t="inlineStr">
        <is>
          <t>2</t>
        </is>
      </c>
      <c r="E2781" s="49" t="inlineStr"/>
      <c r="F2781" s="49" t="inlineStr"/>
    </row>
    <row r="2782" ht="13" customHeight="1">
      <c r="A2782" s="50" t="inlineStr">
        <is>
          <t>25189</t>
        </is>
      </c>
      <c r="B2782" s="50" t="inlineStr">
        <is>
          <t>5399</t>
        </is>
      </c>
      <c r="C2782" s="50" t="inlineStr">
        <is>
          <t>5399</t>
        </is>
      </c>
      <c r="D2782" s="50" t="inlineStr">
        <is>
          <t>—</t>
        </is>
      </c>
      <c r="E2782" s="50" t="inlineStr"/>
      <c r="F2782" s="50" t="inlineStr"/>
    </row>
    <row r="2783" ht="13" customHeight="1">
      <c r="A2783" s="49" t="inlineStr">
        <is>
          <t>25219</t>
        </is>
      </c>
      <c r="B2783" s="49" t="inlineStr">
        <is>
          <t>31248</t>
        </is>
      </c>
      <c r="C2783" s="49" t="inlineStr">
        <is>
          <t>2×2×2×2×3×3×7×31</t>
        </is>
      </c>
      <c r="D2783" s="49" t="inlineStr">
        <is>
          <t>2·3·7</t>
        </is>
      </c>
      <c r="E2783" s="49" t="inlineStr"/>
      <c r="F2783" s="49" t="inlineStr"/>
    </row>
    <row r="2784" ht="13" customHeight="1">
      <c r="A2784" s="45" t="inlineStr">
        <is>
          <t>25229</t>
        </is>
      </c>
      <c r="B2784" s="45" t="inlineStr">
        <is>
          <t>2796</t>
        </is>
      </c>
      <c r="C2784" s="45" t="inlineStr">
        <is>
          <t>2×2×3×233</t>
        </is>
      </c>
      <c r="D2784" s="45" t="inlineStr">
        <is>
          <t>2·3</t>
        </is>
      </c>
      <c r="E2784" s="45" t="inlineStr"/>
      <c r="F2784" s="45" t="inlineStr"/>
    </row>
    <row r="2785" ht="13" customHeight="1">
      <c r="A2785" s="49" t="inlineStr">
        <is>
          <t>25237</t>
        </is>
      </c>
      <c r="B2785" s="49" t="inlineStr">
        <is>
          <t>12630</t>
        </is>
      </c>
      <c r="C2785" s="49" t="inlineStr">
        <is>
          <t>2×3×5×421</t>
        </is>
      </c>
      <c r="D2785" s="49" t="inlineStr">
        <is>
          <t>2·3·5</t>
        </is>
      </c>
      <c r="E2785" s="49" t="inlineStr"/>
      <c r="F2785" s="49" t="inlineStr"/>
    </row>
    <row r="2786" ht="13" customHeight="1">
      <c r="A2786" s="45" t="inlineStr">
        <is>
          <t>25243</t>
        </is>
      </c>
      <c r="B2786" s="45" t="inlineStr">
        <is>
          <t>35865</t>
        </is>
      </c>
      <c r="C2786" s="45" t="inlineStr">
        <is>
          <t>3×3×5×797</t>
        </is>
      </c>
      <c r="D2786" s="45" t="inlineStr">
        <is>
          <t>3·5</t>
        </is>
      </c>
      <c r="E2786" s="45" t="inlineStr"/>
      <c r="F2786" s="45" t="inlineStr"/>
    </row>
    <row r="2787" ht="13" customHeight="1">
      <c r="A2787" s="49" t="inlineStr">
        <is>
          <t>25247</t>
        </is>
      </c>
      <c r="B2787" s="49" t="inlineStr">
        <is>
          <t>7160</t>
        </is>
      </c>
      <c r="C2787" s="49" t="inlineStr">
        <is>
          <t>2×2×2×5×179</t>
        </is>
      </c>
      <c r="D2787" s="49" t="inlineStr">
        <is>
          <t>2·5</t>
        </is>
      </c>
      <c r="E2787" s="49" t="inlineStr"/>
      <c r="F2787" s="49" t="inlineStr"/>
    </row>
    <row r="2788" ht="13" customHeight="1">
      <c r="A2788" s="45" t="inlineStr">
        <is>
          <t>25253</t>
        </is>
      </c>
      <c r="B2788" s="45" t="inlineStr">
        <is>
          <t>25188</t>
        </is>
      </c>
      <c r="C2788" s="45" t="inlineStr">
        <is>
          <t>2×2×3×2099</t>
        </is>
      </c>
      <c r="D2788" s="45" t="inlineStr">
        <is>
          <t>2·3</t>
        </is>
      </c>
      <c r="E2788" s="45" t="inlineStr"/>
      <c r="F2788" s="45" t="inlineStr"/>
    </row>
    <row r="2789" ht="13" customHeight="1">
      <c r="A2789" s="49" t="inlineStr">
        <is>
          <t>25261</t>
        </is>
      </c>
      <c r="B2789" s="49" t="inlineStr">
        <is>
          <t>17250</t>
        </is>
      </c>
      <c r="C2789" s="49" t="inlineStr">
        <is>
          <t>2×3×5×5×5×23</t>
        </is>
      </c>
      <c r="D2789" s="49" t="inlineStr">
        <is>
          <t>2·3·5</t>
        </is>
      </c>
      <c r="E2789" s="49" t="inlineStr"/>
      <c r="F2789" s="49" t="inlineStr"/>
    </row>
    <row r="2790" ht="13" customHeight="1">
      <c r="A2790" s="45" t="inlineStr">
        <is>
          <t>25301</t>
        </is>
      </c>
      <c r="B2790" s="45" t="inlineStr">
        <is>
          <t>13865</t>
        </is>
      </c>
      <c r="C2790" s="45" t="inlineStr">
        <is>
          <t>5×47×59</t>
        </is>
      </c>
      <c r="D2790" s="45" t="inlineStr">
        <is>
          <t>5</t>
        </is>
      </c>
      <c r="E2790" s="45" t="inlineStr"/>
      <c r="F2790" s="45" t="inlineStr"/>
    </row>
    <row r="2791" ht="13" customHeight="1">
      <c r="A2791" s="41" t="inlineStr">
        <is>
          <t>25303</t>
        </is>
      </c>
      <c r="B2791" s="41" t="inlineStr">
        <is>
          <t>15899</t>
        </is>
      </c>
      <c r="C2791" s="41" t="inlineStr">
        <is>
          <t>13×1223</t>
        </is>
      </c>
      <c r="D2791" s="41" t="inlineStr">
        <is>
          <t>13</t>
        </is>
      </c>
      <c r="E2791" s="41" t="inlineStr"/>
      <c r="F2791" s="41" t="inlineStr"/>
    </row>
    <row r="2792" ht="13" customHeight="1">
      <c r="A2792" s="43" t="inlineStr">
        <is>
          <t>25307</t>
        </is>
      </c>
      <c r="B2792" s="43" t="inlineStr">
        <is>
          <t>693</t>
        </is>
      </c>
      <c r="C2792" s="43" t="inlineStr">
        <is>
          <t>3×3×7×11</t>
        </is>
      </c>
      <c r="D2792" s="43" t="inlineStr">
        <is>
          <t>3·7·11</t>
        </is>
      </c>
      <c r="E2792" s="43" t="inlineStr"/>
      <c r="F2792" s="43" t="inlineStr"/>
    </row>
    <row r="2793" ht="13" customHeight="1">
      <c r="A2793" s="51" t="inlineStr">
        <is>
          <t>25309</t>
        </is>
      </c>
      <c r="B2793" s="51" t="inlineStr">
        <is>
          <t>12654</t>
        </is>
      </c>
      <c r="C2793" s="51" t="inlineStr">
        <is>
          <t>2×3×3×19×37</t>
        </is>
      </c>
      <c r="D2793" s="51" t="inlineStr">
        <is>
          <t>2·3·19</t>
        </is>
      </c>
      <c r="E2793" s="51" t="inlineStr"/>
      <c r="F2793" s="51" t="inlineStr"/>
    </row>
    <row r="2794" ht="13" customHeight="1">
      <c r="A2794" s="45" t="inlineStr">
        <is>
          <t>25321</t>
        </is>
      </c>
      <c r="B2794" s="45" t="inlineStr">
        <is>
          <t>7551</t>
        </is>
      </c>
      <c r="C2794" s="45" t="inlineStr">
        <is>
          <t>3×3×839</t>
        </is>
      </c>
      <c r="D2794" s="45" t="inlineStr">
        <is>
          <t>3</t>
        </is>
      </c>
      <c r="E2794" s="45" t="inlineStr"/>
      <c r="F2794" s="45" t="inlineStr"/>
    </row>
    <row r="2795" ht="13" customHeight="1">
      <c r="A2795" s="43" t="inlineStr">
        <is>
          <t>25339</t>
        </is>
      </c>
      <c r="B2795" s="43" t="inlineStr">
        <is>
          <t>28853</t>
        </is>
      </c>
      <c r="C2795" s="43" t="inlineStr">
        <is>
          <t>11×43×61</t>
        </is>
      </c>
      <c r="D2795" s="43" t="inlineStr">
        <is>
          <t>11</t>
        </is>
      </c>
      <c r="E2795" s="43" t="inlineStr"/>
      <c r="F2795" s="43" t="inlineStr"/>
    </row>
    <row r="2796" ht="13" customHeight="1">
      <c r="A2796" s="43" t="inlineStr">
        <is>
          <t>25343</t>
        </is>
      </c>
      <c r="B2796" s="43" t="inlineStr">
        <is>
          <t>18975</t>
        </is>
      </c>
      <c r="C2796" s="43" t="inlineStr">
        <is>
          <t>3×5×5×11×23</t>
        </is>
      </c>
      <c r="D2796" s="43" t="inlineStr">
        <is>
          <t>3·5·11</t>
        </is>
      </c>
      <c r="E2796" s="43" t="inlineStr"/>
      <c r="F2796" s="43" t="inlineStr"/>
    </row>
    <row r="2797" ht="13" customHeight="1">
      <c r="A2797" s="49" t="inlineStr">
        <is>
          <t>25349</t>
        </is>
      </c>
      <c r="B2797" s="49" t="inlineStr">
        <is>
          <t>19109</t>
        </is>
      </c>
      <c r="C2797" s="49" t="inlineStr">
        <is>
          <t>97×197</t>
        </is>
      </c>
      <c r="D2797" s="49" t="inlineStr">
        <is>
          <t>—</t>
        </is>
      </c>
      <c r="E2797" s="49" t="inlineStr"/>
      <c r="F2797" s="49" t="inlineStr"/>
    </row>
    <row r="2798" ht="13" customHeight="1">
      <c r="A2798" s="45" t="inlineStr">
        <is>
          <t>25357</t>
        </is>
      </c>
      <c r="B2798" s="45" t="inlineStr">
        <is>
          <t>30200</t>
        </is>
      </c>
      <c r="C2798" s="45" t="inlineStr">
        <is>
          <t>2×2×2×5×5×151</t>
        </is>
      </c>
      <c r="D2798" s="45" t="inlineStr">
        <is>
          <t>2·5</t>
        </is>
      </c>
      <c r="E2798" s="45" t="inlineStr"/>
      <c r="F2798" s="45" t="inlineStr"/>
    </row>
    <row r="2799" ht="13" customHeight="1">
      <c r="A2799" s="41" t="inlineStr">
        <is>
          <t>25367</t>
        </is>
      </c>
      <c r="B2799" s="41" t="inlineStr">
        <is>
          <t>24856</t>
        </is>
      </c>
      <c r="C2799" s="41" t="inlineStr">
        <is>
          <t>2×2×2×13×239</t>
        </is>
      </c>
      <c r="D2799" s="41" t="inlineStr">
        <is>
          <t>2·13</t>
        </is>
      </c>
      <c r="E2799" s="41" t="inlineStr"/>
      <c r="F2799" s="41" t="inlineStr"/>
    </row>
    <row r="2800" ht="13" customHeight="1">
      <c r="A2800" s="43" t="inlineStr">
        <is>
          <t>25373</t>
        </is>
      </c>
      <c r="B2800" s="43" t="inlineStr">
        <is>
          <t>32472</t>
        </is>
      </c>
      <c r="C2800" s="43" t="inlineStr">
        <is>
          <t>2×2×2×3×3×11×41</t>
        </is>
      </c>
      <c r="D2800" s="43" t="inlineStr">
        <is>
          <t>2·3·11</t>
        </is>
      </c>
      <c r="E2800" s="43" t="inlineStr"/>
      <c r="F2800" s="43" t="inlineStr"/>
    </row>
    <row r="2801" ht="13" customHeight="1">
      <c r="A2801" s="50" t="inlineStr">
        <is>
          <t>25391</t>
        </is>
      </c>
      <c r="B2801" s="50" t="inlineStr">
        <is>
          <t>3511</t>
        </is>
      </c>
      <c r="C2801" s="50" t="inlineStr">
        <is>
          <t>3511</t>
        </is>
      </c>
      <c r="D2801" s="50" t="inlineStr">
        <is>
          <t>—</t>
        </is>
      </c>
      <c r="E2801" s="50" t="inlineStr"/>
      <c r="F2801" s="50" t="inlineStr"/>
    </row>
    <row r="2802" ht="13" customHeight="1">
      <c r="A2802" s="45" t="inlineStr">
        <is>
          <t>25409</t>
        </is>
      </c>
      <c r="B2802" s="45" t="inlineStr">
        <is>
          <t>38980</t>
        </is>
      </c>
      <c r="C2802" s="45" t="inlineStr">
        <is>
          <t>2×2×5×1949</t>
        </is>
      </c>
      <c r="D2802" s="45" t="inlineStr">
        <is>
          <t>2·5</t>
        </is>
      </c>
      <c r="E2802" s="45" t="inlineStr"/>
      <c r="F2802" s="45" t="inlineStr"/>
    </row>
    <row r="2803" ht="13" customHeight="1">
      <c r="A2803" s="49" t="inlineStr">
        <is>
          <t>25411</t>
        </is>
      </c>
      <c r="B2803" s="49" t="inlineStr">
        <is>
          <t>9456</t>
        </is>
      </c>
      <c r="C2803" s="49" t="inlineStr">
        <is>
          <t>2×2×2×2×3×197</t>
        </is>
      </c>
      <c r="D2803" s="49" t="inlineStr">
        <is>
          <t>2·3</t>
        </is>
      </c>
      <c r="E2803" s="49" t="inlineStr"/>
      <c r="F2803" s="49" t="inlineStr"/>
    </row>
    <row r="2804" ht="13" customHeight="1">
      <c r="A2804" s="45" t="inlineStr">
        <is>
          <t>25423</t>
        </is>
      </c>
      <c r="B2804" s="45" t="inlineStr">
        <is>
          <t>38249</t>
        </is>
      </c>
      <c r="C2804" s="45" t="inlineStr">
        <is>
          <t>23×1663</t>
        </is>
      </c>
      <c r="D2804" s="45" t="inlineStr">
        <is>
          <t>—</t>
        </is>
      </c>
      <c r="E2804" s="45" t="inlineStr"/>
      <c r="F2804" s="45" t="inlineStr"/>
    </row>
    <row r="2805" ht="13" customHeight="1">
      <c r="A2805" s="49" t="inlineStr">
        <is>
          <t>25439</t>
        </is>
      </c>
      <c r="B2805" s="49" t="inlineStr">
        <is>
          <t>4632</t>
        </is>
      </c>
      <c r="C2805" s="49" t="inlineStr">
        <is>
          <t>2×2×2×3×193</t>
        </is>
      </c>
      <c r="D2805" s="49" t="inlineStr">
        <is>
          <t>2·3</t>
        </is>
      </c>
      <c r="E2805" s="49" t="inlineStr"/>
      <c r="F2805" s="49" t="inlineStr"/>
    </row>
    <row r="2806" ht="13" customHeight="1">
      <c r="A2806" s="45" t="inlineStr">
        <is>
          <t>25447</t>
        </is>
      </c>
      <c r="B2806" s="45" t="inlineStr">
        <is>
          <t>30819</t>
        </is>
      </c>
      <c r="C2806" s="45" t="inlineStr">
        <is>
          <t>3×10273</t>
        </is>
      </c>
      <c r="D2806" s="45" t="inlineStr">
        <is>
          <t>3</t>
        </is>
      </c>
      <c r="E2806" s="45" t="inlineStr"/>
      <c r="F2806" s="45" t="inlineStr"/>
    </row>
    <row r="2807" ht="13" customHeight="1">
      <c r="A2807" s="49" t="inlineStr">
        <is>
          <t>25453</t>
        </is>
      </c>
      <c r="B2807" s="49" t="inlineStr">
        <is>
          <t>17988</t>
        </is>
      </c>
      <c r="C2807" s="49" t="inlineStr">
        <is>
          <t>2×2×3×1499</t>
        </is>
      </c>
      <c r="D2807" s="49" t="inlineStr">
        <is>
          <t>2·3</t>
        </is>
      </c>
      <c r="E2807" s="49" t="inlineStr"/>
      <c r="F2807" s="49" t="inlineStr"/>
    </row>
    <row r="2808" ht="13" customHeight="1">
      <c r="A2808" s="45" t="inlineStr">
        <is>
          <t>25457</t>
        </is>
      </c>
      <c r="B2808" s="45" t="inlineStr">
        <is>
          <t>20390</t>
        </is>
      </c>
      <c r="C2808" s="45" t="inlineStr">
        <is>
          <t>2×5×2039</t>
        </is>
      </c>
      <c r="D2808" s="45" t="inlineStr">
        <is>
          <t>2·5</t>
        </is>
      </c>
      <c r="E2808" s="45" t="inlineStr"/>
      <c r="F2808" s="45" t="inlineStr"/>
    </row>
    <row r="2809" ht="13" customHeight="1">
      <c r="A2809" s="51" t="inlineStr">
        <is>
          <t>25463</t>
        </is>
      </c>
      <c r="B2809" s="51" t="inlineStr">
        <is>
          <t>10146</t>
        </is>
      </c>
      <c r="C2809" s="51" t="inlineStr">
        <is>
          <t>2×3×19×89</t>
        </is>
      </c>
      <c r="D2809" s="51" t="inlineStr">
        <is>
          <t>2·3·19</t>
        </is>
      </c>
      <c r="E2809" s="51" t="inlineStr"/>
      <c r="F2809" s="51" t="inlineStr"/>
    </row>
    <row r="2810" ht="13" customHeight="1">
      <c r="A2810" s="51" t="inlineStr">
        <is>
          <t>25469</t>
        </is>
      </c>
      <c r="B2810" s="51" t="inlineStr">
        <is>
          <t>31217</t>
        </is>
      </c>
      <c r="C2810" s="51" t="inlineStr">
        <is>
          <t>19×31×53</t>
        </is>
      </c>
      <c r="D2810" s="51" t="inlineStr">
        <is>
          <t>19</t>
        </is>
      </c>
      <c r="E2810" s="51" t="inlineStr"/>
      <c r="F2810" s="51" t="inlineStr"/>
    </row>
    <row r="2811" ht="13" customHeight="1">
      <c r="A2811" s="41" t="inlineStr">
        <is>
          <t>25471</t>
        </is>
      </c>
      <c r="B2811" s="41" t="inlineStr">
        <is>
          <t>40508</t>
        </is>
      </c>
      <c r="C2811" s="41" t="inlineStr">
        <is>
          <t>2×2×13×19×41</t>
        </is>
      </c>
      <c r="D2811" s="41" t="inlineStr">
        <is>
          <t>2·13·19</t>
        </is>
      </c>
      <c r="E2811" s="41" t="inlineStr"/>
      <c r="F2811" s="41" t="inlineStr"/>
    </row>
    <row r="2812" ht="13" customHeight="1">
      <c r="A2812" s="45" t="inlineStr">
        <is>
          <t>25523</t>
        </is>
      </c>
      <c r="B2812" s="45" t="inlineStr">
        <is>
          <t>10052</t>
        </is>
      </c>
      <c r="C2812" s="45" t="inlineStr">
        <is>
          <t>2×2×7×359</t>
        </is>
      </c>
      <c r="D2812" s="45" t="inlineStr">
        <is>
          <t>2·7</t>
        </is>
      </c>
      <c r="E2812" s="45" t="inlineStr"/>
      <c r="F2812" s="45" t="inlineStr"/>
    </row>
    <row r="2813" ht="13" customHeight="1">
      <c r="A2813" s="49" t="inlineStr">
        <is>
          <t>25537</t>
        </is>
      </c>
      <c r="B2813" s="49" t="inlineStr">
        <is>
          <t>24759</t>
        </is>
      </c>
      <c r="C2813" s="49" t="inlineStr">
        <is>
          <t>3×3×3×7×131</t>
        </is>
      </c>
      <c r="D2813" s="49" t="inlineStr">
        <is>
          <t>3·7</t>
        </is>
      </c>
      <c r="E2813" s="49" t="inlineStr"/>
      <c r="F2813" s="49" t="inlineStr"/>
    </row>
    <row r="2814" ht="13" customHeight="1">
      <c r="A2814" s="45" t="inlineStr">
        <is>
          <t>25541</t>
        </is>
      </c>
      <c r="B2814" s="45" t="inlineStr">
        <is>
          <t>43716</t>
        </is>
      </c>
      <c r="C2814" s="45" t="inlineStr">
        <is>
          <t>2×2×3×3643</t>
        </is>
      </c>
      <c r="D2814" s="45" t="inlineStr">
        <is>
          <t>2·3</t>
        </is>
      </c>
      <c r="E2814" s="45" t="inlineStr"/>
      <c r="F2814" s="45" t="inlineStr"/>
    </row>
    <row r="2815" ht="13" customHeight="1">
      <c r="A2815" s="49" t="inlineStr">
        <is>
          <t>25561</t>
        </is>
      </c>
      <c r="B2815" s="49" t="inlineStr">
        <is>
          <t>20547</t>
        </is>
      </c>
      <c r="C2815" s="49" t="inlineStr">
        <is>
          <t>3×3×3×761</t>
        </is>
      </c>
      <c r="D2815" s="49" t="inlineStr">
        <is>
          <t>3</t>
        </is>
      </c>
      <c r="E2815" s="49" t="inlineStr"/>
      <c r="F2815" s="49" t="inlineStr"/>
    </row>
    <row r="2816" ht="13" customHeight="1">
      <c r="A2816" s="41" t="inlineStr">
        <is>
          <t>25577</t>
        </is>
      </c>
      <c r="B2816" s="41" t="inlineStr">
        <is>
          <t>21060</t>
        </is>
      </c>
      <c r="C2816" s="41" t="inlineStr">
        <is>
          <t>2×2×3×3×3×3×5×13</t>
        </is>
      </c>
      <c r="D2816" s="41" t="inlineStr">
        <is>
          <t>2·3·5·13</t>
        </is>
      </c>
      <c r="E2816" s="41" t="inlineStr"/>
      <c r="F2816" s="41" t="inlineStr"/>
    </row>
    <row r="2817" ht="13" customHeight="1">
      <c r="A2817" s="49" t="inlineStr">
        <is>
          <t>25579</t>
        </is>
      </c>
      <c r="B2817" s="49" t="inlineStr">
        <is>
          <t>13152</t>
        </is>
      </c>
      <c r="C2817" s="49" t="inlineStr">
        <is>
          <t>2×2×2×2×2×3×137</t>
        </is>
      </c>
      <c r="D2817" s="49" t="inlineStr">
        <is>
          <t>2·3</t>
        </is>
      </c>
      <c r="E2817" s="49" t="inlineStr"/>
      <c r="F2817" s="49" t="inlineStr"/>
    </row>
    <row r="2818" ht="13" customHeight="1">
      <c r="A2818" s="45" t="inlineStr">
        <is>
          <t>25583</t>
        </is>
      </c>
      <c r="B2818" s="45" t="inlineStr">
        <is>
          <t>38942</t>
        </is>
      </c>
      <c r="C2818" s="45" t="inlineStr">
        <is>
          <t>2×19471</t>
        </is>
      </c>
      <c r="D2818" s="45" t="inlineStr">
        <is>
          <t>2</t>
        </is>
      </c>
      <c r="E2818" s="45" t="inlineStr"/>
      <c r="F2818" s="45" t="inlineStr"/>
    </row>
    <row r="2819" ht="13" customHeight="1">
      <c r="A2819" s="49" t="inlineStr">
        <is>
          <t>25589</t>
        </is>
      </c>
      <c r="B2819" s="49" t="inlineStr">
        <is>
          <t>7010</t>
        </is>
      </c>
      <c r="C2819" s="49" t="inlineStr">
        <is>
          <t>2×5×701</t>
        </is>
      </c>
      <c r="D2819" s="49" t="inlineStr">
        <is>
          <t>2·5</t>
        </is>
      </c>
      <c r="E2819" s="49" t="inlineStr"/>
      <c r="F2819" s="49" t="inlineStr"/>
    </row>
    <row r="2820" ht="13" customHeight="1">
      <c r="A2820" s="45" t="inlineStr">
        <is>
          <t>25601</t>
        </is>
      </c>
      <c r="B2820" s="45" t="inlineStr">
        <is>
          <t>12290</t>
        </is>
      </c>
      <c r="C2820" s="45" t="inlineStr">
        <is>
          <t>2×5×1229</t>
        </is>
      </c>
      <c r="D2820" s="45" t="inlineStr">
        <is>
          <t>2·5</t>
        </is>
      </c>
      <c r="E2820" s="45" t="inlineStr"/>
      <c r="F2820" s="45" t="inlineStr"/>
    </row>
    <row r="2821" ht="13" customHeight="1">
      <c r="A2821" s="49" t="inlineStr">
        <is>
          <t>25603</t>
        </is>
      </c>
      <c r="B2821" s="49" t="inlineStr">
        <is>
          <t>2864</t>
        </is>
      </c>
      <c r="C2821" s="49" t="inlineStr">
        <is>
          <t>2×2×2×2×179</t>
        </is>
      </c>
      <c r="D2821" s="49" t="inlineStr">
        <is>
          <t>2</t>
        </is>
      </c>
      <c r="E2821" s="49" t="inlineStr"/>
      <c r="F2821" s="49" t="inlineStr"/>
    </row>
    <row r="2822" ht="13" customHeight="1">
      <c r="A2822" s="45" t="inlineStr">
        <is>
          <t>25609</t>
        </is>
      </c>
      <c r="B2822" s="45" t="inlineStr">
        <is>
          <t>15969</t>
        </is>
      </c>
      <c r="C2822" s="45" t="inlineStr">
        <is>
          <t>3×5323</t>
        </is>
      </c>
      <c r="D2822" s="45" t="inlineStr">
        <is>
          <t>3</t>
        </is>
      </c>
      <c r="E2822" s="45" t="inlineStr"/>
      <c r="F2822" s="45" t="inlineStr"/>
    </row>
    <row r="2823" ht="13" customHeight="1">
      <c r="A2823" s="49" t="inlineStr">
        <is>
          <t>25621</t>
        </is>
      </c>
      <c r="B2823" s="49" t="inlineStr">
        <is>
          <t>4178</t>
        </is>
      </c>
      <c r="C2823" s="49" t="inlineStr">
        <is>
          <t>2×2089</t>
        </is>
      </c>
      <c r="D2823" s="49" t="inlineStr">
        <is>
          <t>2</t>
        </is>
      </c>
      <c r="E2823" s="49" t="inlineStr"/>
      <c r="F2823" s="49" t="inlineStr"/>
    </row>
    <row r="2824" ht="13" customHeight="1">
      <c r="A2824" s="45" t="inlineStr">
        <is>
          <t>25633</t>
        </is>
      </c>
      <c r="B2824" s="45" t="inlineStr">
        <is>
          <t>20987</t>
        </is>
      </c>
      <c r="C2824" s="45" t="inlineStr">
        <is>
          <t>31×677</t>
        </is>
      </c>
      <c r="D2824" s="45" t="inlineStr">
        <is>
          <t>—</t>
        </is>
      </c>
      <c r="E2824" s="45" t="inlineStr"/>
      <c r="F2824" s="45" t="inlineStr"/>
    </row>
    <row r="2825" ht="13" customHeight="1">
      <c r="A2825" s="49" t="inlineStr">
        <is>
          <t>25639</t>
        </is>
      </c>
      <c r="B2825" s="49" t="inlineStr">
        <is>
          <t>1284</t>
        </is>
      </c>
      <c r="C2825" s="49" t="inlineStr">
        <is>
          <t>2×2×3×107</t>
        </is>
      </c>
      <c r="D2825" s="49" t="inlineStr">
        <is>
          <t>2·3</t>
        </is>
      </c>
      <c r="E2825" s="49" t="inlineStr"/>
      <c r="F2825" s="49" t="inlineStr"/>
    </row>
    <row r="2826" ht="13" customHeight="1">
      <c r="A2826" s="45" t="inlineStr">
        <is>
          <t>25643</t>
        </is>
      </c>
      <c r="B2826" s="45" t="inlineStr">
        <is>
          <t>41070</t>
        </is>
      </c>
      <c r="C2826" s="45" t="inlineStr">
        <is>
          <t>2×3×5×37×37</t>
        </is>
      </c>
      <c r="D2826" s="45" t="inlineStr">
        <is>
          <t>2·3·5</t>
        </is>
      </c>
      <c r="E2826" s="45" t="inlineStr"/>
      <c r="F2826" s="45" t="inlineStr"/>
    </row>
    <row r="2827" ht="13" customHeight="1">
      <c r="A2827" s="41" t="inlineStr">
        <is>
          <t>25657</t>
        </is>
      </c>
      <c r="B2827" s="41" t="inlineStr">
        <is>
          <t>42250</t>
        </is>
      </c>
      <c r="C2827" s="41" t="inlineStr">
        <is>
          <t>2×5×5×5×13×13</t>
        </is>
      </c>
      <c r="D2827" s="41" t="inlineStr">
        <is>
          <t>2·5·13</t>
        </is>
      </c>
      <c r="E2827" s="41" t="inlineStr"/>
      <c r="F2827" s="41" t="inlineStr"/>
    </row>
    <row r="2828" ht="13" customHeight="1">
      <c r="A2828" s="45" t="inlineStr">
        <is>
          <t>25667</t>
        </is>
      </c>
      <c r="B2828" s="45" t="inlineStr">
        <is>
          <t>21325</t>
        </is>
      </c>
      <c r="C2828" s="45" t="inlineStr">
        <is>
          <t>5×5×853</t>
        </is>
      </c>
      <c r="D2828" s="45" t="inlineStr">
        <is>
          <t>5</t>
        </is>
      </c>
      <c r="E2828" s="45" t="inlineStr"/>
      <c r="F2828" s="45" t="inlineStr"/>
    </row>
    <row r="2829" ht="13" customHeight="1">
      <c r="A2829" s="49" t="inlineStr">
        <is>
          <t>25673</t>
        </is>
      </c>
      <c r="B2829" s="49" t="inlineStr">
        <is>
          <t>23285</t>
        </is>
      </c>
      <c r="C2829" s="49" t="inlineStr">
        <is>
          <t>5×4657</t>
        </is>
      </c>
      <c r="D2829" s="49" t="inlineStr">
        <is>
          <t>5</t>
        </is>
      </c>
      <c r="E2829" s="49" t="inlineStr"/>
      <c r="F2829" s="49" t="inlineStr"/>
    </row>
    <row r="2830" ht="13" customHeight="1">
      <c r="A2830" s="43" t="inlineStr">
        <is>
          <t>25679</t>
        </is>
      </c>
      <c r="B2830" s="43" t="inlineStr">
        <is>
          <t>14487</t>
        </is>
      </c>
      <c r="C2830" s="43" t="inlineStr">
        <is>
          <t>3×11×439</t>
        </is>
      </c>
      <c r="D2830" s="43" t="inlineStr">
        <is>
          <t>3·11</t>
        </is>
      </c>
      <c r="E2830" s="43" t="inlineStr"/>
      <c r="F2830" s="43" t="inlineStr"/>
    </row>
    <row r="2831" ht="13" customHeight="1">
      <c r="A2831" s="41" t="inlineStr">
        <is>
          <t>25693</t>
        </is>
      </c>
      <c r="B2831" s="41" t="inlineStr">
        <is>
          <t>37111</t>
        </is>
      </c>
      <c r="C2831" s="41" t="inlineStr">
        <is>
          <t>17×37×59</t>
        </is>
      </c>
      <c r="D2831" s="41" t="inlineStr">
        <is>
          <t>17</t>
        </is>
      </c>
      <c r="E2831" s="41" t="inlineStr"/>
      <c r="F2831" s="41" t="inlineStr"/>
    </row>
    <row r="2832" ht="13" customHeight="1">
      <c r="A2832" s="45" t="inlineStr">
        <is>
          <t>25703</t>
        </is>
      </c>
      <c r="B2832" s="45" t="inlineStr">
        <is>
          <t>33690</t>
        </is>
      </c>
      <c r="C2832" s="45" t="inlineStr">
        <is>
          <t>2×3×5×1123</t>
        </is>
      </c>
      <c r="D2832" s="45" t="inlineStr">
        <is>
          <t>2·3·5</t>
        </is>
      </c>
      <c r="E2832" s="45" t="inlineStr"/>
      <c r="F2832" s="45" t="inlineStr"/>
    </row>
    <row r="2833" ht="13" customHeight="1">
      <c r="A2833" s="49" t="inlineStr">
        <is>
          <t>25717</t>
        </is>
      </c>
      <c r="B2833" s="49" t="inlineStr">
        <is>
          <t>7122</t>
        </is>
      </c>
      <c r="C2833" s="49" t="inlineStr">
        <is>
          <t>2×3×1187</t>
        </is>
      </c>
      <c r="D2833" s="49" t="inlineStr">
        <is>
          <t>2·3</t>
        </is>
      </c>
      <c r="E2833" s="49" t="inlineStr"/>
      <c r="F2833" s="49" t="inlineStr"/>
    </row>
    <row r="2834" ht="13" customHeight="1">
      <c r="A2834" s="41" t="inlineStr">
        <is>
          <t>25733</t>
        </is>
      </c>
      <c r="B2834" s="41" t="inlineStr">
        <is>
          <t>12857</t>
        </is>
      </c>
      <c r="C2834" s="41" t="inlineStr">
        <is>
          <t>13×23×43</t>
        </is>
      </c>
      <c r="D2834" s="41" t="inlineStr">
        <is>
          <t>13</t>
        </is>
      </c>
      <c r="E2834" s="41" t="inlineStr"/>
      <c r="F2834" s="41" t="inlineStr"/>
    </row>
    <row r="2835" ht="13" customHeight="1">
      <c r="A2835" s="51" t="inlineStr">
        <is>
          <t>25741</t>
        </is>
      </c>
      <c r="B2835" s="51" t="inlineStr">
        <is>
          <t>9899</t>
        </is>
      </c>
      <c r="C2835" s="51" t="inlineStr">
        <is>
          <t>19×521</t>
        </is>
      </c>
      <c r="D2835" s="51" t="inlineStr">
        <is>
          <t>19</t>
        </is>
      </c>
      <c r="E2835" s="51" t="inlineStr"/>
      <c r="F2835" s="51" t="inlineStr"/>
    </row>
    <row r="2836" ht="13" customHeight="1">
      <c r="A2836" s="45" t="inlineStr">
        <is>
          <t>25747</t>
        </is>
      </c>
      <c r="B2836" s="45" t="inlineStr">
        <is>
          <t>40765</t>
        </is>
      </c>
      <c r="C2836" s="45" t="inlineStr">
        <is>
          <t>5×31×263</t>
        </is>
      </c>
      <c r="D2836" s="45" t="inlineStr">
        <is>
          <t>5</t>
        </is>
      </c>
      <c r="E2836" s="45" t="inlineStr"/>
      <c r="F2836" s="45" t="inlineStr"/>
    </row>
    <row r="2837" ht="13" customHeight="1">
      <c r="A2837" s="49" t="inlineStr">
        <is>
          <t>25759</t>
        </is>
      </c>
      <c r="B2837" s="49" t="inlineStr">
        <is>
          <t>6951</t>
        </is>
      </c>
      <c r="C2837" s="49" t="inlineStr">
        <is>
          <t>3×7×331</t>
        </is>
      </c>
      <c r="D2837" s="49" t="inlineStr">
        <is>
          <t>3·7</t>
        </is>
      </c>
      <c r="E2837" s="49" t="inlineStr"/>
      <c r="F2837" s="49" t="inlineStr"/>
    </row>
    <row r="2838" ht="13" customHeight="1">
      <c r="A2838" s="51" t="inlineStr">
        <is>
          <t>25763</t>
        </is>
      </c>
      <c r="B2838" s="51" t="inlineStr">
        <is>
          <t>13053</t>
        </is>
      </c>
      <c r="C2838" s="51" t="inlineStr">
        <is>
          <t>3×19×229</t>
        </is>
      </c>
      <c r="D2838" s="51" t="inlineStr">
        <is>
          <t>3·19</t>
        </is>
      </c>
      <c r="E2838" s="51" t="inlineStr"/>
      <c r="F2838" s="51" t="inlineStr"/>
    </row>
    <row r="2839" ht="13" customHeight="1">
      <c r="A2839" s="43" t="inlineStr">
        <is>
          <t>25771</t>
        </is>
      </c>
      <c r="B2839" s="43" t="inlineStr">
        <is>
          <t>35189</t>
        </is>
      </c>
      <c r="C2839" s="43" t="inlineStr">
        <is>
          <t>7×11×457</t>
        </is>
      </c>
      <c r="D2839" s="43" t="inlineStr">
        <is>
          <t>7·11</t>
        </is>
      </c>
      <c r="E2839" s="43" t="inlineStr"/>
      <c r="F2839" s="43" t="inlineStr"/>
    </row>
    <row r="2840" ht="13" customHeight="1">
      <c r="A2840" s="45" t="inlineStr">
        <is>
          <t>25793</t>
        </is>
      </c>
      <c r="B2840" s="45" t="inlineStr">
        <is>
          <t>36286</t>
        </is>
      </c>
      <c r="C2840" s="45" t="inlineStr">
        <is>
          <t>2×18143</t>
        </is>
      </c>
      <c r="D2840" s="45" t="inlineStr">
        <is>
          <t>2</t>
        </is>
      </c>
      <c r="E2840" s="45" t="inlineStr"/>
      <c r="F2840" s="45" t="inlineStr"/>
    </row>
    <row r="2841" ht="13" customHeight="1">
      <c r="A2841" s="43" t="inlineStr">
        <is>
          <t>25799</t>
        </is>
      </c>
      <c r="B2841" s="43" t="inlineStr">
        <is>
          <t>30217</t>
        </is>
      </c>
      <c r="C2841" s="43" t="inlineStr">
        <is>
          <t>11×41×67</t>
        </is>
      </c>
      <c r="D2841" s="43" t="inlineStr">
        <is>
          <t>11</t>
        </is>
      </c>
      <c r="E2841" s="43" t="inlineStr"/>
      <c r="F2841" s="43" t="inlineStr"/>
    </row>
    <row r="2842" ht="13" customHeight="1">
      <c r="A2842" s="41" t="inlineStr">
        <is>
          <t>25801</t>
        </is>
      </c>
      <c r="B2842" s="41" t="inlineStr">
        <is>
          <t>14222</t>
        </is>
      </c>
      <c r="C2842" s="41" t="inlineStr">
        <is>
          <t>2×13×547</t>
        </is>
      </c>
      <c r="D2842" s="41" t="inlineStr">
        <is>
          <t>2·13</t>
        </is>
      </c>
      <c r="E2842" s="41" t="inlineStr"/>
      <c r="F2842" s="41" t="inlineStr"/>
    </row>
    <row r="2843" ht="13" customHeight="1">
      <c r="A2843" s="50" t="inlineStr">
        <is>
          <t>25819</t>
        </is>
      </c>
      <c r="B2843" s="50" t="inlineStr">
        <is>
          <t>40819</t>
        </is>
      </c>
      <c r="C2843" s="50" t="inlineStr">
        <is>
          <t>40819</t>
        </is>
      </c>
      <c r="D2843" s="50" t="inlineStr">
        <is>
          <t>—</t>
        </is>
      </c>
      <c r="E2843" s="50" t="inlineStr"/>
      <c r="F2843" s="50" t="inlineStr"/>
    </row>
    <row r="2844" ht="13" customHeight="1">
      <c r="A2844" s="45" t="inlineStr">
        <is>
          <t>25841</t>
        </is>
      </c>
      <c r="B2844" s="45" t="inlineStr">
        <is>
          <t>13404</t>
        </is>
      </c>
      <c r="C2844" s="45" t="inlineStr">
        <is>
          <t>2×2×3×1117</t>
        </is>
      </c>
      <c r="D2844" s="45" t="inlineStr">
        <is>
          <t>2·3</t>
        </is>
      </c>
      <c r="E2844" s="45" t="inlineStr"/>
      <c r="F2844" s="45" t="inlineStr"/>
    </row>
    <row r="2845" ht="13" customHeight="1">
      <c r="A2845" s="49" t="inlineStr">
        <is>
          <t>25847</t>
        </is>
      </c>
      <c r="B2845" s="49" t="inlineStr">
        <is>
          <t>22696</t>
        </is>
      </c>
      <c r="C2845" s="49" t="inlineStr">
        <is>
          <t>2×2×2×2837</t>
        </is>
      </c>
      <c r="D2845" s="49" t="inlineStr">
        <is>
          <t>2</t>
        </is>
      </c>
      <c r="E2845" s="49" t="inlineStr"/>
      <c r="F2845" s="49" t="inlineStr"/>
    </row>
    <row r="2846" ht="13" customHeight="1">
      <c r="A2846" s="45" t="inlineStr">
        <is>
          <t>25849</t>
        </is>
      </c>
      <c r="B2846" s="45" t="inlineStr">
        <is>
          <t>30245</t>
        </is>
      </c>
      <c r="C2846" s="45" t="inlineStr">
        <is>
          <t>5×23×263</t>
        </is>
      </c>
      <c r="D2846" s="45" t="inlineStr">
        <is>
          <t>5</t>
        </is>
      </c>
      <c r="E2846" s="45" t="inlineStr"/>
      <c r="F2846" s="45" t="inlineStr"/>
    </row>
    <row r="2847" ht="13" customHeight="1">
      <c r="A2847" s="49" t="inlineStr">
        <is>
          <t>25867</t>
        </is>
      </c>
      <c r="B2847" s="49" t="inlineStr">
        <is>
          <t>14458</t>
        </is>
      </c>
      <c r="C2847" s="49" t="inlineStr">
        <is>
          <t>2×7229</t>
        </is>
      </c>
      <c r="D2847" s="49" t="inlineStr">
        <is>
          <t>2</t>
        </is>
      </c>
      <c r="E2847" s="49" t="inlineStr"/>
      <c r="F2847" s="49" t="inlineStr"/>
    </row>
    <row r="2848" ht="13" customHeight="1">
      <c r="A2848" s="45" t="inlineStr">
        <is>
          <t>25873</t>
        </is>
      </c>
      <c r="B2848" s="45" t="inlineStr">
        <is>
          <t>142</t>
        </is>
      </c>
      <c r="C2848" s="45" t="inlineStr">
        <is>
          <t>2×71</t>
        </is>
      </c>
      <c r="D2848" s="45" t="inlineStr">
        <is>
          <t>2</t>
        </is>
      </c>
      <c r="E2848" s="45" t="inlineStr"/>
      <c r="F2848" s="45" t="inlineStr"/>
    </row>
    <row r="2849" ht="13" customHeight="1">
      <c r="A2849" s="49" t="inlineStr">
        <is>
          <t>25889</t>
        </is>
      </c>
      <c r="B2849" s="49" t="inlineStr">
        <is>
          <t>8061</t>
        </is>
      </c>
      <c r="C2849" s="49" t="inlineStr">
        <is>
          <t>3×2687</t>
        </is>
      </c>
      <c r="D2849" s="49" t="inlineStr">
        <is>
          <t>3</t>
        </is>
      </c>
      <c r="E2849" s="49" t="inlineStr"/>
      <c r="F2849" s="49" t="inlineStr"/>
    </row>
    <row r="2850" ht="13" customHeight="1">
      <c r="A2850" s="45" t="inlineStr">
        <is>
          <t>25903</t>
        </is>
      </c>
      <c r="B2850" s="45" t="inlineStr">
        <is>
          <t>39074</t>
        </is>
      </c>
      <c r="C2850" s="45" t="inlineStr">
        <is>
          <t>2×7×2791</t>
        </is>
      </c>
      <c r="D2850" s="45" t="inlineStr">
        <is>
          <t>2·7</t>
        </is>
      </c>
      <c r="E2850" s="45" t="inlineStr"/>
      <c r="F2850" s="45" t="inlineStr"/>
    </row>
    <row r="2851" ht="13" customHeight="1">
      <c r="A2851" s="49" t="inlineStr">
        <is>
          <t>25913</t>
        </is>
      </c>
      <c r="B2851" s="49" t="inlineStr">
        <is>
          <t>1160</t>
        </is>
      </c>
      <c r="C2851" s="49" t="inlineStr">
        <is>
          <t>2×2×2×5×29</t>
        </is>
      </c>
      <c r="D2851" s="49" t="inlineStr">
        <is>
          <t>2·5</t>
        </is>
      </c>
      <c r="E2851" s="49" t="inlineStr"/>
      <c r="F2851" s="49" t="inlineStr"/>
    </row>
    <row r="2852" ht="13" customHeight="1">
      <c r="A2852" s="51" t="inlineStr">
        <is>
          <t>25919</t>
        </is>
      </c>
      <c r="B2852" s="51" t="inlineStr">
        <is>
          <t>22629</t>
        </is>
      </c>
      <c r="C2852" s="51" t="inlineStr">
        <is>
          <t>3×19×397</t>
        </is>
      </c>
      <c r="D2852" s="51" t="inlineStr">
        <is>
          <t>3·19</t>
        </is>
      </c>
      <c r="E2852" s="51" t="inlineStr"/>
      <c r="F2852" s="51" t="inlineStr"/>
    </row>
    <row r="2853" ht="13" customHeight="1">
      <c r="A2853" s="43" t="inlineStr">
        <is>
          <t>25931</t>
        </is>
      </c>
      <c r="B2853" s="43" t="inlineStr">
        <is>
          <t>7964</t>
        </is>
      </c>
      <c r="C2853" s="43" t="inlineStr">
        <is>
          <t>2×2×11×181</t>
        </is>
      </c>
      <c r="D2853" s="43" t="inlineStr">
        <is>
          <t>2·11</t>
        </is>
      </c>
      <c r="E2853" s="43" t="inlineStr"/>
      <c r="F2853" s="43" t="inlineStr"/>
    </row>
    <row r="2854" ht="13" customHeight="1">
      <c r="A2854" s="50" t="inlineStr">
        <is>
          <t>25933</t>
        </is>
      </c>
      <c r="B2854" s="50" t="inlineStr">
        <is>
          <t>14159</t>
        </is>
      </c>
      <c r="C2854" s="50" t="inlineStr">
        <is>
          <t>14159</t>
        </is>
      </c>
      <c r="D2854" s="50" t="inlineStr">
        <is>
          <t>—</t>
        </is>
      </c>
      <c r="E2854" s="50" t="inlineStr"/>
      <c r="F2854" s="50" t="inlineStr"/>
    </row>
    <row r="2855" ht="13" customHeight="1">
      <c r="A2855" s="50" t="inlineStr">
        <is>
          <t>25939</t>
        </is>
      </c>
      <c r="B2855" s="50" t="inlineStr">
        <is>
          <t>4421</t>
        </is>
      </c>
      <c r="C2855" s="50" t="inlineStr">
        <is>
          <t>4421</t>
        </is>
      </c>
      <c r="D2855" s="50" t="inlineStr">
        <is>
          <t>—</t>
        </is>
      </c>
      <c r="E2855" s="50" t="inlineStr"/>
      <c r="F2855" s="50" t="inlineStr"/>
    </row>
    <row r="2856" ht="13" customHeight="1">
      <c r="A2856" s="45" t="inlineStr">
        <is>
          <t>25943</t>
        </is>
      </c>
      <c r="B2856" s="45" t="inlineStr">
        <is>
          <t>888</t>
        </is>
      </c>
      <c r="C2856" s="45" t="inlineStr">
        <is>
          <t>2×2×2×3×37</t>
        </is>
      </c>
      <c r="D2856" s="45" t="inlineStr">
        <is>
          <t>2·3</t>
        </is>
      </c>
      <c r="E2856" s="45" t="inlineStr"/>
      <c r="F2856" s="45" t="inlineStr"/>
    </row>
    <row r="2857" ht="13" customHeight="1">
      <c r="A2857" s="41" t="inlineStr">
        <is>
          <t>25951</t>
        </is>
      </c>
      <c r="B2857" s="41" t="inlineStr">
        <is>
          <t>28860</t>
        </is>
      </c>
      <c r="C2857" s="41" t="inlineStr">
        <is>
          <t>2×2×3×5×13×37</t>
        </is>
      </c>
      <c r="D2857" s="41" t="inlineStr">
        <is>
          <t>2·3·5·13</t>
        </is>
      </c>
      <c r="E2857" s="41" t="inlineStr"/>
      <c r="F2857" s="41" t="inlineStr"/>
    </row>
    <row r="2858" ht="13" customHeight="1">
      <c r="A2858" s="45" t="inlineStr">
        <is>
          <t>25969</t>
        </is>
      </c>
      <c r="B2858" s="45" t="inlineStr">
        <is>
          <t>7775</t>
        </is>
      </c>
      <c r="C2858" s="45" t="inlineStr">
        <is>
          <t>5×5×311</t>
        </is>
      </c>
      <c r="D2858" s="45" t="inlineStr">
        <is>
          <t>5</t>
        </is>
      </c>
      <c r="E2858" s="45" t="inlineStr"/>
      <c r="F2858" s="45" t="inlineStr"/>
    </row>
    <row r="2859" ht="13" customHeight="1">
      <c r="A2859" s="49" t="inlineStr">
        <is>
          <t>25981</t>
        </is>
      </c>
      <c r="B2859" s="49" t="inlineStr">
        <is>
          <t>9179</t>
        </is>
      </c>
      <c r="C2859" s="49" t="inlineStr">
        <is>
          <t>67×137</t>
        </is>
      </c>
      <c r="D2859" s="49" t="inlineStr">
        <is>
          <t>—</t>
        </is>
      </c>
      <c r="E2859" s="49" t="inlineStr"/>
      <c r="F2859" s="49" t="inlineStr"/>
    </row>
    <row r="2860" ht="13" customHeight="1">
      <c r="A2860" s="45" t="inlineStr">
        <is>
          <t>25997</t>
        </is>
      </c>
      <c r="B2860" s="45" t="inlineStr">
        <is>
          <t>5620</t>
        </is>
      </c>
      <c r="C2860" s="45" t="inlineStr">
        <is>
          <t>2×2×5×281</t>
        </is>
      </c>
      <c r="D2860" s="45" t="inlineStr">
        <is>
          <t>2·5</t>
        </is>
      </c>
      <c r="E2860" s="45" t="inlineStr"/>
      <c r="F2860" s="45" t="inlineStr"/>
    </row>
    <row r="2861" ht="13" customHeight="1">
      <c r="A2861" s="49" t="inlineStr">
        <is>
          <t>25999</t>
        </is>
      </c>
      <c r="B2861" s="49" t="inlineStr">
        <is>
          <t>25248</t>
        </is>
      </c>
      <c r="C2861" s="49" t="inlineStr">
        <is>
          <t>2×2×2×2×2×3×263</t>
        </is>
      </c>
      <c r="D2861" s="49" t="inlineStr">
        <is>
          <t>2·3</t>
        </is>
      </c>
      <c r="E2861" s="49" t="inlineStr"/>
      <c r="F2861" s="49" t="inlineStr"/>
    </row>
    <row r="2862" ht="13" customHeight="1">
      <c r="A2862" s="41" t="inlineStr">
        <is>
          <t>26003</t>
        </is>
      </c>
      <c r="B2862" s="41" t="inlineStr">
        <is>
          <t>24429</t>
        </is>
      </c>
      <c r="C2862" s="41" t="inlineStr">
        <is>
          <t>3×17×479</t>
        </is>
      </c>
      <c r="D2862" s="41" t="inlineStr">
        <is>
          <t>3·17</t>
        </is>
      </c>
      <c r="E2862" s="41" t="inlineStr"/>
      <c r="F2862" s="41" t="inlineStr"/>
    </row>
    <row r="2863" ht="13" customHeight="1">
      <c r="A2863" s="49" t="inlineStr">
        <is>
          <t>26017</t>
        </is>
      </c>
      <c r="B2863" s="49" t="inlineStr">
        <is>
          <t>11865</t>
        </is>
      </c>
      <c r="C2863" s="49" t="inlineStr">
        <is>
          <t>3×5×7×113</t>
        </is>
      </c>
      <c r="D2863" s="49" t="inlineStr">
        <is>
          <t>3·5·7</t>
        </is>
      </c>
      <c r="E2863" s="49" t="inlineStr"/>
      <c r="F2863" s="49" t="inlineStr"/>
    </row>
    <row r="2864" ht="13" customHeight="1">
      <c r="A2864" s="45" t="inlineStr">
        <is>
          <t>26021</t>
        </is>
      </c>
      <c r="B2864" s="45" t="inlineStr">
        <is>
          <t>7164</t>
        </is>
      </c>
      <c r="C2864" s="45" t="inlineStr">
        <is>
          <t>2×2×3×3×199</t>
        </is>
      </c>
      <c r="D2864" s="45" t="inlineStr">
        <is>
          <t>2·3</t>
        </is>
      </c>
      <c r="E2864" s="45" t="inlineStr"/>
      <c r="F2864" s="45" t="inlineStr"/>
    </row>
    <row r="2865" ht="13" customHeight="1">
      <c r="A2865" s="41" t="inlineStr">
        <is>
          <t>26029</t>
        </is>
      </c>
      <c r="B2865" s="41" t="inlineStr">
        <is>
          <t>30680</t>
        </is>
      </c>
      <c r="C2865" s="41" t="inlineStr">
        <is>
          <t>2×2×2×5×13×59</t>
        </is>
      </c>
      <c r="D2865" s="41" t="inlineStr">
        <is>
          <t>2·5·13</t>
        </is>
      </c>
      <c r="E2865" s="41" t="inlineStr"/>
      <c r="F2865" s="41" t="inlineStr"/>
    </row>
    <row r="2866" ht="13" customHeight="1">
      <c r="A2866" s="41" t="inlineStr">
        <is>
          <t>26041</t>
        </is>
      </c>
      <c r="B2866" s="41" t="inlineStr">
        <is>
          <t>39117</t>
        </is>
      </c>
      <c r="C2866" s="41" t="inlineStr">
        <is>
          <t>3×13×17×59</t>
        </is>
      </c>
      <c r="D2866" s="41" t="inlineStr">
        <is>
          <t>3·13·17</t>
        </is>
      </c>
      <c r="E2866" s="41" t="inlineStr"/>
      <c r="F2866" s="41" t="inlineStr"/>
    </row>
    <row r="2867" ht="13" customHeight="1">
      <c r="A2867" s="49" t="inlineStr">
        <is>
          <t>26053</t>
        </is>
      </c>
      <c r="B2867" s="49" t="inlineStr">
        <is>
          <t>13643</t>
        </is>
      </c>
      <c r="C2867" s="49" t="inlineStr">
        <is>
          <t>7×1949</t>
        </is>
      </c>
      <c r="D2867" s="49" t="inlineStr">
        <is>
          <t>7</t>
        </is>
      </c>
      <c r="E2867" s="49" t="inlineStr"/>
      <c r="F2867" s="49" t="inlineStr"/>
    </row>
    <row r="2868" ht="13" customHeight="1">
      <c r="A2868" s="45" t="inlineStr">
        <is>
          <t>26083</t>
        </is>
      </c>
      <c r="B2868" s="45" t="inlineStr">
        <is>
          <t>24153</t>
        </is>
      </c>
      <c r="C2868" s="45" t="inlineStr">
        <is>
          <t>3×83×97</t>
        </is>
      </c>
      <c r="D2868" s="45" t="inlineStr">
        <is>
          <t>3</t>
        </is>
      </c>
      <c r="E2868" s="45" t="inlineStr"/>
      <c r="F2868" s="45" t="inlineStr"/>
    </row>
    <row r="2869" ht="13" customHeight="1">
      <c r="A2869" s="49" t="inlineStr">
        <is>
          <t>26099</t>
        </is>
      </c>
      <c r="B2869" s="49" t="inlineStr">
        <is>
          <t>27585</t>
        </is>
      </c>
      <c r="C2869" s="49" t="inlineStr">
        <is>
          <t>3×3×5×613</t>
        </is>
      </c>
      <c r="D2869" s="49" t="inlineStr">
        <is>
          <t>3·5</t>
        </is>
      </c>
      <c r="E2869" s="49" t="inlineStr"/>
      <c r="F2869" s="49" t="inlineStr"/>
    </row>
    <row r="2870" ht="13" customHeight="1">
      <c r="A2870" s="45" t="inlineStr">
        <is>
          <t>26107</t>
        </is>
      </c>
      <c r="B2870" s="45" t="inlineStr">
        <is>
          <t>5969</t>
        </is>
      </c>
      <c r="C2870" s="45" t="inlineStr">
        <is>
          <t>47×127</t>
        </is>
      </c>
      <c r="D2870" s="45" t="inlineStr">
        <is>
          <t>—</t>
        </is>
      </c>
      <c r="E2870" s="45" t="inlineStr"/>
      <c r="F2870" s="45" t="inlineStr"/>
    </row>
    <row r="2871" ht="13" customHeight="1">
      <c r="A2871" s="49" t="inlineStr">
        <is>
          <t>26111</t>
        </is>
      </c>
      <c r="B2871" s="49" t="inlineStr">
        <is>
          <t>3501</t>
        </is>
      </c>
      <c r="C2871" s="49" t="inlineStr">
        <is>
          <t>3×3×389</t>
        </is>
      </c>
      <c r="D2871" s="49" t="inlineStr">
        <is>
          <t>3</t>
        </is>
      </c>
      <c r="E2871" s="49" t="inlineStr"/>
      <c r="F2871" s="49" t="inlineStr"/>
    </row>
    <row r="2872" ht="13" customHeight="1">
      <c r="A2872" s="45" t="inlineStr">
        <is>
          <t>26113</t>
        </is>
      </c>
      <c r="B2872" s="45" t="inlineStr">
        <is>
          <t>3384</t>
        </is>
      </c>
      <c r="C2872" s="45" t="inlineStr">
        <is>
          <t>2×2×2×3×3×47</t>
        </is>
      </c>
      <c r="D2872" s="45" t="inlineStr">
        <is>
          <t>2·3</t>
        </is>
      </c>
      <c r="E2872" s="45" t="inlineStr"/>
      <c r="F2872" s="45" t="inlineStr"/>
    </row>
    <row r="2873" ht="13" customHeight="1">
      <c r="A2873" s="43" t="inlineStr">
        <is>
          <t>26119</t>
        </is>
      </c>
      <c r="B2873" s="43" t="inlineStr">
        <is>
          <t>30305</t>
        </is>
      </c>
      <c r="C2873" s="43" t="inlineStr">
        <is>
          <t>5×11×19×29</t>
        </is>
      </c>
      <c r="D2873" s="43" t="inlineStr">
        <is>
          <t>5·11·19</t>
        </is>
      </c>
      <c r="E2873" s="43" t="inlineStr"/>
      <c r="F2873" s="43" t="inlineStr"/>
    </row>
    <row r="2874" ht="13" customHeight="1">
      <c r="A2874" s="43" t="inlineStr">
        <is>
          <t>26141</t>
        </is>
      </c>
      <c r="B2874" s="43" t="inlineStr">
        <is>
          <t>36784</t>
        </is>
      </c>
      <c r="C2874" s="43" t="inlineStr">
        <is>
          <t>2×2×2×2×11×11×19</t>
        </is>
      </c>
      <c r="D2874" s="43" t="inlineStr">
        <is>
          <t>2·11·19</t>
        </is>
      </c>
      <c r="E2874" s="43" t="inlineStr"/>
      <c r="F2874" s="43" t="inlineStr"/>
    </row>
    <row r="2875" ht="13" customHeight="1">
      <c r="A2875" s="49" t="inlineStr">
        <is>
          <t>26153</t>
        </is>
      </c>
      <c r="B2875" s="49" t="inlineStr">
        <is>
          <t>39675</t>
        </is>
      </c>
      <c r="C2875" s="49" t="inlineStr">
        <is>
          <t>3×5×5×23×23</t>
        </is>
      </c>
      <c r="D2875" s="49" t="inlineStr">
        <is>
          <t>3·5</t>
        </is>
      </c>
      <c r="E2875" s="49" t="inlineStr"/>
      <c r="F2875" s="49" t="inlineStr"/>
    </row>
    <row r="2876" ht="13" customHeight="1">
      <c r="A2876" s="43" t="inlineStr">
        <is>
          <t>26161</t>
        </is>
      </c>
      <c r="B2876" s="43" t="inlineStr">
        <is>
          <t>11022</t>
        </is>
      </c>
      <c r="C2876" s="43" t="inlineStr">
        <is>
          <t>2×3×11×167</t>
        </is>
      </c>
      <c r="D2876" s="43" t="inlineStr">
        <is>
          <t>2·3·11</t>
        </is>
      </c>
      <c r="E2876" s="43" t="inlineStr"/>
      <c r="F2876" s="43" t="inlineStr"/>
    </row>
    <row r="2877" ht="13" customHeight="1">
      <c r="A2877" s="49" t="inlineStr">
        <is>
          <t>26171</t>
        </is>
      </c>
      <c r="B2877" s="49" t="inlineStr">
        <is>
          <t>30604</t>
        </is>
      </c>
      <c r="C2877" s="49" t="inlineStr">
        <is>
          <t>2×2×7×1093</t>
        </is>
      </c>
      <c r="D2877" s="49" t="inlineStr">
        <is>
          <t>2·7</t>
        </is>
      </c>
      <c r="E2877" s="49" t="inlineStr"/>
      <c r="F2877" s="49" t="inlineStr"/>
    </row>
    <row r="2878" ht="13" customHeight="1">
      <c r="A2878" s="51" t="inlineStr">
        <is>
          <t>26177</t>
        </is>
      </c>
      <c r="B2878" s="51" t="inlineStr">
        <is>
          <t>33079</t>
        </is>
      </c>
      <c r="C2878" s="51" t="inlineStr">
        <is>
          <t>19×1741</t>
        </is>
      </c>
      <c r="D2878" s="51" t="inlineStr">
        <is>
          <t>19</t>
        </is>
      </c>
      <c r="E2878" s="51" t="inlineStr"/>
      <c r="F2878" s="51" t="inlineStr"/>
    </row>
    <row r="2879" ht="13" customHeight="1">
      <c r="A2879" s="50" t="inlineStr">
        <is>
          <t>26183</t>
        </is>
      </c>
      <c r="B2879" s="50" t="inlineStr">
        <is>
          <t>11807</t>
        </is>
      </c>
      <c r="C2879" s="50" t="inlineStr">
        <is>
          <t>11807</t>
        </is>
      </c>
      <c r="D2879" s="50" t="inlineStr">
        <is>
          <t>—</t>
        </is>
      </c>
      <c r="E2879" s="50" t="inlineStr"/>
      <c r="F2879" s="50" t="inlineStr"/>
    </row>
    <row r="2880" ht="13" customHeight="1">
      <c r="A2880" s="43" t="inlineStr">
        <is>
          <t>26189</t>
        </is>
      </c>
      <c r="B2880" s="43" t="inlineStr">
        <is>
          <t>19041</t>
        </is>
      </c>
      <c r="C2880" s="43" t="inlineStr">
        <is>
          <t>3×11×577</t>
        </is>
      </c>
      <c r="D2880" s="43" t="inlineStr">
        <is>
          <t>3·11</t>
        </is>
      </c>
      <c r="E2880" s="43" t="inlineStr"/>
      <c r="F2880" s="43" t="inlineStr"/>
    </row>
    <row r="2881" ht="13" customHeight="1">
      <c r="A2881" s="49" t="inlineStr">
        <is>
          <t>26203</t>
        </is>
      </c>
      <c r="B2881" s="49" t="inlineStr">
        <is>
          <t>24053</t>
        </is>
      </c>
      <c r="C2881" s="49" t="inlineStr">
        <is>
          <t>67×359</t>
        </is>
      </c>
      <c r="D2881" s="49" t="inlineStr">
        <is>
          <t>—</t>
        </is>
      </c>
      <c r="E2881" s="49" t="inlineStr"/>
      <c r="F2881" s="49" t="inlineStr"/>
    </row>
    <row r="2882" ht="13" customHeight="1">
      <c r="A2882" s="45" t="inlineStr">
        <is>
          <t>26209</t>
        </is>
      </c>
      <c r="B2882" s="45" t="inlineStr">
        <is>
          <t>12912</t>
        </is>
      </c>
      <c r="C2882" s="45" t="inlineStr">
        <is>
          <t>2×2×2×2×3×269</t>
        </is>
      </c>
      <c r="D2882" s="45" t="inlineStr">
        <is>
          <t>2·3</t>
        </is>
      </c>
      <c r="E2882" s="45" t="inlineStr"/>
      <c r="F2882" s="45" t="inlineStr"/>
    </row>
    <row r="2883" ht="13" customHeight="1">
      <c r="A2883" s="49" t="inlineStr">
        <is>
          <t>26227</t>
        </is>
      </c>
      <c r="B2883" s="49" t="inlineStr">
        <is>
          <t>35424</t>
        </is>
      </c>
      <c r="C2883" s="49" t="inlineStr">
        <is>
          <t>2×2×2×2×2×3×3×3×41</t>
        </is>
      </c>
      <c r="D2883" s="49" t="inlineStr">
        <is>
          <t>2·3</t>
        </is>
      </c>
      <c r="E2883" s="49" t="inlineStr"/>
      <c r="F2883" s="49" t="inlineStr"/>
    </row>
    <row r="2884" ht="13" customHeight="1">
      <c r="A2884" s="45" t="inlineStr">
        <is>
          <t>26237</t>
        </is>
      </c>
      <c r="B2884" s="45" t="inlineStr">
        <is>
          <t>43729</t>
        </is>
      </c>
      <c r="C2884" s="45" t="inlineStr">
        <is>
          <t>7×6247</t>
        </is>
      </c>
      <c r="D2884" s="45" t="inlineStr">
        <is>
          <t>7</t>
        </is>
      </c>
      <c r="E2884" s="45" t="inlineStr"/>
      <c r="F2884" s="45" t="inlineStr"/>
    </row>
    <row r="2885" ht="13" customHeight="1">
      <c r="A2885" s="49" t="inlineStr">
        <is>
          <t>26249</t>
        </is>
      </c>
      <c r="B2885" s="49" t="inlineStr">
        <is>
          <t>33425</t>
        </is>
      </c>
      <c r="C2885" s="49" t="inlineStr">
        <is>
          <t>5×5×7×191</t>
        </is>
      </c>
      <c r="D2885" s="49" t="inlineStr">
        <is>
          <t>5·7</t>
        </is>
      </c>
      <c r="E2885" s="49" t="inlineStr"/>
      <c r="F2885" s="49" t="inlineStr"/>
    </row>
    <row r="2886" ht="13" customHeight="1">
      <c r="A2886" s="45" t="inlineStr">
        <is>
          <t>26251</t>
        </is>
      </c>
      <c r="B2886" s="45" t="inlineStr">
        <is>
          <t>41402</t>
        </is>
      </c>
      <c r="C2886" s="45" t="inlineStr">
        <is>
          <t>2×127×163</t>
        </is>
      </c>
      <c r="D2886" s="45" t="inlineStr">
        <is>
          <t>2</t>
        </is>
      </c>
      <c r="E2886" s="45" t="inlineStr"/>
      <c r="F2886" s="45" t="inlineStr"/>
    </row>
    <row r="2887" ht="13" customHeight="1">
      <c r="A2887" s="41" t="inlineStr">
        <is>
          <t>26261</t>
        </is>
      </c>
      <c r="B2887" s="41" t="inlineStr">
        <is>
          <t>14495</t>
        </is>
      </c>
      <c r="C2887" s="41" t="inlineStr">
        <is>
          <t>5×13×223</t>
        </is>
      </c>
      <c r="D2887" s="41" t="inlineStr">
        <is>
          <t>5·13</t>
        </is>
      </c>
      <c r="E2887" s="41" t="inlineStr"/>
      <c r="F2887" s="41" t="inlineStr"/>
    </row>
    <row r="2888" ht="13" customHeight="1">
      <c r="A2888" s="45" t="inlineStr">
        <is>
          <t>26263</t>
        </is>
      </c>
      <c r="B2888" s="45" t="inlineStr">
        <is>
          <t>11129</t>
        </is>
      </c>
      <c r="C2888" s="45" t="inlineStr">
        <is>
          <t>31×359</t>
        </is>
      </c>
      <c r="D2888" s="45" t="inlineStr">
        <is>
          <t>—</t>
        </is>
      </c>
      <c r="E2888" s="45" t="inlineStr"/>
      <c r="F2888" s="45" t="inlineStr"/>
    </row>
    <row r="2889" ht="13" customHeight="1">
      <c r="A2889" s="49" t="inlineStr">
        <is>
          <t>26267</t>
        </is>
      </c>
      <c r="B2889" s="49" t="inlineStr">
        <is>
          <t>30918</t>
        </is>
      </c>
      <c r="C2889" s="49" t="inlineStr">
        <is>
          <t>2×3×5153</t>
        </is>
      </c>
      <c r="D2889" s="49" t="inlineStr">
        <is>
          <t>2·3</t>
        </is>
      </c>
      <c r="E2889" s="49" t="inlineStr"/>
      <c r="F2889" s="49" t="inlineStr"/>
    </row>
    <row r="2890" ht="13" customHeight="1">
      <c r="A2890" s="45" t="inlineStr">
        <is>
          <t>26293</t>
        </is>
      </c>
      <c r="B2890" s="45" t="inlineStr">
        <is>
          <t>13575</t>
        </is>
      </c>
      <c r="C2890" s="45" t="inlineStr">
        <is>
          <t>3×5×5×181</t>
        </is>
      </c>
      <c r="D2890" s="45" t="inlineStr">
        <is>
          <t>3·5</t>
        </is>
      </c>
      <c r="E2890" s="45" t="inlineStr"/>
      <c r="F2890" s="45" t="inlineStr"/>
    </row>
    <row r="2891" ht="13" customHeight="1">
      <c r="A2891" s="50" t="inlineStr">
        <is>
          <t>26297</t>
        </is>
      </c>
      <c r="B2891" s="50" t="inlineStr">
        <is>
          <t>18587</t>
        </is>
      </c>
      <c r="C2891" s="50" t="inlineStr">
        <is>
          <t>18587</t>
        </is>
      </c>
      <c r="D2891" s="50" t="inlineStr">
        <is>
          <t>—</t>
        </is>
      </c>
      <c r="E2891" s="50" t="inlineStr"/>
      <c r="F2891" s="50" t="inlineStr"/>
    </row>
    <row r="2892" ht="13" customHeight="1">
      <c r="A2892" s="45" t="inlineStr">
        <is>
          <t>26309</t>
        </is>
      </c>
      <c r="B2892" s="45" t="inlineStr">
        <is>
          <t>40122</t>
        </is>
      </c>
      <c r="C2892" s="45" t="inlineStr">
        <is>
          <t>2×3×3×3×743</t>
        </is>
      </c>
      <c r="D2892" s="45" t="inlineStr">
        <is>
          <t>2·3</t>
        </is>
      </c>
      <c r="E2892" s="45" t="inlineStr"/>
      <c r="F2892" s="45" t="inlineStr"/>
    </row>
    <row r="2893" ht="13" customHeight="1">
      <c r="A2893" s="50" t="inlineStr">
        <is>
          <t>26317</t>
        </is>
      </c>
      <c r="B2893" s="50" t="inlineStr">
        <is>
          <t>19373</t>
        </is>
      </c>
      <c r="C2893" s="50" t="inlineStr">
        <is>
          <t>19373</t>
        </is>
      </c>
      <c r="D2893" s="50" t="inlineStr">
        <is>
          <t>—</t>
        </is>
      </c>
      <c r="E2893" s="50" t="inlineStr"/>
      <c r="F2893" s="50" t="inlineStr"/>
    </row>
    <row r="2894" ht="13" customHeight="1">
      <c r="A2894" s="45" t="inlineStr">
        <is>
          <t>26321</t>
        </is>
      </c>
      <c r="B2894" s="45" t="inlineStr">
        <is>
          <t>41456</t>
        </is>
      </c>
      <c r="C2894" s="45" t="inlineStr">
        <is>
          <t>2×2×2×2×2591</t>
        </is>
      </c>
      <c r="D2894" s="45" t="inlineStr">
        <is>
          <t>2</t>
        </is>
      </c>
      <c r="E2894" s="45" t="inlineStr"/>
      <c r="F2894" s="45" t="inlineStr"/>
    </row>
    <row r="2895" ht="13" customHeight="1">
      <c r="A2895" s="49" t="inlineStr">
        <is>
          <t>26339</t>
        </is>
      </c>
      <c r="B2895" s="49" t="inlineStr">
        <is>
          <t>22238</t>
        </is>
      </c>
      <c r="C2895" s="49" t="inlineStr">
        <is>
          <t>2×11119</t>
        </is>
      </c>
      <c r="D2895" s="49" t="inlineStr">
        <is>
          <t>2</t>
        </is>
      </c>
      <c r="E2895" s="49" t="inlineStr"/>
      <c r="F2895" s="49" t="inlineStr"/>
    </row>
    <row r="2896" ht="13" customHeight="1">
      <c r="A2896" s="45" t="inlineStr">
        <is>
          <t>26347</t>
        </is>
      </c>
      <c r="B2896" s="45" t="inlineStr">
        <is>
          <t>8421</t>
        </is>
      </c>
      <c r="C2896" s="45" t="inlineStr">
        <is>
          <t>3×7×401</t>
        </is>
      </c>
      <c r="D2896" s="45" t="inlineStr">
        <is>
          <t>3·7</t>
        </is>
      </c>
      <c r="E2896" s="45" t="inlineStr"/>
      <c r="F2896" s="45" t="inlineStr"/>
    </row>
    <row r="2897" ht="13" customHeight="1">
      <c r="A2897" s="41" t="inlineStr">
        <is>
          <t>26357</t>
        </is>
      </c>
      <c r="B2897" s="41" t="inlineStr">
        <is>
          <t>4563</t>
        </is>
      </c>
      <c r="C2897" s="41" t="inlineStr">
        <is>
          <t>3×3×3×13×13</t>
        </is>
      </c>
      <c r="D2897" s="41" t="inlineStr">
        <is>
          <t>3·13</t>
        </is>
      </c>
      <c r="E2897" s="41" t="inlineStr"/>
      <c r="F2897" s="41" t="inlineStr"/>
    </row>
    <row r="2898" ht="13" customHeight="1">
      <c r="A2898" s="45" t="inlineStr">
        <is>
          <t>26371</t>
        </is>
      </c>
      <c r="B2898" s="45" t="inlineStr">
        <is>
          <t>21906</t>
        </is>
      </c>
      <c r="C2898" s="45" t="inlineStr">
        <is>
          <t>2×3×3×1217</t>
        </is>
      </c>
      <c r="D2898" s="45" t="inlineStr">
        <is>
          <t>2·3</t>
        </is>
      </c>
      <c r="E2898" s="45" t="inlineStr"/>
      <c r="F2898" s="45" t="inlineStr"/>
    </row>
    <row r="2899" ht="13" customHeight="1">
      <c r="A2899" s="50" t="inlineStr">
        <is>
          <t>26387</t>
        </is>
      </c>
      <c r="B2899" s="50" t="inlineStr">
        <is>
          <t>9689</t>
        </is>
      </c>
      <c r="C2899" s="50" t="inlineStr">
        <is>
          <t>9689</t>
        </is>
      </c>
      <c r="D2899" s="50" t="inlineStr">
        <is>
          <t>—</t>
        </is>
      </c>
      <c r="E2899" s="50" t="inlineStr"/>
      <c r="F2899" s="50" t="inlineStr"/>
    </row>
    <row r="2900" ht="13" customHeight="1">
      <c r="A2900" s="45" t="inlineStr">
        <is>
          <t>26393</t>
        </is>
      </c>
      <c r="B2900" s="45" t="inlineStr">
        <is>
          <t>15344</t>
        </is>
      </c>
      <c r="C2900" s="45" t="inlineStr">
        <is>
          <t>2×2×2×2×7×137</t>
        </is>
      </c>
      <c r="D2900" s="45" t="inlineStr">
        <is>
          <t>2·7</t>
        </is>
      </c>
      <c r="E2900" s="45" t="inlineStr"/>
      <c r="F2900" s="45" t="inlineStr"/>
    </row>
    <row r="2901" ht="13" customHeight="1">
      <c r="A2901" s="49" t="inlineStr">
        <is>
          <t>26399</t>
        </is>
      </c>
      <c r="B2901" s="49" t="inlineStr">
        <is>
          <t>22826</t>
        </is>
      </c>
      <c r="C2901" s="49" t="inlineStr">
        <is>
          <t>2×101×113</t>
        </is>
      </c>
      <c r="D2901" s="49" t="inlineStr">
        <is>
          <t>2</t>
        </is>
      </c>
      <c r="E2901" s="49" t="inlineStr"/>
      <c r="F2901" s="49" t="inlineStr"/>
    </row>
    <row r="2902" ht="13" customHeight="1">
      <c r="A2902" s="43" t="inlineStr">
        <is>
          <t>26407</t>
        </is>
      </c>
      <c r="B2902" s="43" t="inlineStr">
        <is>
          <t>4950</t>
        </is>
      </c>
      <c r="C2902" s="43" t="inlineStr">
        <is>
          <t>2×3×3×5×5×11</t>
        </is>
      </c>
      <c r="D2902" s="43" t="inlineStr">
        <is>
          <t>2·3·5·11</t>
        </is>
      </c>
      <c r="E2902" s="43" t="inlineStr"/>
      <c r="F2902" s="43" t="inlineStr"/>
    </row>
    <row r="2903" ht="13" customHeight="1">
      <c r="A2903" s="50" t="inlineStr">
        <is>
          <t>26417</t>
        </is>
      </c>
      <c r="B2903" s="50" t="inlineStr">
        <is>
          <t>15739</t>
        </is>
      </c>
      <c r="C2903" s="50" t="inlineStr">
        <is>
          <t>15739</t>
        </is>
      </c>
      <c r="D2903" s="50" t="inlineStr">
        <is>
          <t>—</t>
        </is>
      </c>
      <c r="E2903" s="50" t="inlineStr"/>
      <c r="F2903" s="50" t="inlineStr"/>
    </row>
    <row r="2904" ht="13" customHeight="1">
      <c r="A2904" s="45" t="inlineStr">
        <is>
          <t>26423</t>
        </is>
      </c>
      <c r="B2904" s="45" t="inlineStr">
        <is>
          <t>12044</t>
        </is>
      </c>
      <c r="C2904" s="45" t="inlineStr">
        <is>
          <t>2×2×3011</t>
        </is>
      </c>
      <c r="D2904" s="45" t="inlineStr">
        <is>
          <t>2</t>
        </is>
      </c>
      <c r="E2904" s="45" t="inlineStr"/>
      <c r="F2904" s="45" t="inlineStr"/>
    </row>
    <row r="2905" ht="13" customHeight="1">
      <c r="A2905" s="49" t="inlineStr">
        <is>
          <t>26431</t>
        </is>
      </c>
      <c r="B2905" s="49" t="inlineStr">
        <is>
          <t>40905</t>
        </is>
      </c>
      <c r="C2905" s="49" t="inlineStr">
        <is>
          <t>3×3×3×3×5×101</t>
        </is>
      </c>
      <c r="D2905" s="49" t="inlineStr">
        <is>
          <t>3·5</t>
        </is>
      </c>
      <c r="E2905" s="49" t="inlineStr"/>
      <c r="F2905" s="49" t="inlineStr"/>
    </row>
    <row r="2906" ht="13" customHeight="1">
      <c r="A2906" s="43" t="inlineStr">
        <is>
          <t>26437</t>
        </is>
      </c>
      <c r="B2906" s="43" t="inlineStr">
        <is>
          <t>37257</t>
        </is>
      </c>
      <c r="C2906" s="43" t="inlineStr">
        <is>
          <t>3×11×1129</t>
        </is>
      </c>
      <c r="D2906" s="43" t="inlineStr">
        <is>
          <t>3·11</t>
        </is>
      </c>
      <c r="E2906" s="43" t="inlineStr"/>
      <c r="F2906" s="43" t="inlineStr"/>
    </row>
    <row r="2907" ht="13" customHeight="1">
      <c r="A2907" s="50" t="inlineStr">
        <is>
          <t>26449</t>
        </is>
      </c>
      <c r="B2907" s="50" t="inlineStr">
        <is>
          <t>33851</t>
        </is>
      </c>
      <c r="C2907" s="50" t="inlineStr">
        <is>
          <t>33851</t>
        </is>
      </c>
      <c r="D2907" s="50" t="inlineStr">
        <is>
          <t>—</t>
        </is>
      </c>
      <c r="E2907" s="50" t="inlineStr"/>
      <c r="F2907" s="50" t="inlineStr"/>
    </row>
    <row r="2908" ht="13" customHeight="1">
      <c r="A2908" s="45" t="inlineStr">
        <is>
          <t>26459</t>
        </is>
      </c>
      <c r="B2908" s="45" t="inlineStr">
        <is>
          <t>11994</t>
        </is>
      </c>
      <c r="C2908" s="45" t="inlineStr">
        <is>
          <t>2×3×1999</t>
        </is>
      </c>
      <c r="D2908" s="45" t="inlineStr">
        <is>
          <t>2·3</t>
        </is>
      </c>
      <c r="E2908" s="45" t="inlineStr"/>
      <c r="F2908" s="45" t="inlineStr"/>
    </row>
    <row r="2909" ht="13" customHeight="1">
      <c r="A2909" s="49" t="inlineStr">
        <is>
          <t>26479</t>
        </is>
      </c>
      <c r="B2909" s="49" t="inlineStr">
        <is>
          <t>43155</t>
        </is>
      </c>
      <c r="C2909" s="49" t="inlineStr">
        <is>
          <t>3×3×5×7×137</t>
        </is>
      </c>
      <c r="D2909" s="49" t="inlineStr">
        <is>
          <t>3·5·7</t>
        </is>
      </c>
      <c r="E2909" s="49" t="inlineStr"/>
      <c r="F2909" s="49" t="inlineStr"/>
    </row>
    <row r="2910" ht="13" customHeight="1">
      <c r="A2910" s="45" t="inlineStr">
        <is>
          <t>26489</t>
        </is>
      </c>
      <c r="B2910" s="45" t="inlineStr">
        <is>
          <t>9987</t>
        </is>
      </c>
      <c r="C2910" s="45" t="inlineStr">
        <is>
          <t>3×3329</t>
        </is>
      </c>
      <c r="D2910" s="45" t="inlineStr">
        <is>
          <t>3</t>
        </is>
      </c>
      <c r="E2910" s="45" t="inlineStr"/>
      <c r="F2910" s="45" t="inlineStr"/>
    </row>
    <row r="2911" ht="13" customHeight="1">
      <c r="A2911" s="41" t="inlineStr">
        <is>
          <t>26497</t>
        </is>
      </c>
      <c r="B2911" s="41" t="inlineStr">
        <is>
          <t>4290</t>
        </is>
      </c>
      <c r="C2911" s="41" t="inlineStr">
        <is>
          <t>2×3×5×11×13</t>
        </is>
      </c>
      <c r="D2911" s="41" t="inlineStr">
        <is>
          <t>2·3·5·11·13</t>
        </is>
      </c>
      <c r="E2911" s="41" t="inlineStr"/>
      <c r="F2911" s="41" t="inlineStr"/>
    </row>
    <row r="2912" ht="13" customHeight="1">
      <c r="A2912" s="41" t="inlineStr">
        <is>
          <t>26501</t>
        </is>
      </c>
      <c r="B2912" s="41" t="inlineStr">
        <is>
          <t>10710</t>
        </is>
      </c>
      <c r="C2912" s="41" t="inlineStr">
        <is>
          <t>2×3×3×5×7×17</t>
        </is>
      </c>
      <c r="D2912" s="41" t="inlineStr">
        <is>
          <t>2·3·5·7·17</t>
        </is>
      </c>
      <c r="E2912" s="41" t="inlineStr"/>
      <c r="F2912" s="41" t="inlineStr"/>
    </row>
    <row r="2913" ht="13" customHeight="1">
      <c r="A2913" s="50" t="inlineStr">
        <is>
          <t>26513</t>
        </is>
      </c>
      <c r="B2913" s="50" t="inlineStr">
        <is>
          <t>7043</t>
        </is>
      </c>
      <c r="C2913" s="50" t="inlineStr">
        <is>
          <t>7043</t>
        </is>
      </c>
      <c r="D2913" s="50" t="inlineStr">
        <is>
          <t>—</t>
        </is>
      </c>
      <c r="E2913" s="50" t="inlineStr"/>
      <c r="F2913" s="50" t="inlineStr"/>
    </row>
    <row r="2914" ht="13" customHeight="1">
      <c r="A2914" s="45" t="inlineStr">
        <is>
          <t>26539</t>
        </is>
      </c>
      <c r="B2914" s="45" t="inlineStr">
        <is>
          <t>20810</t>
        </is>
      </c>
      <c r="C2914" s="45" t="inlineStr">
        <is>
          <t>2×5×2081</t>
        </is>
      </c>
      <c r="D2914" s="45" t="inlineStr">
        <is>
          <t>2·5</t>
        </is>
      </c>
      <c r="E2914" s="45" t="inlineStr"/>
      <c r="F2914" s="45" t="inlineStr"/>
    </row>
    <row r="2915" ht="13" customHeight="1">
      <c r="A2915" s="49" t="inlineStr">
        <is>
          <t>26557</t>
        </is>
      </c>
      <c r="B2915" s="49" t="inlineStr">
        <is>
          <t>28602</t>
        </is>
      </c>
      <c r="C2915" s="49" t="inlineStr">
        <is>
          <t>2×3×3×7×227</t>
        </is>
      </c>
      <c r="D2915" s="49" t="inlineStr">
        <is>
          <t>2·3·7</t>
        </is>
      </c>
      <c r="E2915" s="49" t="inlineStr"/>
      <c r="F2915" s="49" t="inlineStr"/>
    </row>
    <row r="2916" ht="13" customHeight="1">
      <c r="A2916" s="45" t="inlineStr">
        <is>
          <t>26561</t>
        </is>
      </c>
      <c r="B2916" s="45" t="inlineStr">
        <is>
          <t>39618</t>
        </is>
      </c>
      <c r="C2916" s="45" t="inlineStr">
        <is>
          <t>2×3×3×31×71</t>
        </is>
      </c>
      <c r="D2916" s="45" t="inlineStr">
        <is>
          <t>2·3</t>
        </is>
      </c>
      <c r="E2916" s="45" t="inlineStr"/>
      <c r="F2916" s="45" t="inlineStr"/>
    </row>
    <row r="2917" ht="13" customHeight="1">
      <c r="A2917" s="49" t="inlineStr">
        <is>
          <t>26573</t>
        </is>
      </c>
      <c r="B2917" s="49" t="inlineStr">
        <is>
          <t>38101</t>
        </is>
      </c>
      <c r="C2917" s="49" t="inlineStr">
        <is>
          <t>7×5443</t>
        </is>
      </c>
      <c r="D2917" s="49" t="inlineStr">
        <is>
          <t>7</t>
        </is>
      </c>
      <c r="E2917" s="49" t="inlineStr"/>
      <c r="F2917" s="49" t="inlineStr"/>
    </row>
    <row r="2918" ht="13" customHeight="1">
      <c r="A2918" s="45" t="inlineStr">
        <is>
          <t>26591</t>
        </is>
      </c>
      <c r="B2918" s="45" t="inlineStr">
        <is>
          <t>15519</t>
        </is>
      </c>
      <c r="C2918" s="45" t="inlineStr">
        <is>
          <t>3×7×739</t>
        </is>
      </c>
      <c r="D2918" s="45" t="inlineStr">
        <is>
          <t>3·7</t>
        </is>
      </c>
      <c r="E2918" s="45" t="inlineStr"/>
      <c r="F2918" s="45" t="inlineStr"/>
    </row>
    <row r="2919" ht="13" customHeight="1">
      <c r="A2919" s="50" t="inlineStr">
        <is>
          <t>26597</t>
        </is>
      </c>
      <c r="B2919" s="50" t="inlineStr">
        <is>
          <t>24683</t>
        </is>
      </c>
      <c r="C2919" s="50" t="inlineStr">
        <is>
          <t>24683</t>
        </is>
      </c>
      <c r="D2919" s="50" t="inlineStr">
        <is>
          <t>—</t>
        </is>
      </c>
      <c r="E2919" s="50" t="inlineStr"/>
      <c r="F2919" s="50" t="inlineStr"/>
    </row>
    <row r="2920" ht="13" customHeight="1">
      <c r="A2920" s="50" t="inlineStr">
        <is>
          <t>26627</t>
        </is>
      </c>
      <c r="B2920" s="50" t="inlineStr">
        <is>
          <t>28517</t>
        </is>
      </c>
      <c r="C2920" s="50" t="inlineStr">
        <is>
          <t>28517</t>
        </is>
      </c>
      <c r="D2920" s="50" t="inlineStr">
        <is>
          <t>—</t>
        </is>
      </c>
      <c r="E2920" s="50" t="inlineStr"/>
      <c r="F2920" s="50" t="inlineStr"/>
    </row>
    <row r="2921" ht="13" customHeight="1">
      <c r="A2921" s="49" t="inlineStr">
        <is>
          <t>26633</t>
        </is>
      </c>
      <c r="B2921" s="49" t="inlineStr">
        <is>
          <t>14026</t>
        </is>
      </c>
      <c r="C2921" s="49" t="inlineStr">
        <is>
          <t>2×7013</t>
        </is>
      </c>
      <c r="D2921" s="49" t="inlineStr">
        <is>
          <t>2</t>
        </is>
      </c>
      <c r="E2921" s="49" t="inlineStr"/>
      <c r="F2921" s="49" t="inlineStr"/>
    </row>
    <row r="2922" ht="13" customHeight="1">
      <c r="A2922" s="41" t="inlineStr">
        <is>
          <t>26641</t>
        </is>
      </c>
      <c r="B2922" s="41" t="inlineStr">
        <is>
          <t>26673</t>
        </is>
      </c>
      <c r="C2922" s="41" t="inlineStr">
        <is>
          <t>3×17×523</t>
        </is>
      </c>
      <c r="D2922" s="41" t="inlineStr">
        <is>
          <t>3·17</t>
        </is>
      </c>
      <c r="E2922" s="41" t="inlineStr"/>
      <c r="F2922" s="41" t="inlineStr"/>
    </row>
    <row r="2923" ht="13" customHeight="1">
      <c r="A2923" s="43" t="inlineStr">
        <is>
          <t>26647</t>
        </is>
      </c>
      <c r="B2923" s="43" t="inlineStr">
        <is>
          <t>13398</t>
        </is>
      </c>
      <c r="C2923" s="43" t="inlineStr">
        <is>
          <t>2×3×7×11×29</t>
        </is>
      </c>
      <c r="D2923" s="43" t="inlineStr">
        <is>
          <t>2·3·7·11</t>
        </is>
      </c>
      <c r="E2923" s="43" t="inlineStr"/>
      <c r="F2923" s="43" t="inlineStr"/>
    </row>
    <row r="2924" ht="13" customHeight="1">
      <c r="A2924" s="45" t="inlineStr">
        <is>
          <t>26669</t>
        </is>
      </c>
      <c r="B2924" s="45" t="inlineStr">
        <is>
          <t>38537</t>
        </is>
      </c>
      <c r="C2924" s="45" t="inlineStr">
        <is>
          <t>89×433</t>
        </is>
      </c>
      <c r="D2924" s="45" t="inlineStr">
        <is>
          <t>—</t>
        </is>
      </c>
      <c r="E2924" s="45" t="inlineStr"/>
      <c r="F2924" s="45" t="inlineStr"/>
    </row>
    <row r="2925" ht="13" customHeight="1">
      <c r="A2925" s="49" t="inlineStr">
        <is>
          <t>26681</t>
        </is>
      </c>
      <c r="B2925" s="49" t="inlineStr">
        <is>
          <t>4574</t>
        </is>
      </c>
      <c r="C2925" s="49" t="inlineStr">
        <is>
          <t>2×2287</t>
        </is>
      </c>
      <c r="D2925" s="49" t="inlineStr">
        <is>
          <t>2</t>
        </is>
      </c>
      <c r="E2925" s="49" t="inlineStr"/>
      <c r="F2925" s="49" t="inlineStr"/>
    </row>
    <row r="2926" ht="13" customHeight="1">
      <c r="A2926" s="45" t="inlineStr">
        <is>
          <t>26683</t>
        </is>
      </c>
      <c r="B2926" s="45" t="inlineStr">
        <is>
          <t>6866</t>
        </is>
      </c>
      <c r="C2926" s="45" t="inlineStr">
        <is>
          <t>2×3433</t>
        </is>
      </c>
      <c r="D2926" s="45" t="inlineStr">
        <is>
          <t>2</t>
        </is>
      </c>
      <c r="E2926" s="45" t="inlineStr"/>
      <c r="F2926" s="45" t="inlineStr"/>
    </row>
    <row r="2927" ht="13" customHeight="1">
      <c r="A2927" s="49" t="inlineStr">
        <is>
          <t>26687</t>
        </is>
      </c>
      <c r="B2927" s="49" t="inlineStr">
        <is>
          <t>22683</t>
        </is>
      </c>
      <c r="C2927" s="49" t="inlineStr">
        <is>
          <t>3×7561</t>
        </is>
      </c>
      <c r="D2927" s="49" t="inlineStr">
        <is>
          <t>3</t>
        </is>
      </c>
      <c r="E2927" s="49" t="inlineStr"/>
      <c r="F2927" s="49" t="inlineStr"/>
    </row>
    <row r="2928" ht="13" customHeight="1">
      <c r="A2928" s="45" t="inlineStr">
        <is>
          <t>26693</t>
        </is>
      </c>
      <c r="B2928" s="45" t="inlineStr">
        <is>
          <t>42723</t>
        </is>
      </c>
      <c r="C2928" s="45" t="inlineStr">
        <is>
          <t>3×3×47×101</t>
        </is>
      </c>
      <c r="D2928" s="45" t="inlineStr">
        <is>
          <t>3</t>
        </is>
      </c>
      <c r="E2928" s="45" t="inlineStr"/>
      <c r="F2928" s="45" t="inlineStr"/>
    </row>
    <row r="2929" ht="13" customHeight="1">
      <c r="A2929" s="49" t="inlineStr">
        <is>
          <t>26699</t>
        </is>
      </c>
      <c r="B2929" s="49" t="inlineStr">
        <is>
          <t>38395</t>
        </is>
      </c>
      <c r="C2929" s="49" t="inlineStr">
        <is>
          <t>5×7×1097</t>
        </is>
      </c>
      <c r="D2929" s="49" t="inlineStr">
        <is>
          <t>5·7</t>
        </is>
      </c>
      <c r="E2929" s="49" t="inlineStr"/>
      <c r="F2929" s="49" t="inlineStr"/>
    </row>
    <row r="2930" ht="13" customHeight="1">
      <c r="A2930" s="45" t="inlineStr">
        <is>
          <t>26701</t>
        </is>
      </c>
      <c r="B2930" s="45" t="inlineStr">
        <is>
          <t>21028</t>
        </is>
      </c>
      <c r="C2930" s="45" t="inlineStr">
        <is>
          <t>2×2×7×751</t>
        </is>
      </c>
      <c r="D2930" s="45" t="inlineStr">
        <is>
          <t>2·7</t>
        </is>
      </c>
      <c r="E2930" s="45" t="inlineStr"/>
      <c r="F2930" s="45" t="inlineStr"/>
    </row>
    <row r="2931" ht="13" customHeight="1">
      <c r="A2931" s="49" t="inlineStr">
        <is>
          <t>26711</t>
        </is>
      </c>
      <c r="B2931" s="49" t="inlineStr">
        <is>
          <t>31829</t>
        </is>
      </c>
      <c r="C2931" s="49" t="inlineStr">
        <is>
          <t>7×4547</t>
        </is>
      </c>
      <c r="D2931" s="49" t="inlineStr">
        <is>
          <t>7</t>
        </is>
      </c>
      <c r="E2931" s="49" t="inlineStr"/>
      <c r="F2931" s="49" t="inlineStr"/>
    </row>
    <row r="2932" ht="13" customHeight="1">
      <c r="A2932" s="45" t="inlineStr">
        <is>
          <t>26713</t>
        </is>
      </c>
      <c r="B2932" s="45" t="inlineStr">
        <is>
          <t>6434</t>
        </is>
      </c>
      <c r="C2932" s="45" t="inlineStr">
        <is>
          <t>2×3217</t>
        </is>
      </c>
      <c r="D2932" s="45" t="inlineStr">
        <is>
          <t>2</t>
        </is>
      </c>
      <c r="E2932" s="45" t="inlineStr"/>
      <c r="F2932" s="45" t="inlineStr"/>
    </row>
    <row r="2933" ht="13" customHeight="1">
      <c r="A2933" s="49" t="inlineStr">
        <is>
          <t>26717</t>
        </is>
      </c>
      <c r="B2933" s="49" t="inlineStr">
        <is>
          <t>2151</t>
        </is>
      </c>
      <c r="C2933" s="49" t="inlineStr">
        <is>
          <t>3×3×239</t>
        </is>
      </c>
      <c r="D2933" s="49" t="inlineStr">
        <is>
          <t>3</t>
        </is>
      </c>
      <c r="E2933" s="49" t="inlineStr"/>
      <c r="F2933" s="49" t="inlineStr"/>
    </row>
    <row r="2934" ht="13" customHeight="1">
      <c r="A2934" s="45" t="inlineStr">
        <is>
          <t>26723</t>
        </is>
      </c>
      <c r="B2934" s="45" t="inlineStr">
        <is>
          <t>5314</t>
        </is>
      </c>
      <c r="C2934" s="45" t="inlineStr">
        <is>
          <t>2×2657</t>
        </is>
      </c>
      <c r="D2934" s="45" t="inlineStr">
        <is>
          <t>2</t>
        </is>
      </c>
      <c r="E2934" s="45" t="inlineStr"/>
      <c r="F2934" s="45" t="inlineStr"/>
    </row>
    <row r="2935" ht="13" customHeight="1">
      <c r="A2935" s="41" t="inlineStr">
        <is>
          <t>26729</t>
        </is>
      </c>
      <c r="B2935" s="41" t="inlineStr">
        <is>
          <t>38318</t>
        </is>
      </c>
      <c r="C2935" s="41" t="inlineStr">
        <is>
          <t>2×7×7×17×23</t>
        </is>
      </c>
      <c r="D2935" s="41" t="inlineStr">
        <is>
          <t>2·7·17</t>
        </is>
      </c>
      <c r="E2935" s="41" t="inlineStr"/>
      <c r="F2935" s="41" t="inlineStr"/>
    </row>
    <row r="2936" ht="13" customHeight="1">
      <c r="A2936" s="45" t="inlineStr">
        <is>
          <t>26731</t>
        </is>
      </c>
      <c r="B2936" s="45" t="inlineStr">
        <is>
          <t>8928</t>
        </is>
      </c>
      <c r="C2936" s="45" t="inlineStr">
        <is>
          <t>2×2×2×2×2×3×3×31</t>
        </is>
      </c>
      <c r="D2936" s="45" t="inlineStr">
        <is>
          <t>2·3</t>
        </is>
      </c>
      <c r="E2936" s="45" t="inlineStr"/>
      <c r="F2936" s="45" t="inlineStr"/>
    </row>
    <row r="2937" ht="13" customHeight="1">
      <c r="A2937" s="41" t="inlineStr">
        <is>
          <t>26737</t>
        </is>
      </c>
      <c r="B2937" s="41" t="inlineStr">
        <is>
          <t>33830</t>
        </is>
      </c>
      <c r="C2937" s="41" t="inlineStr">
        <is>
          <t>2×5×17×199</t>
        </is>
      </c>
      <c r="D2937" s="41" t="inlineStr">
        <is>
          <t>2·5·17</t>
        </is>
      </c>
      <c r="E2937" s="41" t="inlineStr"/>
      <c r="F2937" s="41" t="inlineStr"/>
    </row>
    <row r="2938" ht="13" customHeight="1">
      <c r="A2938" s="45" t="inlineStr">
        <is>
          <t>26759</t>
        </is>
      </c>
      <c r="B2938" s="45" t="inlineStr">
        <is>
          <t>39458</t>
        </is>
      </c>
      <c r="C2938" s="45" t="inlineStr">
        <is>
          <t>2×109×181</t>
        </is>
      </c>
      <c r="D2938" s="45" t="inlineStr">
        <is>
          <t>2</t>
        </is>
      </c>
      <c r="E2938" s="45" t="inlineStr"/>
      <c r="F2938" s="45" t="inlineStr"/>
    </row>
    <row r="2939" ht="13" customHeight="1">
      <c r="A2939" s="41" t="inlineStr">
        <is>
          <t>26777</t>
        </is>
      </c>
      <c r="B2939" s="41" t="inlineStr">
        <is>
          <t>23010</t>
        </is>
      </c>
      <c r="C2939" s="41" t="inlineStr">
        <is>
          <t>2×3×5×13×59</t>
        </is>
      </c>
      <c r="D2939" s="41" t="inlineStr">
        <is>
          <t>2·3·5·13</t>
        </is>
      </c>
      <c r="E2939" s="41" t="inlineStr"/>
      <c r="F2939" s="41" t="inlineStr"/>
    </row>
    <row r="2940" ht="13" customHeight="1">
      <c r="A2940" s="41" t="inlineStr">
        <is>
          <t>26783</t>
        </is>
      </c>
      <c r="B2940" s="41" t="inlineStr">
        <is>
          <t>18434</t>
        </is>
      </c>
      <c r="C2940" s="41" t="inlineStr">
        <is>
          <t>2×13×709</t>
        </is>
      </c>
      <c r="D2940" s="41" t="inlineStr">
        <is>
          <t>2·13</t>
        </is>
      </c>
      <c r="E2940" s="41" t="inlineStr"/>
      <c r="F2940" s="41" t="inlineStr"/>
    </row>
    <row r="2941" ht="13" customHeight="1">
      <c r="A2941" s="50" t="inlineStr">
        <is>
          <t>26801</t>
        </is>
      </c>
      <c r="B2941" s="50" t="inlineStr">
        <is>
          <t>24709</t>
        </is>
      </c>
      <c r="C2941" s="50" t="inlineStr">
        <is>
          <t>24709</t>
        </is>
      </c>
      <c r="D2941" s="50" t="inlineStr">
        <is>
          <t>—</t>
        </is>
      </c>
      <c r="E2941" s="50" t="inlineStr"/>
      <c r="F2941" s="50" t="inlineStr"/>
    </row>
    <row r="2942" ht="13" customHeight="1">
      <c r="A2942" s="45" t="inlineStr">
        <is>
          <t>26813</t>
        </is>
      </c>
      <c r="B2942" s="45" t="inlineStr">
        <is>
          <t>28973</t>
        </is>
      </c>
      <c r="C2942" s="45" t="inlineStr">
        <is>
          <t>7×4139</t>
        </is>
      </c>
      <c r="D2942" s="45" t="inlineStr">
        <is>
          <t>7</t>
        </is>
      </c>
      <c r="E2942" s="45" t="inlineStr"/>
      <c r="F2942" s="45" t="inlineStr"/>
    </row>
    <row r="2943" ht="13" customHeight="1">
      <c r="A2943" s="49" t="inlineStr">
        <is>
          <t>26821</t>
        </is>
      </c>
      <c r="B2943" s="49" t="inlineStr">
        <is>
          <t>15396</t>
        </is>
      </c>
      <c r="C2943" s="49" t="inlineStr">
        <is>
          <t>2×2×3×1283</t>
        </is>
      </c>
      <c r="D2943" s="49" t="inlineStr">
        <is>
          <t>2·3</t>
        </is>
      </c>
      <c r="E2943" s="49" t="inlineStr"/>
      <c r="F2943" s="49" t="inlineStr"/>
    </row>
    <row r="2944" ht="13" customHeight="1">
      <c r="A2944" s="45" t="inlineStr">
        <is>
          <t>26833</t>
        </is>
      </c>
      <c r="B2944" s="45" t="inlineStr">
        <is>
          <t>29968</t>
        </is>
      </c>
      <c r="C2944" s="45" t="inlineStr">
        <is>
          <t>2×2×2×2×1873</t>
        </is>
      </c>
      <c r="D2944" s="45" t="inlineStr">
        <is>
          <t>2</t>
        </is>
      </c>
      <c r="E2944" s="45" t="inlineStr"/>
      <c r="F2944" s="45" t="inlineStr"/>
    </row>
    <row r="2945" ht="13" customHeight="1">
      <c r="A2945" s="49" t="inlineStr">
        <is>
          <t>26839</t>
        </is>
      </c>
      <c r="B2945" s="49" t="inlineStr">
        <is>
          <t>2065</t>
        </is>
      </c>
      <c r="C2945" s="49" t="inlineStr">
        <is>
          <t>5×7×59</t>
        </is>
      </c>
      <c r="D2945" s="49" t="inlineStr">
        <is>
          <t>5·7</t>
        </is>
      </c>
      <c r="E2945" s="49" t="inlineStr"/>
      <c r="F2945" s="49" t="inlineStr"/>
    </row>
    <row r="2946" ht="13" customHeight="1">
      <c r="A2946" s="45" t="inlineStr">
        <is>
          <t>26849</t>
        </is>
      </c>
      <c r="B2946" s="45" t="inlineStr">
        <is>
          <t>6713</t>
        </is>
      </c>
      <c r="C2946" s="45" t="inlineStr">
        <is>
          <t>7×7×137</t>
        </is>
      </c>
      <c r="D2946" s="45" t="inlineStr">
        <is>
          <t>7</t>
        </is>
      </c>
      <c r="E2946" s="45" t="inlineStr"/>
      <c r="F2946" s="45" t="inlineStr"/>
    </row>
    <row r="2947" ht="13" customHeight="1">
      <c r="A2947" s="49" t="inlineStr">
        <is>
          <t>26861</t>
        </is>
      </c>
      <c r="B2947" s="49" t="inlineStr">
        <is>
          <t>21188</t>
        </is>
      </c>
      <c r="C2947" s="49" t="inlineStr">
        <is>
          <t>2×2×5297</t>
        </is>
      </c>
      <c r="D2947" s="49" t="inlineStr">
        <is>
          <t>2</t>
        </is>
      </c>
      <c r="E2947" s="49" t="inlineStr"/>
      <c r="F2947" s="49" t="inlineStr"/>
    </row>
    <row r="2948" ht="13" customHeight="1">
      <c r="A2948" s="50" t="inlineStr">
        <is>
          <t>26863</t>
        </is>
      </c>
      <c r="B2948" s="50" t="inlineStr">
        <is>
          <t>11149</t>
        </is>
      </c>
      <c r="C2948" s="50" t="inlineStr">
        <is>
          <t>11149</t>
        </is>
      </c>
      <c r="D2948" s="50" t="inlineStr">
        <is>
          <t>—</t>
        </is>
      </c>
      <c r="E2948" s="50" t="inlineStr"/>
      <c r="F2948" s="50" t="inlineStr"/>
    </row>
    <row r="2949" ht="13" customHeight="1">
      <c r="A2949" s="50" t="inlineStr">
        <is>
          <t>26879</t>
        </is>
      </c>
      <c r="B2949" s="50" t="inlineStr">
        <is>
          <t>34883</t>
        </is>
      </c>
      <c r="C2949" s="50" t="inlineStr">
        <is>
          <t>34883</t>
        </is>
      </c>
      <c r="D2949" s="50" t="inlineStr">
        <is>
          <t>—</t>
        </is>
      </c>
      <c r="E2949" s="50" t="inlineStr"/>
      <c r="F2949" s="50" t="inlineStr"/>
    </row>
    <row r="2950" ht="13" customHeight="1">
      <c r="A2950" s="45" t="inlineStr">
        <is>
          <t>26881</t>
        </is>
      </c>
      <c r="B2950" s="45" t="inlineStr">
        <is>
          <t>29264</t>
        </is>
      </c>
      <c r="C2950" s="45" t="inlineStr">
        <is>
          <t>2×2×2×2×31×59</t>
        </is>
      </c>
      <c r="D2950" s="45" t="inlineStr">
        <is>
          <t>2</t>
        </is>
      </c>
      <c r="E2950" s="45" t="inlineStr"/>
      <c r="F2950" s="45" t="inlineStr"/>
    </row>
    <row r="2951" ht="13" customHeight="1">
      <c r="A2951" s="50" t="inlineStr">
        <is>
          <t>26891</t>
        </is>
      </c>
      <c r="B2951" s="50" t="inlineStr">
        <is>
          <t>4013</t>
        </is>
      </c>
      <c r="C2951" s="50" t="inlineStr">
        <is>
          <t>4013</t>
        </is>
      </c>
      <c r="D2951" s="50" t="inlineStr">
        <is>
          <t>—</t>
        </is>
      </c>
      <c r="E2951" s="50" t="inlineStr"/>
      <c r="F2951" s="50" t="inlineStr"/>
    </row>
    <row r="2952" ht="13" customHeight="1">
      <c r="A2952" s="45" t="inlineStr">
        <is>
          <t>26893</t>
        </is>
      </c>
      <c r="B2952" s="45" t="inlineStr">
        <is>
          <t>31533</t>
        </is>
      </c>
      <c r="C2952" s="45" t="inlineStr">
        <is>
          <t>3×23×457</t>
        </is>
      </c>
      <c r="D2952" s="45" t="inlineStr">
        <is>
          <t>3</t>
        </is>
      </c>
      <c r="E2952" s="45" t="inlineStr"/>
      <c r="F2952" s="45" t="inlineStr"/>
    </row>
    <row r="2953" ht="13" customHeight="1">
      <c r="A2953" s="49" t="inlineStr">
        <is>
          <t>26903</t>
        </is>
      </c>
      <c r="B2953" s="49" t="inlineStr">
        <is>
          <t>9756</t>
        </is>
      </c>
      <c r="C2953" s="49" t="inlineStr">
        <is>
          <t>2×2×3×3×271</t>
        </is>
      </c>
      <c r="D2953" s="49" t="inlineStr">
        <is>
          <t>2·3</t>
        </is>
      </c>
      <c r="E2953" s="49" t="inlineStr"/>
      <c r="F2953" s="49" t="inlineStr"/>
    </row>
    <row r="2954" ht="13" customHeight="1">
      <c r="A2954" s="45" t="inlineStr">
        <is>
          <t>26921</t>
        </is>
      </c>
      <c r="B2954" s="45" t="inlineStr">
        <is>
          <t>35058</t>
        </is>
      </c>
      <c r="C2954" s="45" t="inlineStr">
        <is>
          <t>2×3×5843</t>
        </is>
      </c>
      <c r="D2954" s="45" t="inlineStr">
        <is>
          <t>2·3</t>
        </is>
      </c>
      <c r="E2954" s="45" t="inlineStr"/>
      <c r="F2954" s="45" t="inlineStr"/>
    </row>
    <row r="2955" ht="13" customHeight="1">
      <c r="A2955" s="49" t="inlineStr">
        <is>
          <t>26927</t>
        </is>
      </c>
      <c r="B2955" s="49" t="inlineStr">
        <is>
          <t>37996</t>
        </is>
      </c>
      <c r="C2955" s="49" t="inlineStr">
        <is>
          <t>2×2×7×23×59</t>
        </is>
      </c>
      <c r="D2955" s="49" t="inlineStr">
        <is>
          <t>2·7</t>
        </is>
      </c>
      <c r="E2955" s="49" t="inlineStr"/>
      <c r="F2955" s="49" t="inlineStr"/>
    </row>
    <row r="2956" ht="13" customHeight="1">
      <c r="A2956" s="45" t="inlineStr">
        <is>
          <t>26947</t>
        </is>
      </c>
      <c r="B2956" s="45" t="inlineStr">
        <is>
          <t>35637</t>
        </is>
      </c>
      <c r="C2956" s="45" t="inlineStr">
        <is>
          <t>3×7×1697</t>
        </is>
      </c>
      <c r="D2956" s="45" t="inlineStr">
        <is>
          <t>3·7</t>
        </is>
      </c>
      <c r="E2956" s="45" t="inlineStr"/>
      <c r="F2956" s="45" t="inlineStr"/>
    </row>
    <row r="2957" ht="13" customHeight="1">
      <c r="A2957" s="41" t="inlineStr">
        <is>
          <t>26951</t>
        </is>
      </c>
      <c r="B2957" s="41" t="inlineStr">
        <is>
          <t>7786</t>
        </is>
      </c>
      <c r="C2957" s="41" t="inlineStr">
        <is>
          <t>2×17×229</t>
        </is>
      </c>
      <c r="D2957" s="41" t="inlineStr">
        <is>
          <t>2·17</t>
        </is>
      </c>
      <c r="E2957" s="41" t="inlineStr"/>
      <c r="F2957" s="41" t="inlineStr"/>
    </row>
    <row r="2958" ht="13" customHeight="1">
      <c r="A2958" s="45" t="inlineStr">
        <is>
          <t>26953</t>
        </is>
      </c>
      <c r="B2958" s="45" t="inlineStr">
        <is>
          <t>36544</t>
        </is>
      </c>
      <c r="C2958" s="45" t="inlineStr">
        <is>
          <t>2×2×2×2×2×2×571</t>
        </is>
      </c>
      <c r="D2958" s="45" t="inlineStr">
        <is>
          <t>2</t>
        </is>
      </c>
      <c r="E2958" s="45" t="inlineStr"/>
      <c r="F2958" s="45" t="inlineStr"/>
    </row>
    <row r="2959" ht="13" customHeight="1">
      <c r="A2959" s="49" t="inlineStr">
        <is>
          <t>26959</t>
        </is>
      </c>
      <c r="B2959" s="49" t="inlineStr">
        <is>
          <t>12509</t>
        </is>
      </c>
      <c r="C2959" s="49" t="inlineStr">
        <is>
          <t>7×1787</t>
        </is>
      </c>
      <c r="D2959" s="49" t="inlineStr">
        <is>
          <t>7</t>
        </is>
      </c>
      <c r="E2959" s="49" t="inlineStr"/>
      <c r="F2959" s="49" t="inlineStr"/>
    </row>
    <row r="2960" ht="13" customHeight="1">
      <c r="A2960" s="43" t="inlineStr">
        <is>
          <t>26981</t>
        </is>
      </c>
      <c r="B2960" s="43" t="inlineStr">
        <is>
          <t>34012</t>
        </is>
      </c>
      <c r="C2960" s="43" t="inlineStr">
        <is>
          <t>2×2×11×773</t>
        </is>
      </c>
      <c r="D2960" s="43" t="inlineStr">
        <is>
          <t>2·11</t>
        </is>
      </c>
      <c r="E2960" s="43" t="inlineStr"/>
      <c r="F2960" s="43" t="inlineStr"/>
    </row>
    <row r="2961" ht="13" customHeight="1">
      <c r="A2961" s="49" t="inlineStr">
        <is>
          <t>26987</t>
        </is>
      </c>
      <c r="B2961" s="49" t="inlineStr">
        <is>
          <t>15341</t>
        </is>
      </c>
      <c r="C2961" s="49" t="inlineStr">
        <is>
          <t>23×23×29</t>
        </is>
      </c>
      <c r="D2961" s="49" t="inlineStr">
        <is>
          <t>—</t>
        </is>
      </c>
      <c r="E2961" s="49" t="inlineStr"/>
      <c r="F2961" s="49" t="inlineStr"/>
    </row>
    <row r="2962" ht="13" customHeight="1">
      <c r="A2962" s="45" t="inlineStr">
        <is>
          <t>26993</t>
        </is>
      </c>
      <c r="B2962" s="45" t="inlineStr">
        <is>
          <t>20850</t>
        </is>
      </c>
      <c r="C2962" s="45" t="inlineStr">
        <is>
          <t>2×3×5×5×139</t>
        </is>
      </c>
      <c r="D2962" s="45" t="inlineStr">
        <is>
          <t>2·3·5</t>
        </is>
      </c>
      <c r="E2962" s="45" t="inlineStr"/>
      <c r="F2962" s="45" t="inlineStr"/>
    </row>
    <row r="2963" ht="13" customHeight="1">
      <c r="A2963" s="51" t="inlineStr">
        <is>
          <t>27011</t>
        </is>
      </c>
      <c r="B2963" s="51" t="inlineStr">
        <is>
          <t>2641</t>
        </is>
      </c>
      <c r="C2963" s="51" t="inlineStr">
        <is>
          <t>19×139</t>
        </is>
      </c>
      <c r="D2963" s="51" t="inlineStr">
        <is>
          <t>19</t>
        </is>
      </c>
      <c r="E2963" s="51" t="inlineStr"/>
      <c r="F2963" s="51" t="inlineStr"/>
    </row>
    <row r="2964" ht="13" customHeight="1">
      <c r="A2964" s="45" t="inlineStr">
        <is>
          <t>27017</t>
        </is>
      </c>
      <c r="B2964" s="45" t="inlineStr">
        <is>
          <t>23467</t>
        </is>
      </c>
      <c r="C2964" s="45" t="inlineStr">
        <is>
          <t>31×757</t>
        </is>
      </c>
      <c r="D2964" s="45" t="inlineStr">
        <is>
          <t>—</t>
        </is>
      </c>
      <c r="E2964" s="45" t="inlineStr"/>
      <c r="F2964" s="45" t="inlineStr"/>
    </row>
    <row r="2965" ht="13" customHeight="1">
      <c r="A2965" s="50" t="inlineStr">
        <is>
          <t>27031</t>
        </is>
      </c>
      <c r="B2965" s="50" t="inlineStr">
        <is>
          <t>2819</t>
        </is>
      </c>
      <c r="C2965" s="50" t="inlineStr">
        <is>
          <t>2819</t>
        </is>
      </c>
      <c r="D2965" s="50" t="inlineStr">
        <is>
          <t>—</t>
        </is>
      </c>
      <c r="E2965" s="50" t="inlineStr"/>
      <c r="F2965" s="50" t="inlineStr"/>
    </row>
    <row r="2966" ht="13" customHeight="1">
      <c r="A2966" s="50" t="inlineStr">
        <is>
          <t>27043</t>
        </is>
      </c>
      <c r="B2966" s="50" t="inlineStr">
        <is>
          <t>40237</t>
        </is>
      </c>
      <c r="C2966" s="50" t="inlineStr">
        <is>
          <t>40237</t>
        </is>
      </c>
      <c r="D2966" s="50" t="inlineStr">
        <is>
          <t>—</t>
        </is>
      </c>
      <c r="E2966" s="50" t="inlineStr"/>
      <c r="F2966" s="50" t="inlineStr"/>
    </row>
    <row r="2967" ht="13" customHeight="1">
      <c r="A2967" s="49" t="inlineStr">
        <is>
          <t>27059</t>
        </is>
      </c>
      <c r="B2967" s="49" t="inlineStr">
        <is>
          <t>11034</t>
        </is>
      </c>
      <c r="C2967" s="49" t="inlineStr">
        <is>
          <t>2×3×3×613</t>
        </is>
      </c>
      <c r="D2967" s="49" t="inlineStr">
        <is>
          <t>2·3</t>
        </is>
      </c>
      <c r="E2967" s="49" t="inlineStr"/>
      <c r="F2967" s="49" t="inlineStr"/>
    </row>
    <row r="2968" ht="13" customHeight="1">
      <c r="A2968" s="45" t="inlineStr">
        <is>
          <t>27061</t>
        </is>
      </c>
      <c r="B2968" s="45" t="inlineStr">
        <is>
          <t>36810</t>
        </is>
      </c>
      <c r="C2968" s="45" t="inlineStr">
        <is>
          <t>2×3×3×5×409</t>
        </is>
      </c>
      <c r="D2968" s="45" t="inlineStr">
        <is>
          <t>2·3·5</t>
        </is>
      </c>
      <c r="E2968" s="45" t="inlineStr"/>
      <c r="F2968" s="45" t="inlineStr"/>
    </row>
    <row r="2969" ht="13" customHeight="1">
      <c r="A2969" s="49" t="inlineStr">
        <is>
          <t>27067</t>
        </is>
      </c>
      <c r="B2969" s="49" t="inlineStr">
        <is>
          <t>13027</t>
        </is>
      </c>
      <c r="C2969" s="49" t="inlineStr">
        <is>
          <t>7×1861</t>
        </is>
      </c>
      <c r="D2969" s="49" t="inlineStr">
        <is>
          <t>7</t>
        </is>
      </c>
      <c r="E2969" s="49" t="inlineStr"/>
      <c r="F2969" s="49" t="inlineStr"/>
    </row>
    <row r="2970" ht="13" customHeight="1">
      <c r="A2970" s="51" t="inlineStr">
        <is>
          <t>27073</t>
        </is>
      </c>
      <c r="B2970" s="51" t="inlineStr">
        <is>
          <t>7600</t>
        </is>
      </c>
      <c r="C2970" s="51" t="inlineStr">
        <is>
          <t>2×2×2×2×5×5×19</t>
        </is>
      </c>
      <c r="D2970" s="51" t="inlineStr">
        <is>
          <t>2·5·19</t>
        </is>
      </c>
      <c r="E2970" s="51" t="inlineStr"/>
      <c r="F2970" s="51" t="inlineStr"/>
    </row>
    <row r="2971" ht="13" customHeight="1">
      <c r="A2971" s="49" t="inlineStr">
        <is>
          <t>27077</t>
        </is>
      </c>
      <c r="B2971" s="49" t="inlineStr">
        <is>
          <t>36984</t>
        </is>
      </c>
      <c r="C2971" s="49" t="inlineStr">
        <is>
          <t>2×2×2×3×23×67</t>
        </is>
      </c>
      <c r="D2971" s="49" t="inlineStr">
        <is>
          <t>2·3</t>
        </is>
      </c>
      <c r="E2971" s="49" t="inlineStr"/>
      <c r="F2971" s="49" t="inlineStr"/>
    </row>
    <row r="2972" ht="13" customHeight="1">
      <c r="A2972" s="45" t="inlineStr">
        <is>
          <t>27091</t>
        </is>
      </c>
      <c r="B2972" s="45" t="inlineStr">
        <is>
          <t>6298</t>
        </is>
      </c>
      <c r="C2972" s="45" t="inlineStr">
        <is>
          <t>2×47×67</t>
        </is>
      </c>
      <c r="D2972" s="45" t="inlineStr">
        <is>
          <t>2</t>
        </is>
      </c>
      <c r="E2972" s="45" t="inlineStr"/>
      <c r="F2972" s="45" t="inlineStr"/>
    </row>
    <row r="2973" ht="13" customHeight="1">
      <c r="A2973" s="49" t="inlineStr">
        <is>
          <t>27103</t>
        </is>
      </c>
      <c r="B2973" s="49" t="inlineStr">
        <is>
          <t>21891</t>
        </is>
      </c>
      <c r="C2973" s="49" t="inlineStr">
        <is>
          <t>3×7297</t>
        </is>
      </c>
      <c r="D2973" s="49" t="inlineStr">
        <is>
          <t>3</t>
        </is>
      </c>
      <c r="E2973" s="49" t="inlineStr"/>
      <c r="F2973" s="49" t="inlineStr"/>
    </row>
    <row r="2974" ht="13" customHeight="1">
      <c r="A2974" s="45" t="inlineStr">
        <is>
          <t>27107</t>
        </is>
      </c>
      <c r="B2974" s="45" t="inlineStr">
        <is>
          <t>30183</t>
        </is>
      </c>
      <c r="C2974" s="45" t="inlineStr">
        <is>
          <t>3×10061</t>
        </is>
      </c>
      <c r="D2974" s="45" t="inlineStr">
        <is>
          <t>3</t>
        </is>
      </c>
      <c r="E2974" s="45" t="inlineStr"/>
      <c r="F2974" s="45" t="inlineStr"/>
    </row>
    <row r="2975" ht="13" customHeight="1">
      <c r="A2975" s="49" t="inlineStr">
        <is>
          <t>27109</t>
        </is>
      </c>
      <c r="B2975" s="49" t="inlineStr">
        <is>
          <t>33919</t>
        </is>
      </c>
      <c r="C2975" s="49" t="inlineStr">
        <is>
          <t>107×317</t>
        </is>
      </c>
      <c r="D2975" s="49" t="inlineStr">
        <is>
          <t>—</t>
        </is>
      </c>
      <c r="E2975" s="49" t="inlineStr"/>
      <c r="F2975" s="49" t="inlineStr"/>
    </row>
    <row r="2976" ht="13" customHeight="1">
      <c r="A2976" s="45" t="inlineStr">
        <is>
          <t>27127</t>
        </is>
      </c>
      <c r="B2976" s="45" t="inlineStr">
        <is>
          <t>1194</t>
        </is>
      </c>
      <c r="C2976" s="45" t="inlineStr">
        <is>
          <t>2×3×199</t>
        </is>
      </c>
      <c r="D2976" s="45" t="inlineStr">
        <is>
          <t>2·3</t>
        </is>
      </c>
      <c r="E2976" s="45" t="inlineStr"/>
      <c r="F2976" s="45" t="inlineStr"/>
    </row>
    <row r="2977" ht="13" customHeight="1">
      <c r="A2977" s="49" t="inlineStr">
        <is>
          <t>27143</t>
        </is>
      </c>
      <c r="B2977" s="49" t="inlineStr">
        <is>
          <t>5648</t>
        </is>
      </c>
      <c r="C2977" s="49" t="inlineStr">
        <is>
          <t>2×2×2×2×353</t>
        </is>
      </c>
      <c r="D2977" s="49" t="inlineStr">
        <is>
          <t>2</t>
        </is>
      </c>
      <c r="E2977" s="49" t="inlineStr"/>
      <c r="F2977" s="49" t="inlineStr"/>
    </row>
    <row r="2978" ht="13" customHeight="1">
      <c r="A2978" s="45" t="inlineStr">
        <is>
          <t>27179</t>
        </is>
      </c>
      <c r="B2978" s="45" t="inlineStr">
        <is>
          <t>18619</t>
        </is>
      </c>
      <c r="C2978" s="45" t="inlineStr">
        <is>
          <t>43×433</t>
        </is>
      </c>
      <c r="D2978" s="45" t="inlineStr">
        <is>
          <t>—</t>
        </is>
      </c>
      <c r="E2978" s="45" t="inlineStr"/>
      <c r="F2978" s="45" t="inlineStr"/>
    </row>
    <row r="2979" ht="13" customHeight="1">
      <c r="A2979" s="49" t="inlineStr">
        <is>
          <t>27191</t>
        </is>
      </c>
      <c r="B2979" s="49" t="inlineStr">
        <is>
          <t>1186</t>
        </is>
      </c>
      <c r="C2979" s="49" t="inlineStr">
        <is>
          <t>2×593</t>
        </is>
      </c>
      <c r="D2979" s="49" t="inlineStr">
        <is>
          <t>2</t>
        </is>
      </c>
      <c r="E2979" s="49" t="inlineStr"/>
      <c r="F2979" s="49" t="inlineStr"/>
    </row>
    <row r="2980" ht="13" customHeight="1">
      <c r="A2980" s="39" t="inlineStr">
        <is>
          <t>27197</t>
        </is>
      </c>
      <c r="B2980" s="39" t="inlineStr">
        <is>
          <t>27440</t>
        </is>
      </c>
      <c r="C2980" s="39" t="inlineStr">
        <is>
          <t>2×2×2×2×5×7×7×7</t>
        </is>
      </c>
      <c r="D2980" s="39" t="inlineStr">
        <is>
          <t>2·5·7</t>
        </is>
      </c>
      <c r="E2980" s="39" t="inlineStr"/>
      <c r="F2980" s="39" t="inlineStr"/>
    </row>
    <row r="2981" ht="13" customHeight="1">
      <c r="A2981" s="49" t="inlineStr">
        <is>
          <t>27211</t>
        </is>
      </c>
      <c r="B2981" s="49" t="inlineStr">
        <is>
          <t>16084</t>
        </is>
      </c>
      <c r="C2981" s="49" t="inlineStr">
        <is>
          <t>2×2×4021</t>
        </is>
      </c>
      <c r="D2981" s="49" t="inlineStr">
        <is>
          <t>2</t>
        </is>
      </c>
      <c r="E2981" s="49" t="inlineStr"/>
      <c r="F2981" s="49" t="inlineStr"/>
    </row>
    <row r="2982" ht="13" customHeight="1">
      <c r="A2982" s="45" t="inlineStr">
        <is>
          <t>27239</t>
        </is>
      </c>
      <c r="B2982" s="45" t="inlineStr">
        <is>
          <t>22196</t>
        </is>
      </c>
      <c r="C2982" s="45" t="inlineStr">
        <is>
          <t>2×2×31×179</t>
        </is>
      </c>
      <c r="D2982" s="45" t="inlineStr">
        <is>
          <t>2</t>
        </is>
      </c>
      <c r="E2982" s="45" t="inlineStr"/>
      <c r="F2982" s="45" t="inlineStr"/>
    </row>
    <row r="2983" ht="13" customHeight="1">
      <c r="A2983" s="41" t="inlineStr">
        <is>
          <t>27241</t>
        </is>
      </c>
      <c r="B2983" s="41" t="inlineStr">
        <is>
          <t>33150</t>
        </is>
      </c>
      <c r="C2983" s="41" t="inlineStr">
        <is>
          <t>2×3×5×5×13×17</t>
        </is>
      </c>
      <c r="D2983" s="41" t="inlineStr">
        <is>
          <t>2·3·5·13·17</t>
        </is>
      </c>
      <c r="E2983" s="41" t="inlineStr"/>
      <c r="F2983" s="41" t="inlineStr"/>
    </row>
    <row r="2984" ht="13" customHeight="1">
      <c r="A2984" s="45" t="inlineStr">
        <is>
          <t>27253</t>
        </is>
      </c>
      <c r="B2984" s="45" t="inlineStr">
        <is>
          <t>30149</t>
        </is>
      </c>
      <c r="C2984" s="45" t="inlineStr">
        <is>
          <t>7×59×73</t>
        </is>
      </c>
      <c r="D2984" s="45" t="inlineStr">
        <is>
          <t>7</t>
        </is>
      </c>
      <c r="E2984" s="45" t="inlineStr"/>
      <c r="F2984" s="45" t="inlineStr"/>
    </row>
    <row r="2985" ht="13" customHeight="1">
      <c r="A2985" s="49" t="inlineStr">
        <is>
          <t>27259</t>
        </is>
      </c>
      <c r="B2985" s="49" t="inlineStr">
        <is>
          <t>39095</t>
        </is>
      </c>
      <c r="C2985" s="49" t="inlineStr">
        <is>
          <t>5×7×1117</t>
        </is>
      </c>
      <c r="D2985" s="49" t="inlineStr">
        <is>
          <t>5·7</t>
        </is>
      </c>
      <c r="E2985" s="49" t="inlineStr"/>
      <c r="F2985" s="49" t="inlineStr"/>
    </row>
    <row r="2986" ht="13" customHeight="1">
      <c r="A2986" s="45" t="inlineStr">
        <is>
          <t>27271</t>
        </is>
      </c>
      <c r="B2986" s="45" t="inlineStr">
        <is>
          <t>12811</t>
        </is>
      </c>
      <c r="C2986" s="45" t="inlineStr">
        <is>
          <t>23×557</t>
        </is>
      </c>
      <c r="D2986" s="45" t="inlineStr">
        <is>
          <t>—</t>
        </is>
      </c>
      <c r="E2986" s="45" t="inlineStr"/>
      <c r="F2986" s="45" t="inlineStr"/>
    </row>
    <row r="2987" ht="13" customHeight="1">
      <c r="A2987" s="49" t="inlineStr">
        <is>
          <t>27277</t>
        </is>
      </c>
      <c r="B2987" s="49" t="inlineStr">
        <is>
          <t>24720</t>
        </is>
      </c>
      <c r="C2987" s="49" t="inlineStr">
        <is>
          <t>2×2×2×2×3×5×103</t>
        </is>
      </c>
      <c r="D2987" s="49" t="inlineStr">
        <is>
          <t>2·3·5</t>
        </is>
      </c>
      <c r="E2987" s="49" t="inlineStr"/>
      <c r="F2987" s="49" t="inlineStr"/>
    </row>
    <row r="2988" ht="13" customHeight="1">
      <c r="A2988" s="45" t="inlineStr">
        <is>
          <t>27281</t>
        </is>
      </c>
      <c r="B2988" s="45" t="inlineStr">
        <is>
          <t>33519</t>
        </is>
      </c>
      <c r="C2988" s="45" t="inlineStr">
        <is>
          <t>3×11173</t>
        </is>
      </c>
      <c r="D2988" s="45" t="inlineStr">
        <is>
          <t>3</t>
        </is>
      </c>
      <c r="E2988" s="45" t="inlineStr"/>
      <c r="F2988" s="45" t="inlineStr"/>
    </row>
    <row r="2989" ht="13" customHeight="1">
      <c r="A2989" s="49" t="inlineStr">
        <is>
          <t>27283</t>
        </is>
      </c>
      <c r="B2989" s="49" t="inlineStr">
        <is>
          <t>12769</t>
        </is>
      </c>
      <c r="C2989" s="49" t="inlineStr">
        <is>
          <t>113×113</t>
        </is>
      </c>
      <c r="D2989" s="49" t="inlineStr">
        <is>
          <t>—</t>
        </is>
      </c>
      <c r="E2989" s="49" t="inlineStr"/>
      <c r="F2989" s="49" t="inlineStr"/>
    </row>
    <row r="2990" ht="13" customHeight="1">
      <c r="A2990" s="45" t="inlineStr">
        <is>
          <t>27299</t>
        </is>
      </c>
      <c r="B2990" s="45" t="inlineStr">
        <is>
          <t>41181</t>
        </is>
      </c>
      <c r="C2990" s="45" t="inlineStr">
        <is>
          <t>3×7×37×53</t>
        </is>
      </c>
      <c r="D2990" s="45" t="inlineStr">
        <is>
          <t>3·7</t>
        </is>
      </c>
      <c r="E2990" s="45" t="inlineStr"/>
      <c r="F2990" s="45" t="inlineStr"/>
    </row>
    <row r="2991" ht="13" customHeight="1">
      <c r="A2991" s="49" t="inlineStr">
        <is>
          <t>27329</t>
        </is>
      </c>
      <c r="B2991" s="49" t="inlineStr">
        <is>
          <t>43698</t>
        </is>
      </c>
      <c r="C2991" s="49" t="inlineStr">
        <is>
          <t>2×3×7283</t>
        </is>
      </c>
      <c r="D2991" s="49" t="inlineStr">
        <is>
          <t>2·3</t>
        </is>
      </c>
      <c r="E2991" s="49" t="inlineStr"/>
      <c r="F2991" s="49" t="inlineStr"/>
    </row>
    <row r="2992" ht="13" customHeight="1">
      <c r="A2992" s="45" t="inlineStr">
        <is>
          <t>27337</t>
        </is>
      </c>
      <c r="B2992" s="45" t="inlineStr">
        <is>
          <t>13730</t>
        </is>
      </c>
      <c r="C2992" s="45" t="inlineStr">
        <is>
          <t>2×5×1373</t>
        </is>
      </c>
      <c r="D2992" s="45" t="inlineStr">
        <is>
          <t>2·5</t>
        </is>
      </c>
      <c r="E2992" s="45" t="inlineStr"/>
      <c r="F2992" s="45" t="inlineStr"/>
    </row>
    <row r="2993" ht="13" customHeight="1">
      <c r="A2993" s="49" t="inlineStr">
        <is>
          <t>27361</t>
        </is>
      </c>
      <c r="B2993" s="49" t="inlineStr">
        <is>
          <t>8335</t>
        </is>
      </c>
      <c r="C2993" s="49" t="inlineStr">
        <is>
          <t>5×1667</t>
        </is>
      </c>
      <c r="D2993" s="49" t="inlineStr">
        <is>
          <t>5</t>
        </is>
      </c>
      <c r="E2993" s="49" t="inlineStr"/>
      <c r="F2993" s="49" t="inlineStr"/>
    </row>
    <row r="2994" ht="13" customHeight="1">
      <c r="A2994" s="50" t="inlineStr">
        <is>
          <t>27367</t>
        </is>
      </c>
      <c r="B2994" s="50" t="inlineStr">
        <is>
          <t>24229</t>
        </is>
      </c>
      <c r="C2994" s="50" t="inlineStr">
        <is>
          <t>24229</t>
        </is>
      </c>
      <c r="D2994" s="50" t="inlineStr">
        <is>
          <t>—</t>
        </is>
      </c>
      <c r="E2994" s="50" t="inlineStr"/>
      <c r="F2994" s="50" t="inlineStr"/>
    </row>
    <row r="2995" ht="13" customHeight="1">
      <c r="A2995" s="49" t="inlineStr">
        <is>
          <t>27397</t>
        </is>
      </c>
      <c r="B2995" s="49" t="inlineStr">
        <is>
          <t>18866</t>
        </is>
      </c>
      <c r="C2995" s="49" t="inlineStr">
        <is>
          <t>2×9433</t>
        </is>
      </c>
      <c r="D2995" s="49" t="inlineStr">
        <is>
          <t>2</t>
        </is>
      </c>
      <c r="E2995" s="49" t="inlineStr"/>
      <c r="F2995" s="49" t="inlineStr"/>
    </row>
    <row r="2996" ht="13" customHeight="1">
      <c r="A2996" s="45" t="inlineStr">
        <is>
          <t>27407</t>
        </is>
      </c>
      <c r="B2996" s="45" t="inlineStr">
        <is>
          <t>32139</t>
        </is>
      </c>
      <c r="C2996" s="45" t="inlineStr">
        <is>
          <t>3×3×3571</t>
        </is>
      </c>
      <c r="D2996" s="45" t="inlineStr">
        <is>
          <t>3</t>
        </is>
      </c>
      <c r="E2996" s="45" t="inlineStr"/>
      <c r="F2996" s="45" t="inlineStr"/>
    </row>
    <row r="2997" ht="13" customHeight="1">
      <c r="A2997" s="51" t="inlineStr">
        <is>
          <t>27409</t>
        </is>
      </c>
      <c r="B2997" s="51" t="inlineStr">
        <is>
          <t>13148</t>
        </is>
      </c>
      <c r="C2997" s="51" t="inlineStr">
        <is>
          <t>2×2×19×173</t>
        </is>
      </c>
      <c r="D2997" s="51" t="inlineStr">
        <is>
          <t>2·19</t>
        </is>
      </c>
      <c r="E2997" s="51" t="inlineStr"/>
      <c r="F2997" s="51" t="inlineStr"/>
    </row>
    <row r="2998" ht="13" customHeight="1">
      <c r="A2998" s="45" t="inlineStr">
        <is>
          <t>27427</t>
        </is>
      </c>
      <c r="B2998" s="45" t="inlineStr">
        <is>
          <t>39289</t>
        </is>
      </c>
      <c r="C2998" s="45" t="inlineStr">
        <is>
          <t>101×389</t>
        </is>
      </c>
      <c r="D2998" s="45" t="inlineStr">
        <is>
          <t>—</t>
        </is>
      </c>
      <c r="E2998" s="45" t="inlineStr"/>
      <c r="F2998" s="45" t="inlineStr"/>
    </row>
    <row r="2999" ht="13" customHeight="1">
      <c r="A2999" s="49" t="inlineStr">
        <is>
          <t>27431</t>
        </is>
      </c>
      <c r="B2999" s="49" t="inlineStr">
        <is>
          <t>8331</t>
        </is>
      </c>
      <c r="C2999" s="49" t="inlineStr">
        <is>
          <t>3×2777</t>
        </is>
      </c>
      <c r="D2999" s="49" t="inlineStr">
        <is>
          <t>3</t>
        </is>
      </c>
      <c r="E2999" s="49" t="inlineStr"/>
      <c r="F2999" s="49" t="inlineStr"/>
    </row>
    <row r="3000" ht="13" customHeight="1">
      <c r="A3000" s="50" t="inlineStr">
        <is>
          <t>27437</t>
        </is>
      </c>
      <c r="B3000" s="50" t="inlineStr">
        <is>
          <t>18911</t>
        </is>
      </c>
      <c r="C3000" s="50" t="inlineStr">
        <is>
          <t>18911</t>
        </is>
      </c>
      <c r="D3000" s="50" t="inlineStr">
        <is>
          <t>—</t>
        </is>
      </c>
      <c r="E3000" s="50" t="inlineStr"/>
      <c r="F3000" s="50" t="inlineStr"/>
    </row>
    <row r="3001" ht="13" customHeight="1">
      <c r="A3001" s="39" t="inlineStr">
        <is>
          <t>27449</t>
        </is>
      </c>
      <c r="B3001" s="39" t="inlineStr">
        <is>
          <t>2352</t>
        </is>
      </c>
      <c r="C3001" s="39" t="inlineStr">
        <is>
          <t>2×2×2×2×3×7×7</t>
        </is>
      </c>
      <c r="D3001" s="39" t="inlineStr">
        <is>
          <t>2·3·7</t>
        </is>
      </c>
      <c r="E3001" s="39" t="inlineStr"/>
      <c r="F3001" s="39" t="inlineStr"/>
    </row>
    <row r="3002" ht="13" customHeight="1">
      <c r="A3002" s="45" t="inlineStr">
        <is>
          <t>27457</t>
        </is>
      </c>
      <c r="B3002" s="45" t="inlineStr">
        <is>
          <t>15237</t>
        </is>
      </c>
      <c r="C3002" s="45" t="inlineStr">
        <is>
          <t>3×3×1693</t>
        </is>
      </c>
      <c r="D3002" s="45" t="inlineStr">
        <is>
          <t>3</t>
        </is>
      </c>
      <c r="E3002" s="45" t="inlineStr"/>
      <c r="F3002" s="45" t="inlineStr"/>
    </row>
    <row r="3003" ht="13" customHeight="1">
      <c r="A3003" s="49" t="inlineStr">
        <is>
          <t>27479</t>
        </is>
      </c>
      <c r="B3003" s="49" t="inlineStr">
        <is>
          <t>36150</t>
        </is>
      </c>
      <c r="C3003" s="49" t="inlineStr">
        <is>
          <t>2×3×5×5×241</t>
        </is>
      </c>
      <c r="D3003" s="49" t="inlineStr">
        <is>
          <t>2·3·5</t>
        </is>
      </c>
      <c r="E3003" s="49" t="inlineStr"/>
      <c r="F3003" s="49" t="inlineStr"/>
    </row>
    <row r="3004" ht="13" customHeight="1">
      <c r="A3004" s="45" t="inlineStr">
        <is>
          <t>27481</t>
        </is>
      </c>
      <c r="B3004" s="45" t="inlineStr">
        <is>
          <t>42078</t>
        </is>
      </c>
      <c r="C3004" s="45" t="inlineStr">
        <is>
          <t>2×3×7013</t>
        </is>
      </c>
      <c r="D3004" s="45" t="inlineStr">
        <is>
          <t>2·3</t>
        </is>
      </c>
      <c r="E3004" s="45" t="inlineStr"/>
      <c r="F3004" s="45" t="inlineStr"/>
    </row>
    <row r="3005" ht="13" customHeight="1">
      <c r="A3005" s="50" t="inlineStr">
        <is>
          <t>27487</t>
        </is>
      </c>
      <c r="B3005" s="50" t="inlineStr">
        <is>
          <t>23339</t>
        </is>
      </c>
      <c r="C3005" s="50" t="inlineStr">
        <is>
          <t>23339</t>
        </is>
      </c>
      <c r="D3005" s="50" t="inlineStr">
        <is>
          <t>—</t>
        </is>
      </c>
      <c r="E3005" s="50" t="inlineStr"/>
      <c r="F3005" s="50" t="inlineStr"/>
    </row>
    <row r="3006" ht="13" customHeight="1">
      <c r="A3006" s="51" t="inlineStr">
        <is>
          <t>27509</t>
        </is>
      </c>
      <c r="B3006" s="51" t="inlineStr">
        <is>
          <t>36252</t>
        </is>
      </c>
      <c r="C3006" s="51" t="inlineStr">
        <is>
          <t>2×2×3×3×19×53</t>
        </is>
      </c>
      <c r="D3006" s="51" t="inlineStr">
        <is>
          <t>2·3·19</t>
        </is>
      </c>
      <c r="E3006" s="51" t="inlineStr"/>
      <c r="F3006" s="51" t="inlineStr"/>
    </row>
    <row r="3007" ht="13" customHeight="1">
      <c r="A3007" s="41" t="inlineStr">
        <is>
          <t>27527</t>
        </is>
      </c>
      <c r="B3007" s="41" t="inlineStr">
        <is>
          <t>8160</t>
        </is>
      </c>
      <c r="C3007" s="41" t="inlineStr">
        <is>
          <t>2×2×2×2×2×3×5×17</t>
        </is>
      </c>
      <c r="D3007" s="41" t="inlineStr">
        <is>
          <t>2·3·5·17</t>
        </is>
      </c>
      <c r="E3007" s="41" t="inlineStr"/>
      <c r="F3007" s="41" t="inlineStr"/>
    </row>
    <row r="3008" ht="13" customHeight="1">
      <c r="A3008" s="50" t="inlineStr">
        <is>
          <t>27529</t>
        </is>
      </c>
      <c r="B3008" s="50" t="inlineStr">
        <is>
          <t>569</t>
        </is>
      </c>
      <c r="C3008" s="50" t="inlineStr">
        <is>
          <t>569</t>
        </is>
      </c>
      <c r="D3008" s="50" t="inlineStr">
        <is>
          <t>—</t>
        </is>
      </c>
      <c r="E3008" s="50" t="inlineStr"/>
      <c r="F3008" s="50" t="inlineStr"/>
    </row>
    <row r="3009" ht="13" customHeight="1">
      <c r="A3009" s="50" t="inlineStr">
        <is>
          <t>27539</t>
        </is>
      </c>
      <c r="B3009" s="50" t="inlineStr">
        <is>
          <t>19793</t>
        </is>
      </c>
      <c r="C3009" s="50" t="inlineStr">
        <is>
          <t>19793</t>
        </is>
      </c>
      <c r="D3009" s="50" t="inlineStr">
        <is>
          <t>—</t>
        </is>
      </c>
      <c r="E3009" s="50" t="inlineStr"/>
      <c r="F3009" s="50" t="inlineStr"/>
    </row>
    <row r="3010" ht="13" customHeight="1">
      <c r="A3010" s="45" t="inlineStr">
        <is>
          <t>27541</t>
        </is>
      </c>
      <c r="B3010" s="45" t="inlineStr">
        <is>
          <t>10437</t>
        </is>
      </c>
      <c r="C3010" s="45" t="inlineStr">
        <is>
          <t>3×7×7×71</t>
        </is>
      </c>
      <c r="D3010" s="45" t="inlineStr">
        <is>
          <t>3·7</t>
        </is>
      </c>
      <c r="E3010" s="45" t="inlineStr"/>
      <c r="F3010" s="45" t="inlineStr"/>
    </row>
    <row r="3011" ht="13" customHeight="1">
      <c r="A3011" s="51" t="inlineStr">
        <is>
          <t>27551</t>
        </is>
      </c>
      <c r="B3011" s="51" t="inlineStr">
        <is>
          <t>17613</t>
        </is>
      </c>
      <c r="C3011" s="51" t="inlineStr">
        <is>
          <t>3×3×19×103</t>
        </is>
      </c>
      <c r="D3011" s="51" t="inlineStr">
        <is>
          <t>3·19</t>
        </is>
      </c>
      <c r="E3011" s="51" t="inlineStr"/>
      <c r="F3011" s="51" t="inlineStr"/>
    </row>
    <row r="3012" ht="13" customHeight="1">
      <c r="A3012" s="41" t="inlineStr">
        <is>
          <t>27581</t>
        </is>
      </c>
      <c r="B3012" s="41" t="inlineStr">
        <is>
          <t>2822</t>
        </is>
      </c>
      <c r="C3012" s="41" t="inlineStr">
        <is>
          <t>2×17×83</t>
        </is>
      </c>
      <c r="D3012" s="41" t="inlineStr">
        <is>
          <t>2·17</t>
        </is>
      </c>
      <c r="E3012" s="41" t="inlineStr"/>
      <c r="F3012" s="41" t="inlineStr"/>
    </row>
    <row r="3013" ht="13" customHeight="1">
      <c r="A3013" s="51" t="inlineStr">
        <is>
          <t>27583</t>
        </is>
      </c>
      <c r="B3013" s="51" t="inlineStr">
        <is>
          <t>20938</t>
        </is>
      </c>
      <c r="C3013" s="51" t="inlineStr">
        <is>
          <t>2×19×19×29</t>
        </is>
      </c>
      <c r="D3013" s="51" t="inlineStr">
        <is>
          <t>2·19</t>
        </is>
      </c>
      <c r="E3013" s="51" t="inlineStr"/>
      <c r="F3013" s="51" t="inlineStr"/>
    </row>
    <row r="3014" ht="13" customHeight="1">
      <c r="A3014" s="45" t="inlineStr">
        <is>
          <t>27611</t>
        </is>
      </c>
      <c r="B3014" s="45" t="inlineStr">
        <is>
          <t>42981</t>
        </is>
      </c>
      <c r="C3014" s="45" t="inlineStr">
        <is>
          <t>3×14327</t>
        </is>
      </c>
      <c r="D3014" s="45" t="inlineStr">
        <is>
          <t>3</t>
        </is>
      </c>
      <c r="E3014" s="45" t="inlineStr"/>
      <c r="F3014" s="45" t="inlineStr"/>
    </row>
    <row r="3015" ht="13" customHeight="1">
      <c r="A3015" s="41" t="inlineStr">
        <is>
          <t>27617</t>
        </is>
      </c>
      <c r="B3015" s="41" t="inlineStr">
        <is>
          <t>26494</t>
        </is>
      </c>
      <c r="C3015" s="41" t="inlineStr">
        <is>
          <t>2×13×1019</t>
        </is>
      </c>
      <c r="D3015" s="41" t="inlineStr">
        <is>
          <t>2·13</t>
        </is>
      </c>
      <c r="E3015" s="41" t="inlineStr"/>
      <c r="F3015" s="41" t="inlineStr"/>
    </row>
    <row r="3016" ht="13" customHeight="1">
      <c r="A3016" s="45" t="inlineStr">
        <is>
          <t>27631</t>
        </is>
      </c>
      <c r="B3016" s="45" t="inlineStr">
        <is>
          <t>9716</t>
        </is>
      </c>
      <c r="C3016" s="45" t="inlineStr">
        <is>
          <t>2×2×7×347</t>
        </is>
      </c>
      <c r="D3016" s="45" t="inlineStr">
        <is>
          <t>2·7</t>
        </is>
      </c>
      <c r="E3016" s="45" t="inlineStr"/>
      <c r="F3016" s="45" t="inlineStr"/>
    </row>
    <row r="3017" ht="13" customHeight="1">
      <c r="A3017" s="50" t="inlineStr">
        <is>
          <t>27647</t>
        </is>
      </c>
      <c r="B3017" s="50" t="inlineStr">
        <is>
          <t>5591</t>
        </is>
      </c>
      <c r="C3017" s="50" t="inlineStr">
        <is>
          <t>5591</t>
        </is>
      </c>
      <c r="D3017" s="50" t="inlineStr">
        <is>
          <t>—</t>
        </is>
      </c>
      <c r="E3017" s="50" t="inlineStr"/>
      <c r="F3017" s="50" t="inlineStr"/>
    </row>
    <row r="3018" ht="13" customHeight="1">
      <c r="A3018" s="50" t="inlineStr">
        <is>
          <t>27653</t>
        </is>
      </c>
      <c r="B3018" s="50" t="inlineStr">
        <is>
          <t>10009</t>
        </is>
      </c>
      <c r="C3018" s="50" t="inlineStr">
        <is>
          <t>10009</t>
        </is>
      </c>
      <c r="D3018" s="50" t="inlineStr">
        <is>
          <t>—</t>
        </is>
      </c>
      <c r="E3018" s="50" t="inlineStr"/>
      <c r="F3018" s="50" t="inlineStr"/>
    </row>
    <row r="3019" ht="13" customHeight="1">
      <c r="A3019" s="49" t="inlineStr">
        <is>
          <t>27673</t>
        </is>
      </c>
      <c r="B3019" s="49" t="inlineStr">
        <is>
          <t>7617</t>
        </is>
      </c>
      <c r="C3019" s="49" t="inlineStr">
        <is>
          <t>3×2539</t>
        </is>
      </c>
      <c r="D3019" s="49" t="inlineStr">
        <is>
          <t>3</t>
        </is>
      </c>
      <c r="E3019" s="49" t="inlineStr"/>
      <c r="F3019" s="49" t="inlineStr"/>
    </row>
    <row r="3020" ht="13" customHeight="1">
      <c r="A3020" s="45" t="inlineStr">
        <is>
          <t>27689</t>
        </is>
      </c>
      <c r="B3020" s="45" t="inlineStr">
        <is>
          <t>11346</t>
        </is>
      </c>
      <c r="C3020" s="45" t="inlineStr">
        <is>
          <t>2×3×31×61</t>
        </is>
      </c>
      <c r="D3020" s="45" t="inlineStr">
        <is>
          <t>2·3</t>
        </is>
      </c>
      <c r="E3020" s="45" t="inlineStr"/>
      <c r="F3020" s="45" t="inlineStr"/>
    </row>
    <row r="3021" ht="13" customHeight="1">
      <c r="A3021" s="49" t="inlineStr">
        <is>
          <t>27691</t>
        </is>
      </c>
      <c r="B3021" s="49" t="inlineStr">
        <is>
          <t>38050</t>
        </is>
      </c>
      <c r="C3021" s="49" t="inlineStr">
        <is>
          <t>2×5×5×761</t>
        </is>
      </c>
      <c r="D3021" s="49" t="inlineStr">
        <is>
          <t>2·5</t>
        </is>
      </c>
      <c r="E3021" s="49" t="inlineStr"/>
      <c r="F3021" s="49" t="inlineStr"/>
    </row>
    <row r="3022" ht="13" customHeight="1">
      <c r="A3022" s="45" t="inlineStr">
        <is>
          <t>27697</t>
        </is>
      </c>
      <c r="B3022" s="45" t="inlineStr">
        <is>
          <t>21302</t>
        </is>
      </c>
      <c r="C3022" s="45" t="inlineStr">
        <is>
          <t>2×10651</t>
        </is>
      </c>
      <c r="D3022" s="45" t="inlineStr">
        <is>
          <t>2</t>
        </is>
      </c>
      <c r="E3022" s="45" t="inlineStr"/>
      <c r="F3022" s="45" t="inlineStr"/>
    </row>
    <row r="3023" ht="13" customHeight="1">
      <c r="A3023" s="49" t="inlineStr">
        <is>
          <t>27701</t>
        </is>
      </c>
      <c r="B3023" s="49" t="inlineStr">
        <is>
          <t>2440</t>
        </is>
      </c>
      <c r="C3023" s="49" t="inlineStr">
        <is>
          <t>2×2×2×5×61</t>
        </is>
      </c>
      <c r="D3023" s="49" t="inlineStr">
        <is>
          <t>2·5</t>
        </is>
      </c>
      <c r="E3023" s="49" t="inlineStr"/>
      <c r="F3023" s="49" t="inlineStr"/>
    </row>
    <row r="3024" ht="13" customHeight="1">
      <c r="A3024" s="45" t="inlineStr">
        <is>
          <t>27733</t>
        </is>
      </c>
      <c r="B3024" s="45" t="inlineStr">
        <is>
          <t>33659</t>
        </is>
      </c>
      <c r="C3024" s="45" t="inlineStr">
        <is>
          <t>97×347</t>
        </is>
      </c>
      <c r="D3024" s="45" t="inlineStr">
        <is>
          <t>—</t>
        </is>
      </c>
      <c r="E3024" s="45" t="inlineStr"/>
      <c r="F3024" s="45" t="inlineStr"/>
    </row>
    <row r="3025" ht="13" customHeight="1">
      <c r="A3025" s="49" t="inlineStr">
        <is>
          <t>27737</t>
        </is>
      </c>
      <c r="B3025" s="49" t="inlineStr">
        <is>
          <t>9948</t>
        </is>
      </c>
      <c r="C3025" s="49" t="inlineStr">
        <is>
          <t>2×2×3×829</t>
        </is>
      </c>
      <c r="D3025" s="49" t="inlineStr">
        <is>
          <t>2·3</t>
        </is>
      </c>
      <c r="E3025" s="49" t="inlineStr"/>
      <c r="F3025" s="49" t="inlineStr"/>
    </row>
    <row r="3026" ht="13" customHeight="1">
      <c r="A3026" s="45" t="inlineStr">
        <is>
          <t>27739</t>
        </is>
      </c>
      <c r="B3026" s="45" t="inlineStr">
        <is>
          <t>10407</t>
        </is>
      </c>
      <c r="C3026" s="45" t="inlineStr">
        <is>
          <t>3×3469</t>
        </is>
      </c>
      <c r="D3026" s="45" t="inlineStr">
        <is>
          <t>3</t>
        </is>
      </c>
      <c r="E3026" s="45" t="inlineStr"/>
      <c r="F3026" s="45" t="inlineStr"/>
    </row>
    <row r="3027" ht="13" customHeight="1">
      <c r="A3027" s="49" t="inlineStr">
        <is>
          <t>27743</t>
        </is>
      </c>
      <c r="B3027" s="49" t="inlineStr">
        <is>
          <t>39296</t>
        </is>
      </c>
      <c r="C3027" s="49" t="inlineStr">
        <is>
          <t>2×2×2×2×2×2×2×307</t>
        </is>
      </c>
      <c r="D3027" s="49" t="inlineStr">
        <is>
          <t>2</t>
        </is>
      </c>
      <c r="E3027" s="49" t="inlineStr"/>
      <c r="F3027" s="49" t="inlineStr"/>
    </row>
    <row r="3028" ht="13" customHeight="1">
      <c r="A3028" s="43" t="inlineStr">
        <is>
          <t>27749</t>
        </is>
      </c>
      <c r="B3028" s="43" t="inlineStr">
        <is>
          <t>6314</t>
        </is>
      </c>
      <c r="C3028" s="43" t="inlineStr">
        <is>
          <t>2×7×11×41</t>
        </is>
      </c>
      <c r="D3028" s="43" t="inlineStr">
        <is>
          <t>2·7·11</t>
        </is>
      </c>
      <c r="E3028" s="43" t="inlineStr"/>
      <c r="F3028" s="43" t="inlineStr"/>
    </row>
    <row r="3029" ht="13" customHeight="1">
      <c r="A3029" s="49" t="inlineStr">
        <is>
          <t>27751</t>
        </is>
      </c>
      <c r="B3029" s="49" t="inlineStr">
        <is>
          <t>32446</t>
        </is>
      </c>
      <c r="C3029" s="49" t="inlineStr">
        <is>
          <t>2×16223</t>
        </is>
      </c>
      <c r="D3029" s="49" t="inlineStr">
        <is>
          <t>2</t>
        </is>
      </c>
      <c r="E3029" s="49" t="inlineStr"/>
      <c r="F3029" s="49" t="inlineStr"/>
    </row>
    <row r="3030" ht="13" customHeight="1">
      <c r="A3030" s="45" t="inlineStr">
        <is>
          <t>27763</t>
        </is>
      </c>
      <c r="B3030" s="45" t="inlineStr">
        <is>
          <t>3548</t>
        </is>
      </c>
      <c r="C3030" s="45" t="inlineStr">
        <is>
          <t>2×2×887</t>
        </is>
      </c>
      <c r="D3030" s="45" t="inlineStr">
        <is>
          <t>2</t>
        </is>
      </c>
      <c r="E3030" s="45" t="inlineStr"/>
      <c r="F3030" s="45" t="inlineStr"/>
    </row>
    <row r="3031" ht="13" customHeight="1">
      <c r="A3031" s="49" t="inlineStr">
        <is>
          <t>27767</t>
        </is>
      </c>
      <c r="B3031" s="49" t="inlineStr">
        <is>
          <t>20637</t>
        </is>
      </c>
      <c r="C3031" s="49" t="inlineStr">
        <is>
          <t>3×3×2293</t>
        </is>
      </c>
      <c r="D3031" s="49" t="inlineStr">
        <is>
          <t>3</t>
        </is>
      </c>
      <c r="E3031" s="49" t="inlineStr"/>
      <c r="F3031" s="49" t="inlineStr"/>
    </row>
    <row r="3032" ht="13" customHeight="1">
      <c r="A3032" s="41" t="inlineStr">
        <is>
          <t>27773</t>
        </is>
      </c>
      <c r="B3032" s="41" t="inlineStr">
        <is>
          <t>2418</t>
        </is>
      </c>
      <c r="C3032" s="41" t="inlineStr">
        <is>
          <t>2×3×13×31</t>
        </is>
      </c>
      <c r="D3032" s="41" t="inlineStr">
        <is>
          <t>2·3·13</t>
        </is>
      </c>
      <c r="E3032" s="41" t="inlineStr"/>
      <c r="F3032" s="41" t="inlineStr"/>
    </row>
    <row r="3033" ht="13" customHeight="1">
      <c r="A3033" s="51" t="inlineStr">
        <is>
          <t>27779</t>
        </is>
      </c>
      <c r="B3033" s="51" t="inlineStr">
        <is>
          <t>28310</t>
        </is>
      </c>
      <c r="C3033" s="51" t="inlineStr">
        <is>
          <t>2×5×19×149</t>
        </is>
      </c>
      <c r="D3033" s="51" t="inlineStr">
        <is>
          <t>2·5·19</t>
        </is>
      </c>
      <c r="E3033" s="51" t="inlineStr"/>
      <c r="F3033" s="51" t="inlineStr"/>
    </row>
    <row r="3034" ht="13" customHeight="1">
      <c r="A3034" s="45" t="inlineStr">
        <is>
          <t>27791</t>
        </is>
      </c>
      <c r="B3034" s="45" t="inlineStr">
        <is>
          <t>24560</t>
        </is>
      </c>
      <c r="C3034" s="45" t="inlineStr">
        <is>
          <t>2×2×2×2×5×307</t>
        </is>
      </c>
      <c r="D3034" s="45" t="inlineStr">
        <is>
          <t>2·5</t>
        </is>
      </c>
      <c r="E3034" s="45" t="inlineStr"/>
      <c r="F3034" s="45" t="inlineStr"/>
    </row>
    <row r="3035" ht="13" customHeight="1">
      <c r="A3035" s="43" t="inlineStr">
        <is>
          <t>27793</t>
        </is>
      </c>
      <c r="B3035" s="43" t="inlineStr">
        <is>
          <t>12386</t>
        </is>
      </c>
      <c r="C3035" s="43" t="inlineStr">
        <is>
          <t>2×11×563</t>
        </is>
      </c>
      <c r="D3035" s="43" t="inlineStr">
        <is>
          <t>2·11</t>
        </is>
      </c>
      <c r="E3035" s="43" t="inlineStr"/>
      <c r="F3035" s="43" t="inlineStr"/>
    </row>
    <row r="3036" ht="13" customHeight="1">
      <c r="A3036" s="45" t="inlineStr">
        <is>
          <t>27799</t>
        </is>
      </c>
      <c r="B3036" s="45" t="inlineStr">
        <is>
          <t>11332</t>
        </is>
      </c>
      <c r="C3036" s="45" t="inlineStr">
        <is>
          <t>2×2×2833</t>
        </is>
      </c>
      <c r="D3036" s="45" t="inlineStr">
        <is>
          <t>2</t>
        </is>
      </c>
      <c r="E3036" s="45" t="inlineStr"/>
      <c r="F3036" s="45" t="inlineStr"/>
    </row>
    <row r="3037" ht="13" customHeight="1">
      <c r="A3037" s="49" t="inlineStr">
        <is>
          <t>27803</t>
        </is>
      </c>
      <c r="B3037" s="49" t="inlineStr">
        <is>
          <t>3745</t>
        </is>
      </c>
      <c r="C3037" s="49" t="inlineStr">
        <is>
          <t>5×7×107</t>
        </is>
      </c>
      <c r="D3037" s="49" t="inlineStr">
        <is>
          <t>5·7</t>
        </is>
      </c>
      <c r="E3037" s="49" t="inlineStr"/>
      <c r="F3037" s="49" t="inlineStr"/>
    </row>
    <row r="3038" ht="13" customHeight="1">
      <c r="A3038" s="45" t="inlineStr">
        <is>
          <t>27809</t>
        </is>
      </c>
      <c r="B3038" s="45" t="inlineStr">
        <is>
          <t>6751</t>
        </is>
      </c>
      <c r="C3038" s="45" t="inlineStr">
        <is>
          <t>43×157</t>
        </is>
      </c>
      <c r="D3038" s="45" t="inlineStr">
        <is>
          <t>—</t>
        </is>
      </c>
      <c r="E3038" s="45" t="inlineStr"/>
      <c r="F3038" s="45" t="inlineStr"/>
    </row>
    <row r="3039" ht="13" customHeight="1">
      <c r="A3039" s="49" t="inlineStr">
        <is>
          <t>27817</t>
        </is>
      </c>
      <c r="B3039" s="49" t="inlineStr">
        <is>
          <t>10981</t>
        </is>
      </c>
      <c r="C3039" s="49" t="inlineStr">
        <is>
          <t>79×139</t>
        </is>
      </c>
      <c r="D3039" s="49" t="inlineStr">
        <is>
          <t>—</t>
        </is>
      </c>
      <c r="E3039" s="49" t="inlineStr"/>
      <c r="F3039" s="49" t="inlineStr"/>
    </row>
    <row r="3040" ht="13" customHeight="1">
      <c r="A3040" s="45" t="inlineStr">
        <is>
          <t>27823</t>
        </is>
      </c>
      <c r="B3040" s="45" t="inlineStr">
        <is>
          <t>581</t>
        </is>
      </c>
      <c r="C3040" s="45" t="inlineStr">
        <is>
          <t>7×83</t>
        </is>
      </c>
      <c r="D3040" s="45" t="inlineStr">
        <is>
          <t>7</t>
        </is>
      </c>
      <c r="E3040" s="45" t="inlineStr"/>
      <c r="F3040" s="45" t="inlineStr"/>
    </row>
    <row r="3041" ht="13" customHeight="1">
      <c r="A3041" s="49" t="inlineStr">
        <is>
          <t>27827</t>
        </is>
      </c>
      <c r="B3041" s="49" t="inlineStr">
        <is>
          <t>3602</t>
        </is>
      </c>
      <c r="C3041" s="49" t="inlineStr">
        <is>
          <t>2×1801</t>
        </is>
      </c>
      <c r="D3041" s="49" t="inlineStr">
        <is>
          <t>2</t>
        </is>
      </c>
      <c r="E3041" s="49" t="inlineStr"/>
      <c r="F3041" s="49" t="inlineStr"/>
    </row>
    <row r="3042" ht="13" customHeight="1">
      <c r="A3042" s="41" t="inlineStr">
        <is>
          <t>27847</t>
        </is>
      </c>
      <c r="B3042" s="41" t="inlineStr">
        <is>
          <t>18915</t>
        </is>
      </c>
      <c r="C3042" s="41" t="inlineStr">
        <is>
          <t>3×5×13×97</t>
        </is>
      </c>
      <c r="D3042" s="41" t="inlineStr">
        <is>
          <t>3·5·13</t>
        </is>
      </c>
      <c r="E3042" s="41" t="inlineStr"/>
      <c r="F3042" s="41" t="inlineStr"/>
    </row>
    <row r="3043" ht="13" customHeight="1">
      <c r="A3043" s="50" t="inlineStr">
        <is>
          <t>27851</t>
        </is>
      </c>
      <c r="B3043" s="50" t="inlineStr">
        <is>
          <t>2647</t>
        </is>
      </c>
      <c r="C3043" s="50" t="inlineStr">
        <is>
          <t>2647</t>
        </is>
      </c>
      <c r="D3043" s="50" t="inlineStr">
        <is>
          <t>—</t>
        </is>
      </c>
      <c r="E3043" s="50" t="inlineStr"/>
      <c r="F3043" s="50" t="inlineStr"/>
    </row>
    <row r="3044" ht="13" customHeight="1">
      <c r="A3044" s="45" t="inlineStr">
        <is>
          <t>27883</t>
        </is>
      </c>
      <c r="B3044" s="45" t="inlineStr">
        <is>
          <t>28476</t>
        </is>
      </c>
      <c r="C3044" s="45" t="inlineStr">
        <is>
          <t>2×2×3×3×7×113</t>
        </is>
      </c>
      <c r="D3044" s="45" t="inlineStr">
        <is>
          <t>2·3·7</t>
        </is>
      </c>
      <c r="E3044" s="45" t="inlineStr"/>
      <c r="F3044" s="45" t="inlineStr"/>
    </row>
    <row r="3045" ht="13" customHeight="1">
      <c r="A3045" s="41" t="inlineStr">
        <is>
          <t>27893</t>
        </is>
      </c>
      <c r="B3045" s="41" t="inlineStr">
        <is>
          <t>17069</t>
        </is>
      </c>
      <c r="C3045" s="41" t="inlineStr">
        <is>
          <t>13×13×101</t>
        </is>
      </c>
      <c r="D3045" s="41" t="inlineStr">
        <is>
          <t>13</t>
        </is>
      </c>
      <c r="E3045" s="41" t="inlineStr"/>
      <c r="F3045" s="41" t="inlineStr"/>
    </row>
    <row r="3046" ht="13" customHeight="1">
      <c r="A3046" s="45" t="inlineStr">
        <is>
          <t>27901</t>
        </is>
      </c>
      <c r="B3046" s="45" t="inlineStr">
        <is>
          <t>41913</t>
        </is>
      </c>
      <c r="C3046" s="45" t="inlineStr">
        <is>
          <t>3×3×4657</t>
        </is>
      </c>
      <c r="D3046" s="45" t="inlineStr">
        <is>
          <t>3</t>
        </is>
      </c>
      <c r="E3046" s="45" t="inlineStr"/>
      <c r="F3046" s="45" t="inlineStr"/>
    </row>
    <row r="3047" ht="13" customHeight="1">
      <c r="A3047" s="49" t="inlineStr">
        <is>
          <t>27917</t>
        </is>
      </c>
      <c r="B3047" s="49" t="inlineStr">
        <is>
          <t>1556</t>
        </is>
      </c>
      <c r="C3047" s="49" t="inlineStr">
        <is>
          <t>2×2×389</t>
        </is>
      </c>
      <c r="D3047" s="49" t="inlineStr">
        <is>
          <t>2</t>
        </is>
      </c>
      <c r="E3047" s="49" t="inlineStr"/>
      <c r="F3047" s="49" t="inlineStr"/>
    </row>
    <row r="3048" ht="13" customHeight="1">
      <c r="A3048" s="50" t="inlineStr">
        <is>
          <t>27919</t>
        </is>
      </c>
      <c r="B3048" s="50" t="inlineStr">
        <is>
          <t>5479</t>
        </is>
      </c>
      <c r="C3048" s="50" t="inlineStr">
        <is>
          <t>5479</t>
        </is>
      </c>
      <c r="D3048" s="50" t="inlineStr">
        <is>
          <t>—</t>
        </is>
      </c>
      <c r="E3048" s="50" t="inlineStr"/>
      <c r="F3048" s="50" t="inlineStr"/>
    </row>
    <row r="3049" ht="13" customHeight="1">
      <c r="A3049" s="49" t="inlineStr">
        <is>
          <t>27941</t>
        </is>
      </c>
      <c r="B3049" s="49" t="inlineStr">
        <is>
          <t>11294</t>
        </is>
      </c>
      <c r="C3049" s="49" t="inlineStr">
        <is>
          <t>2×5647</t>
        </is>
      </c>
      <c r="D3049" s="49" t="inlineStr">
        <is>
          <t>2</t>
        </is>
      </c>
      <c r="E3049" s="49" t="inlineStr"/>
      <c r="F3049" s="49" t="inlineStr"/>
    </row>
    <row r="3050" ht="13" customHeight="1">
      <c r="A3050" s="45" t="inlineStr">
        <is>
          <t>27943</t>
        </is>
      </c>
      <c r="B3050" s="45" t="inlineStr">
        <is>
          <t>16353</t>
        </is>
      </c>
      <c r="C3050" s="45" t="inlineStr">
        <is>
          <t>3×3×23×79</t>
        </is>
      </c>
      <c r="D3050" s="45" t="inlineStr">
        <is>
          <t>3</t>
        </is>
      </c>
      <c r="E3050" s="45" t="inlineStr"/>
      <c r="F3050" s="45" t="inlineStr"/>
    </row>
    <row r="3051" ht="13" customHeight="1">
      <c r="A3051" s="51" t="inlineStr">
        <is>
          <t>27947</t>
        </is>
      </c>
      <c r="B3051" s="51" t="inlineStr">
        <is>
          <t>28329</t>
        </is>
      </c>
      <c r="C3051" s="51" t="inlineStr">
        <is>
          <t>3×7×19×71</t>
        </is>
      </c>
      <c r="D3051" s="51" t="inlineStr">
        <is>
          <t>3·7·19</t>
        </is>
      </c>
      <c r="E3051" s="51" t="inlineStr"/>
      <c r="F3051" s="51" t="inlineStr"/>
    </row>
    <row r="3052" ht="13" customHeight="1">
      <c r="A3052" s="41" t="inlineStr">
        <is>
          <t>27953</t>
        </is>
      </c>
      <c r="B3052" s="41" t="inlineStr">
        <is>
          <t>39661</t>
        </is>
      </c>
      <c r="C3052" s="41" t="inlineStr">
        <is>
          <t>17×2333</t>
        </is>
      </c>
      <c r="D3052" s="41" t="inlineStr">
        <is>
          <t>17</t>
        </is>
      </c>
      <c r="E3052" s="41" t="inlineStr"/>
      <c r="F3052" s="41" t="inlineStr"/>
    </row>
    <row r="3053" ht="13" customHeight="1">
      <c r="A3053" s="50" t="inlineStr">
        <is>
          <t>27961</t>
        </is>
      </c>
      <c r="B3053" s="50" t="inlineStr">
        <is>
          <t>8699</t>
        </is>
      </c>
      <c r="C3053" s="50" t="inlineStr">
        <is>
          <t>8699</t>
        </is>
      </c>
      <c r="D3053" s="50" t="inlineStr">
        <is>
          <t>—</t>
        </is>
      </c>
      <c r="E3053" s="50" t="inlineStr"/>
      <c r="F3053" s="50" t="inlineStr"/>
    </row>
    <row r="3054" ht="13" customHeight="1">
      <c r="A3054" s="41" t="inlineStr">
        <is>
          <t>27967</t>
        </is>
      </c>
      <c r="B3054" s="41" t="inlineStr">
        <is>
          <t>30175</t>
        </is>
      </c>
      <c r="C3054" s="41" t="inlineStr">
        <is>
          <t>5×5×17×71</t>
        </is>
      </c>
      <c r="D3054" s="41" t="inlineStr">
        <is>
          <t>5·17</t>
        </is>
      </c>
      <c r="E3054" s="41" t="inlineStr"/>
      <c r="F3054" s="41" t="inlineStr"/>
    </row>
    <row r="3055" ht="13" customHeight="1">
      <c r="A3055" s="41" t="inlineStr">
        <is>
          <t>27983</t>
        </is>
      </c>
      <c r="B3055" s="41" t="inlineStr">
        <is>
          <t>39831</t>
        </is>
      </c>
      <c r="C3055" s="41" t="inlineStr">
        <is>
          <t>3×11×17×71</t>
        </is>
      </c>
      <c r="D3055" s="41" t="inlineStr">
        <is>
          <t>3·11·17</t>
        </is>
      </c>
      <c r="E3055" s="41" t="inlineStr"/>
      <c r="F3055" s="41" t="inlineStr"/>
    </row>
    <row r="3056" ht="13" customHeight="1">
      <c r="A3056" s="45" t="inlineStr">
        <is>
          <t>27997</t>
        </is>
      </c>
      <c r="B3056" s="45" t="inlineStr">
        <is>
          <t>19764</t>
        </is>
      </c>
      <c r="C3056" s="45" t="inlineStr">
        <is>
          <t>2×2×3×3×3×3×61</t>
        </is>
      </c>
      <c r="D3056" s="45" t="inlineStr">
        <is>
          <t>2·3</t>
        </is>
      </c>
      <c r="E3056" s="45" t="inlineStr"/>
      <c r="F3056" s="45" t="inlineStr"/>
    </row>
    <row r="3057" ht="13" customHeight="1">
      <c r="A3057" s="49" t="inlineStr">
        <is>
          <t>28001</t>
        </is>
      </c>
      <c r="B3057" s="49" t="inlineStr">
        <is>
          <t>10677</t>
        </is>
      </c>
      <c r="C3057" s="49" t="inlineStr">
        <is>
          <t>3×3559</t>
        </is>
      </c>
      <c r="D3057" s="49" t="inlineStr">
        <is>
          <t>3</t>
        </is>
      </c>
      <c r="E3057" s="49" t="inlineStr"/>
      <c r="F3057" s="49" t="inlineStr"/>
    </row>
    <row r="3058" ht="13" customHeight="1">
      <c r="A3058" s="45" t="inlineStr">
        <is>
          <t>28019</t>
        </is>
      </c>
      <c r="B3058" s="45" t="inlineStr">
        <is>
          <t>1674</t>
        </is>
      </c>
      <c r="C3058" s="45" t="inlineStr">
        <is>
          <t>2×3×3×3×31</t>
        </is>
      </c>
      <c r="D3058" s="45" t="inlineStr">
        <is>
          <t>2·3</t>
        </is>
      </c>
      <c r="E3058" s="45" t="inlineStr"/>
      <c r="F3058" s="45" t="inlineStr"/>
    </row>
    <row r="3059" ht="13" customHeight="1">
      <c r="A3059" s="49" t="inlineStr">
        <is>
          <t>28027</t>
        </is>
      </c>
      <c r="B3059" s="49" t="inlineStr">
        <is>
          <t>43203</t>
        </is>
      </c>
      <c r="C3059" s="49" t="inlineStr">
        <is>
          <t>3×14401</t>
        </is>
      </c>
      <c r="D3059" s="49" t="inlineStr">
        <is>
          <t>3</t>
        </is>
      </c>
      <c r="E3059" s="49" t="inlineStr"/>
      <c r="F3059" s="49" t="inlineStr"/>
    </row>
    <row r="3060" ht="13" customHeight="1">
      <c r="A3060" s="45" t="inlineStr">
        <is>
          <t>28031</t>
        </is>
      </c>
      <c r="B3060" s="45" t="inlineStr">
        <is>
          <t>1798</t>
        </is>
      </c>
      <c r="C3060" s="45" t="inlineStr">
        <is>
          <t>2×29×31</t>
        </is>
      </c>
      <c r="D3060" s="45" t="inlineStr">
        <is>
          <t>2</t>
        </is>
      </c>
      <c r="E3060" s="45" t="inlineStr"/>
      <c r="F3060" s="45" t="inlineStr"/>
    </row>
    <row r="3061" ht="13" customHeight="1">
      <c r="A3061" s="41" t="inlineStr">
        <is>
          <t>28051</t>
        </is>
      </c>
      <c r="B3061" s="41" t="inlineStr">
        <is>
          <t>3991</t>
        </is>
      </c>
      <c r="C3061" s="41" t="inlineStr">
        <is>
          <t>13×307</t>
        </is>
      </c>
      <c r="D3061" s="41" t="inlineStr">
        <is>
          <t>13</t>
        </is>
      </c>
      <c r="E3061" s="41" t="inlineStr"/>
      <c r="F3061" s="41" t="inlineStr"/>
    </row>
    <row r="3062" ht="13" customHeight="1">
      <c r="A3062" s="45" t="inlineStr">
        <is>
          <t>28057</t>
        </is>
      </c>
      <c r="B3062" s="45" t="inlineStr">
        <is>
          <t>1537</t>
        </is>
      </c>
      <c r="C3062" s="45" t="inlineStr">
        <is>
          <t>29×53</t>
        </is>
      </c>
      <c r="D3062" s="45" t="inlineStr">
        <is>
          <t>—</t>
        </is>
      </c>
      <c r="E3062" s="45" t="inlineStr"/>
      <c r="F3062" s="45" t="inlineStr"/>
    </row>
    <row r="3063" ht="13" customHeight="1">
      <c r="A3063" s="50" t="inlineStr">
        <is>
          <t>28069</t>
        </is>
      </c>
      <c r="B3063" s="50" t="inlineStr">
        <is>
          <t>28909</t>
        </is>
      </c>
      <c r="C3063" s="50" t="inlineStr">
        <is>
          <t>28909</t>
        </is>
      </c>
      <c r="D3063" s="50" t="inlineStr">
        <is>
          <t>—</t>
        </is>
      </c>
      <c r="E3063" s="50" t="inlineStr"/>
      <c r="F3063" s="50" t="inlineStr"/>
    </row>
    <row r="3064" ht="13" customHeight="1">
      <c r="A3064" s="45" t="inlineStr">
        <is>
          <t>28081</t>
        </is>
      </c>
      <c r="B3064" s="45" t="inlineStr">
        <is>
          <t>22992</t>
        </is>
      </c>
      <c r="C3064" s="45" t="inlineStr">
        <is>
          <t>2×2×2×2×3×479</t>
        </is>
      </c>
      <c r="D3064" s="45" t="inlineStr">
        <is>
          <t>2·3</t>
        </is>
      </c>
      <c r="E3064" s="45" t="inlineStr"/>
      <c r="F3064" s="45" t="inlineStr"/>
    </row>
    <row r="3065" ht="13" customHeight="1">
      <c r="A3065" s="49" t="inlineStr">
        <is>
          <t>28087</t>
        </is>
      </c>
      <c r="B3065" s="49" t="inlineStr">
        <is>
          <t>12523</t>
        </is>
      </c>
      <c r="C3065" s="49" t="inlineStr">
        <is>
          <t>7×1789</t>
        </is>
      </c>
      <c r="D3065" s="49" t="inlineStr">
        <is>
          <t>7</t>
        </is>
      </c>
      <c r="E3065" s="49" t="inlineStr"/>
      <c r="F3065" s="49" t="inlineStr"/>
    </row>
    <row r="3066" ht="13" customHeight="1">
      <c r="A3066" s="41" t="inlineStr">
        <is>
          <t>28097</t>
        </is>
      </c>
      <c r="B3066" s="41" t="inlineStr">
        <is>
          <t>38610</t>
        </is>
      </c>
      <c r="C3066" s="41" t="inlineStr">
        <is>
          <t>2×3×3×3×5×11×13</t>
        </is>
      </c>
      <c r="D3066" s="41" t="inlineStr">
        <is>
          <t>2·3·5·11·13</t>
        </is>
      </c>
      <c r="E3066" s="41" t="inlineStr"/>
      <c r="F3066" s="41" t="inlineStr"/>
    </row>
    <row r="3067" ht="13" customHeight="1">
      <c r="A3067" s="43" t="inlineStr">
        <is>
          <t>28099</t>
        </is>
      </c>
      <c r="B3067" s="43" t="inlineStr">
        <is>
          <t>13497</t>
        </is>
      </c>
      <c r="C3067" s="43" t="inlineStr">
        <is>
          <t>3×11×409</t>
        </is>
      </c>
      <c r="D3067" s="43" t="inlineStr">
        <is>
          <t>3·11</t>
        </is>
      </c>
      <c r="E3067" s="43" t="inlineStr"/>
      <c r="F3067" s="43" t="inlineStr"/>
    </row>
    <row r="3068" ht="13" customHeight="1">
      <c r="A3068" s="45" t="inlineStr">
        <is>
          <t>28109</t>
        </is>
      </c>
      <c r="B3068" s="45" t="inlineStr">
        <is>
          <t>5546</t>
        </is>
      </c>
      <c r="C3068" s="45" t="inlineStr">
        <is>
          <t>2×47×59</t>
        </is>
      </c>
      <c r="D3068" s="45" t="inlineStr">
        <is>
          <t>2</t>
        </is>
      </c>
      <c r="E3068" s="45" t="inlineStr"/>
      <c r="F3068" s="45" t="inlineStr"/>
    </row>
    <row r="3069" ht="13" customHeight="1">
      <c r="A3069" s="49" t="inlineStr">
        <is>
          <t>28111</t>
        </is>
      </c>
      <c r="B3069" s="49" t="inlineStr">
        <is>
          <t>43423</t>
        </is>
      </c>
      <c r="C3069" s="49" t="inlineStr">
        <is>
          <t>173×251</t>
        </is>
      </c>
      <c r="D3069" s="49" t="inlineStr">
        <is>
          <t>—</t>
        </is>
      </c>
      <c r="E3069" s="49" t="inlineStr"/>
      <c r="F3069" s="49" t="inlineStr"/>
    </row>
    <row r="3070" ht="13" customHeight="1">
      <c r="A3070" s="45" t="inlineStr">
        <is>
          <t>28123</t>
        </is>
      </c>
      <c r="B3070" s="45" t="inlineStr">
        <is>
          <t>7655</t>
        </is>
      </c>
      <c r="C3070" s="45" t="inlineStr">
        <is>
          <t>5×1531</t>
        </is>
      </c>
      <c r="D3070" s="45" t="inlineStr">
        <is>
          <t>5</t>
        </is>
      </c>
      <c r="E3070" s="45" t="inlineStr"/>
      <c r="F3070" s="45" t="inlineStr"/>
    </row>
    <row r="3071" ht="13" customHeight="1">
      <c r="A3071" s="41" t="inlineStr">
        <is>
          <t>28151</t>
        </is>
      </c>
      <c r="B3071" s="41" t="inlineStr">
        <is>
          <t>24180</t>
        </is>
      </c>
      <c r="C3071" s="41" t="inlineStr">
        <is>
          <t>2×2×3×5×13×31</t>
        </is>
      </c>
      <c r="D3071" s="41" t="inlineStr">
        <is>
          <t>2·3·5·13</t>
        </is>
      </c>
      <c r="E3071" s="41" t="inlineStr"/>
      <c r="F3071" s="41" t="inlineStr"/>
    </row>
    <row r="3072" ht="13" customHeight="1">
      <c r="A3072" s="50" t="inlineStr">
        <is>
          <t>28163</t>
        </is>
      </c>
      <c r="B3072" s="50" t="inlineStr">
        <is>
          <t>36721</t>
        </is>
      </c>
      <c r="C3072" s="50" t="inlineStr">
        <is>
          <t>36721</t>
        </is>
      </c>
      <c r="D3072" s="50" t="inlineStr">
        <is>
          <t>—</t>
        </is>
      </c>
      <c r="E3072" s="50" t="inlineStr"/>
      <c r="F3072" s="50" t="inlineStr"/>
    </row>
    <row r="3073" ht="13" customHeight="1">
      <c r="A3073" s="49" t="inlineStr">
        <is>
          <t>28181</t>
        </is>
      </c>
      <c r="B3073" s="49" t="inlineStr">
        <is>
          <t>41167</t>
        </is>
      </c>
      <c r="C3073" s="49" t="inlineStr">
        <is>
          <t>7×5881</t>
        </is>
      </c>
      <c r="D3073" s="49" t="inlineStr">
        <is>
          <t>7</t>
        </is>
      </c>
      <c r="E3073" s="49" t="inlineStr"/>
      <c r="F3073" s="49" t="inlineStr"/>
    </row>
    <row r="3074" ht="13" customHeight="1">
      <c r="A3074" s="41" t="inlineStr">
        <is>
          <t>28183</t>
        </is>
      </c>
      <c r="B3074" s="41" t="inlineStr">
        <is>
          <t>34697</t>
        </is>
      </c>
      <c r="C3074" s="41" t="inlineStr">
        <is>
          <t>13×17×157</t>
        </is>
      </c>
      <c r="D3074" s="41" t="inlineStr">
        <is>
          <t>13·17</t>
        </is>
      </c>
      <c r="E3074" s="41" t="inlineStr"/>
      <c r="F3074" s="41" t="inlineStr"/>
    </row>
    <row r="3075" ht="13" customHeight="1">
      <c r="A3075" s="43" t="inlineStr">
        <is>
          <t>28201</t>
        </is>
      </c>
      <c r="B3075" s="43" t="inlineStr">
        <is>
          <t>5753</t>
        </is>
      </c>
      <c r="C3075" s="43" t="inlineStr">
        <is>
          <t>11×523</t>
        </is>
      </c>
      <c r="D3075" s="43" t="inlineStr">
        <is>
          <t>11</t>
        </is>
      </c>
      <c r="E3075" s="43" t="inlineStr"/>
      <c r="F3075" s="43" t="inlineStr"/>
    </row>
    <row r="3076" ht="13" customHeight="1">
      <c r="A3076" s="45" t="inlineStr">
        <is>
          <t>28211</t>
        </is>
      </c>
      <c r="B3076" s="45" t="inlineStr">
        <is>
          <t>4185</t>
        </is>
      </c>
      <c r="C3076" s="45" t="inlineStr">
        <is>
          <t>3×3×3×5×31</t>
        </is>
      </c>
      <c r="D3076" s="45" t="inlineStr">
        <is>
          <t>3·5</t>
        </is>
      </c>
      <c r="E3076" s="45" t="inlineStr"/>
      <c r="F3076" s="45" t="inlineStr"/>
    </row>
    <row r="3077" ht="13" customHeight="1">
      <c r="A3077" s="49" t="inlineStr">
        <is>
          <t>28219</t>
        </is>
      </c>
      <c r="B3077" s="49" t="inlineStr">
        <is>
          <t>23564</t>
        </is>
      </c>
      <c r="C3077" s="49" t="inlineStr">
        <is>
          <t>2×2×43×137</t>
        </is>
      </c>
      <c r="D3077" s="49" t="inlineStr">
        <is>
          <t>2</t>
        </is>
      </c>
      <c r="E3077" s="49" t="inlineStr"/>
      <c r="F3077" s="49" t="inlineStr"/>
    </row>
    <row r="3078" ht="13" customHeight="1">
      <c r="A3078" s="43" t="inlineStr">
        <is>
          <t>28229</t>
        </is>
      </c>
      <c r="B3078" s="43" t="inlineStr">
        <is>
          <t>19954</t>
        </is>
      </c>
      <c r="C3078" s="43" t="inlineStr">
        <is>
          <t>2×11×907</t>
        </is>
      </c>
      <c r="D3078" s="43" t="inlineStr">
        <is>
          <t>2·11</t>
        </is>
      </c>
      <c r="E3078" s="43" t="inlineStr"/>
      <c r="F3078" s="43" t="inlineStr"/>
    </row>
    <row r="3079" ht="13" customHeight="1">
      <c r="A3079" s="49" t="inlineStr">
        <is>
          <t>28277</t>
        </is>
      </c>
      <c r="B3079" s="49" t="inlineStr">
        <is>
          <t>27380</t>
        </is>
      </c>
      <c r="C3079" s="49" t="inlineStr">
        <is>
          <t>2×2×5×37×37</t>
        </is>
      </c>
      <c r="D3079" s="49" t="inlineStr">
        <is>
          <t>2·5</t>
        </is>
      </c>
      <c r="E3079" s="49" t="inlineStr"/>
      <c r="F3079" s="49" t="inlineStr"/>
    </row>
    <row r="3080" ht="13" customHeight="1">
      <c r="A3080" s="41" t="inlineStr">
        <is>
          <t>28279</t>
        </is>
      </c>
      <c r="B3080" s="41" t="inlineStr">
        <is>
          <t>5525</t>
        </is>
      </c>
      <c r="C3080" s="41" t="inlineStr">
        <is>
          <t>5×5×13×17</t>
        </is>
      </c>
      <c r="D3080" s="41" t="inlineStr">
        <is>
          <t>5·13·17</t>
        </is>
      </c>
      <c r="E3080" s="41" t="inlineStr"/>
      <c r="F3080" s="41" t="inlineStr"/>
    </row>
    <row r="3081" ht="13" customHeight="1">
      <c r="A3081" s="49" t="inlineStr">
        <is>
          <t>28283</t>
        </is>
      </c>
      <c r="B3081" s="49" t="inlineStr">
        <is>
          <t>25978</t>
        </is>
      </c>
      <c r="C3081" s="49" t="inlineStr">
        <is>
          <t>2×31×419</t>
        </is>
      </c>
      <c r="D3081" s="49" t="inlineStr">
        <is>
          <t>2</t>
        </is>
      </c>
      <c r="E3081" s="49" t="inlineStr"/>
      <c r="F3081" s="49" t="inlineStr"/>
    </row>
    <row r="3082" ht="13" customHeight="1">
      <c r="A3082" s="45" t="inlineStr">
        <is>
          <t>28289</t>
        </is>
      </c>
      <c r="B3082" s="45" t="inlineStr">
        <is>
          <t>36999</t>
        </is>
      </c>
      <c r="C3082" s="45" t="inlineStr">
        <is>
          <t>3×3×4111</t>
        </is>
      </c>
      <c r="D3082" s="45" t="inlineStr">
        <is>
          <t>3</t>
        </is>
      </c>
      <c r="E3082" s="45" t="inlineStr"/>
      <c r="F3082" s="45" t="inlineStr"/>
    </row>
    <row r="3083" ht="13" customHeight="1">
      <c r="A3083" s="49" t="inlineStr">
        <is>
          <t>28297</t>
        </is>
      </c>
      <c r="B3083" s="49" t="inlineStr">
        <is>
          <t>24454</t>
        </is>
      </c>
      <c r="C3083" s="49" t="inlineStr">
        <is>
          <t>2×12227</t>
        </is>
      </c>
      <c r="D3083" s="49" t="inlineStr">
        <is>
          <t>2</t>
        </is>
      </c>
      <c r="E3083" s="49" t="inlineStr"/>
      <c r="F3083" s="49" t="inlineStr"/>
    </row>
    <row r="3084" ht="13" customHeight="1">
      <c r="A3084" s="50" t="inlineStr">
        <is>
          <t>28307</t>
        </is>
      </c>
      <c r="B3084" s="50" t="inlineStr">
        <is>
          <t>9377</t>
        </is>
      </c>
      <c r="C3084" s="50" t="inlineStr">
        <is>
          <t>9377</t>
        </is>
      </c>
      <c r="D3084" s="50" t="inlineStr">
        <is>
          <t>—</t>
        </is>
      </c>
      <c r="E3084" s="50" t="inlineStr"/>
      <c r="F3084" s="50" t="inlineStr"/>
    </row>
    <row r="3085" ht="13" customHeight="1">
      <c r="A3085" s="49" t="inlineStr">
        <is>
          <t>28309</t>
        </is>
      </c>
      <c r="B3085" s="49" t="inlineStr">
        <is>
          <t>10539</t>
        </is>
      </c>
      <c r="C3085" s="49" t="inlineStr">
        <is>
          <t>3×3×1171</t>
        </is>
      </c>
      <c r="D3085" s="49" t="inlineStr">
        <is>
          <t>3</t>
        </is>
      </c>
      <c r="E3085" s="49" t="inlineStr"/>
      <c r="F3085" s="49" t="inlineStr"/>
    </row>
    <row r="3086" ht="13" customHeight="1">
      <c r="A3086" s="45" t="inlineStr">
        <is>
          <t>28319</t>
        </is>
      </c>
      <c r="B3086" s="45" t="inlineStr">
        <is>
          <t>21345</t>
        </is>
      </c>
      <c r="C3086" s="45" t="inlineStr">
        <is>
          <t>3×5×1423</t>
        </is>
      </c>
      <c r="D3086" s="45" t="inlineStr">
        <is>
          <t>3·5</t>
        </is>
      </c>
      <c r="E3086" s="45" t="inlineStr"/>
      <c r="F3086" s="45" t="inlineStr"/>
    </row>
    <row r="3087" ht="13" customHeight="1">
      <c r="A3087" s="41" t="inlineStr">
        <is>
          <t>28349</t>
        </is>
      </c>
      <c r="B3087" s="41" t="inlineStr">
        <is>
          <t>10591</t>
        </is>
      </c>
      <c r="C3087" s="41" t="inlineStr">
        <is>
          <t>7×17×89</t>
        </is>
      </c>
      <c r="D3087" s="41" t="inlineStr">
        <is>
          <t>7·17</t>
        </is>
      </c>
      <c r="E3087" s="41" t="inlineStr"/>
      <c r="F3087" s="41" t="inlineStr"/>
    </row>
    <row r="3088" ht="13" customHeight="1">
      <c r="A3088" s="45" t="inlineStr">
        <is>
          <t>28351</t>
        </is>
      </c>
      <c r="B3088" s="45" t="inlineStr">
        <is>
          <t>31037</t>
        </is>
      </c>
      <c r="C3088" s="45" t="inlineStr">
        <is>
          <t>41×757</t>
        </is>
      </c>
      <c r="D3088" s="45" t="inlineStr">
        <is>
          <t>—</t>
        </is>
      </c>
      <c r="E3088" s="45" t="inlineStr"/>
      <c r="F3088" s="45" t="inlineStr"/>
    </row>
    <row r="3089" ht="13" customHeight="1">
      <c r="A3089" s="43" t="inlineStr">
        <is>
          <t>28387</t>
        </is>
      </c>
      <c r="B3089" s="43" t="inlineStr">
        <is>
          <t>40524</t>
        </is>
      </c>
      <c r="C3089" s="43" t="inlineStr">
        <is>
          <t>2×2×3×11×307</t>
        </is>
      </c>
      <c r="D3089" s="43" t="inlineStr">
        <is>
          <t>2·3·11</t>
        </is>
      </c>
      <c r="E3089" s="43" t="inlineStr"/>
      <c r="F3089" s="43" t="inlineStr"/>
    </row>
    <row r="3090" ht="13" customHeight="1">
      <c r="A3090" s="45" t="inlineStr">
        <is>
          <t>28393</t>
        </is>
      </c>
      <c r="B3090" s="45" t="inlineStr">
        <is>
          <t>28190</t>
        </is>
      </c>
      <c r="C3090" s="45" t="inlineStr">
        <is>
          <t>2×5×2819</t>
        </is>
      </c>
      <c r="D3090" s="45" t="inlineStr">
        <is>
          <t>2·5</t>
        </is>
      </c>
      <c r="E3090" s="45" t="inlineStr"/>
      <c r="F3090" s="45" t="inlineStr"/>
    </row>
    <row r="3091" ht="13" customHeight="1">
      <c r="A3091" s="49" t="inlineStr">
        <is>
          <t>28403</t>
        </is>
      </c>
      <c r="B3091" s="49" t="inlineStr">
        <is>
          <t>13822</t>
        </is>
      </c>
      <c r="C3091" s="49" t="inlineStr">
        <is>
          <t>2×6911</t>
        </is>
      </c>
      <c r="D3091" s="49" t="inlineStr">
        <is>
          <t>2</t>
        </is>
      </c>
      <c r="E3091" s="49" t="inlineStr"/>
      <c r="F3091" s="49" t="inlineStr"/>
    </row>
    <row r="3092" ht="13" customHeight="1">
      <c r="A3092" s="45" t="inlineStr">
        <is>
          <t>28409</t>
        </is>
      </c>
      <c r="B3092" s="45" t="inlineStr">
        <is>
          <t>20695</t>
        </is>
      </c>
      <c r="C3092" s="45" t="inlineStr">
        <is>
          <t>5×4139</t>
        </is>
      </c>
      <c r="D3092" s="45" t="inlineStr">
        <is>
          <t>5</t>
        </is>
      </c>
      <c r="E3092" s="45" t="inlineStr"/>
      <c r="F3092" s="45" t="inlineStr"/>
    </row>
    <row r="3093" ht="13" customHeight="1">
      <c r="A3093" s="49" t="inlineStr">
        <is>
          <t>28411</t>
        </is>
      </c>
      <c r="B3093" s="49" t="inlineStr">
        <is>
          <t>7991</t>
        </is>
      </c>
      <c r="C3093" s="49" t="inlineStr">
        <is>
          <t>61×131</t>
        </is>
      </c>
      <c r="D3093" s="49" t="inlineStr">
        <is>
          <t>—</t>
        </is>
      </c>
      <c r="E3093" s="49" t="inlineStr"/>
      <c r="F3093" s="49" t="inlineStr"/>
    </row>
    <row r="3094" ht="13" customHeight="1">
      <c r="A3094" s="41" t="inlineStr">
        <is>
          <t>28429</t>
        </is>
      </c>
      <c r="B3094" s="41" t="inlineStr">
        <is>
          <t>17578</t>
        </is>
      </c>
      <c r="C3094" s="41" t="inlineStr">
        <is>
          <t>2×11×17×47</t>
        </is>
      </c>
      <c r="D3094" s="41" t="inlineStr">
        <is>
          <t>2·11·17</t>
        </is>
      </c>
      <c r="E3094" s="41" t="inlineStr"/>
      <c r="F3094" s="41" t="inlineStr"/>
    </row>
    <row r="3095" ht="13" customHeight="1">
      <c r="A3095" s="49" t="inlineStr">
        <is>
          <t>28433</t>
        </is>
      </c>
      <c r="B3095" s="49" t="inlineStr">
        <is>
          <t>30790</t>
        </is>
      </c>
      <c r="C3095" s="49" t="inlineStr">
        <is>
          <t>2×5×3079</t>
        </is>
      </c>
      <c r="D3095" s="49" t="inlineStr">
        <is>
          <t>2·5</t>
        </is>
      </c>
      <c r="E3095" s="49" t="inlineStr"/>
      <c r="F3095" s="49" t="inlineStr"/>
    </row>
    <row r="3096" ht="13" customHeight="1">
      <c r="A3096" s="45" t="inlineStr">
        <is>
          <t>28439</t>
        </is>
      </c>
      <c r="B3096" s="45" t="inlineStr">
        <is>
          <t>6718</t>
        </is>
      </c>
      <c r="C3096" s="45" t="inlineStr">
        <is>
          <t>2×3359</t>
        </is>
      </c>
      <c r="D3096" s="45" t="inlineStr">
        <is>
          <t>2</t>
        </is>
      </c>
      <c r="E3096" s="45" t="inlineStr"/>
      <c r="F3096" s="45" t="inlineStr"/>
    </row>
    <row r="3097" ht="13" customHeight="1">
      <c r="A3097" s="50" t="inlineStr">
        <is>
          <t>28447</t>
        </is>
      </c>
      <c r="B3097" s="50" t="inlineStr">
        <is>
          <t>38567</t>
        </is>
      </c>
      <c r="C3097" s="50" t="inlineStr">
        <is>
          <t>38567</t>
        </is>
      </c>
      <c r="D3097" s="50" t="inlineStr">
        <is>
          <t>—</t>
        </is>
      </c>
      <c r="E3097" s="50" t="inlineStr"/>
      <c r="F3097" s="50" t="inlineStr"/>
    </row>
    <row r="3098" ht="13" customHeight="1">
      <c r="A3098" s="41" t="inlineStr">
        <is>
          <t>28463</t>
        </is>
      </c>
      <c r="B3098" s="41" t="inlineStr">
        <is>
          <t>6222</t>
        </is>
      </c>
      <c r="C3098" s="41" t="inlineStr">
        <is>
          <t>2×3×17×61</t>
        </is>
      </c>
      <c r="D3098" s="41" t="inlineStr">
        <is>
          <t>2·3·17</t>
        </is>
      </c>
      <c r="E3098" s="41" t="inlineStr"/>
      <c r="F3098" s="41" t="inlineStr"/>
    </row>
    <row r="3099" ht="13" customHeight="1">
      <c r="A3099" s="41" t="inlineStr">
        <is>
          <t>28477</t>
        </is>
      </c>
      <c r="B3099" s="41" t="inlineStr">
        <is>
          <t>27352</t>
        </is>
      </c>
      <c r="C3099" s="41" t="inlineStr">
        <is>
          <t>2×2×2×13×263</t>
        </is>
      </c>
      <c r="D3099" s="41" t="inlineStr">
        <is>
          <t>2·13</t>
        </is>
      </c>
      <c r="E3099" s="41" t="inlineStr"/>
      <c r="F3099" s="41" t="inlineStr"/>
    </row>
    <row r="3100" ht="13" customHeight="1">
      <c r="A3100" s="45" t="inlineStr">
        <is>
          <t>28493</t>
        </is>
      </c>
      <c r="B3100" s="45" t="inlineStr">
        <is>
          <t>12286</t>
        </is>
      </c>
      <c r="C3100" s="45" t="inlineStr">
        <is>
          <t>2×6143</t>
        </is>
      </c>
      <c r="D3100" s="45" t="inlineStr">
        <is>
          <t>2</t>
        </is>
      </c>
      <c r="E3100" s="45" t="inlineStr"/>
      <c r="F3100" s="45" t="inlineStr"/>
    </row>
    <row r="3101" ht="13" customHeight="1">
      <c r="A3101" s="49" t="inlineStr">
        <is>
          <t>28499</t>
        </is>
      </c>
      <c r="B3101" s="49" t="inlineStr">
        <is>
          <t>42010</t>
        </is>
      </c>
      <c r="C3101" s="49" t="inlineStr">
        <is>
          <t>2×5×4201</t>
        </is>
      </c>
      <c r="D3101" s="49" t="inlineStr">
        <is>
          <t>2·5</t>
        </is>
      </c>
      <c r="E3101" s="49" t="inlineStr"/>
      <c r="F3101" s="49" t="inlineStr"/>
    </row>
    <row r="3102" ht="13" customHeight="1">
      <c r="A3102" s="45" t="inlineStr">
        <is>
          <t>28513</t>
        </is>
      </c>
      <c r="B3102" s="45" t="inlineStr">
        <is>
          <t>515</t>
        </is>
      </c>
      <c r="C3102" s="45" t="inlineStr">
        <is>
          <t>5×103</t>
        </is>
      </c>
      <c r="D3102" s="45" t="inlineStr">
        <is>
          <t>5</t>
        </is>
      </c>
      <c r="E3102" s="45" t="inlineStr"/>
      <c r="F3102" s="45" t="inlineStr"/>
    </row>
    <row r="3103" ht="13" customHeight="1">
      <c r="A3103" s="51" t="inlineStr">
        <is>
          <t>28517</t>
        </is>
      </c>
      <c r="B3103" s="51" t="inlineStr">
        <is>
          <t>20102</t>
        </is>
      </c>
      <c r="C3103" s="51" t="inlineStr">
        <is>
          <t>2×19×23×23</t>
        </is>
      </c>
      <c r="D3103" s="51" t="inlineStr">
        <is>
          <t>2·19</t>
        </is>
      </c>
      <c r="E3103" s="51" t="inlineStr"/>
      <c r="F3103" s="51" t="inlineStr"/>
    </row>
    <row r="3104" ht="13" customHeight="1">
      <c r="A3104" s="45" t="inlineStr">
        <is>
          <t>28537</t>
        </is>
      </c>
      <c r="B3104" s="45" t="inlineStr">
        <is>
          <t>40587</t>
        </is>
      </c>
      <c r="C3104" s="45" t="inlineStr">
        <is>
          <t>3×83×163</t>
        </is>
      </c>
      <c r="D3104" s="45" t="inlineStr">
        <is>
          <t>3</t>
        </is>
      </c>
      <c r="E3104" s="45" t="inlineStr"/>
      <c r="F3104" s="45" t="inlineStr"/>
    </row>
    <row r="3105" ht="13" customHeight="1">
      <c r="A3105" s="49" t="inlineStr">
        <is>
          <t>28541</t>
        </is>
      </c>
      <c r="B3105" s="49" t="inlineStr">
        <is>
          <t>35680</t>
        </is>
      </c>
      <c r="C3105" s="49" t="inlineStr">
        <is>
          <t>2×2×2×2×2×5×223</t>
        </is>
      </c>
      <c r="D3105" s="49" t="inlineStr">
        <is>
          <t>2·5</t>
        </is>
      </c>
      <c r="E3105" s="49" t="inlineStr"/>
      <c r="F3105" s="49" t="inlineStr"/>
    </row>
    <row r="3106" ht="13" customHeight="1">
      <c r="A3106" s="45" t="inlineStr">
        <is>
          <t>28547</t>
        </is>
      </c>
      <c r="B3106" s="45" t="inlineStr">
        <is>
          <t>18303</t>
        </is>
      </c>
      <c r="C3106" s="45" t="inlineStr">
        <is>
          <t>3×6101</t>
        </is>
      </c>
      <c r="D3106" s="45" t="inlineStr">
        <is>
          <t>3</t>
        </is>
      </c>
      <c r="E3106" s="45" t="inlineStr"/>
      <c r="F3106" s="45" t="inlineStr"/>
    </row>
    <row r="3107" ht="13" customHeight="1">
      <c r="A3107" s="49" t="inlineStr">
        <is>
          <t>28549</t>
        </is>
      </c>
      <c r="B3107" s="49" t="inlineStr">
        <is>
          <t>39540</t>
        </is>
      </c>
      <c r="C3107" s="49" t="inlineStr">
        <is>
          <t>2×2×3×5×659</t>
        </is>
      </c>
      <c r="D3107" s="49" t="inlineStr">
        <is>
          <t>2·3·5</t>
        </is>
      </c>
      <c r="E3107" s="49" t="inlineStr"/>
      <c r="F3107" s="49" t="inlineStr"/>
    </row>
    <row r="3108" ht="13" customHeight="1">
      <c r="A3108" s="45" t="inlineStr">
        <is>
          <t>28559</t>
        </is>
      </c>
      <c r="B3108" s="45" t="inlineStr">
        <is>
          <t>15022</t>
        </is>
      </c>
      <c r="C3108" s="45" t="inlineStr">
        <is>
          <t>2×7×29×37</t>
        </is>
      </c>
      <c r="D3108" s="45" t="inlineStr">
        <is>
          <t>2·7</t>
        </is>
      </c>
      <c r="E3108" s="45" t="inlineStr"/>
      <c r="F3108" s="45" t="inlineStr"/>
    </row>
    <row r="3109" ht="13" customHeight="1">
      <c r="A3109" s="43" t="inlineStr">
        <is>
          <t>28571</t>
        </is>
      </c>
      <c r="B3109" s="43" t="inlineStr">
        <is>
          <t>1749</t>
        </is>
      </c>
      <c r="C3109" s="43" t="inlineStr">
        <is>
          <t>3×11×53</t>
        </is>
      </c>
      <c r="D3109" s="43" t="inlineStr">
        <is>
          <t>3·11</t>
        </is>
      </c>
      <c r="E3109" s="43" t="inlineStr"/>
      <c r="F3109" s="43" t="inlineStr"/>
    </row>
    <row r="3110" ht="13" customHeight="1">
      <c r="A3110" s="45" t="inlineStr">
        <is>
          <t>28573</t>
        </is>
      </c>
      <c r="B3110" s="45" t="inlineStr">
        <is>
          <t>4772</t>
        </is>
      </c>
      <c r="C3110" s="45" t="inlineStr">
        <is>
          <t>2×2×1193</t>
        </is>
      </c>
      <c r="D3110" s="45" t="inlineStr">
        <is>
          <t>2</t>
        </is>
      </c>
      <c r="E3110" s="45" t="inlineStr"/>
      <c r="F3110" s="45" t="inlineStr"/>
    </row>
    <row r="3111" ht="13" customHeight="1">
      <c r="A3111" s="49" t="inlineStr">
        <is>
          <t>28579</t>
        </is>
      </c>
      <c r="B3111" s="49" t="inlineStr">
        <is>
          <t>8544</t>
        </is>
      </c>
      <c r="C3111" s="49" t="inlineStr">
        <is>
          <t>2×2×2×2×2×3×89</t>
        </is>
      </c>
      <c r="D3111" s="49" t="inlineStr">
        <is>
          <t>2·3</t>
        </is>
      </c>
      <c r="E3111" s="49" t="inlineStr"/>
      <c r="F3111" s="49" t="inlineStr"/>
    </row>
    <row r="3112" ht="13" customHeight="1">
      <c r="A3112" s="45" t="inlineStr">
        <is>
          <t>28591</t>
        </is>
      </c>
      <c r="B3112" s="45" t="inlineStr">
        <is>
          <t>33652</t>
        </is>
      </c>
      <c r="C3112" s="45" t="inlineStr">
        <is>
          <t>2×2×47×179</t>
        </is>
      </c>
      <c r="D3112" s="45" t="inlineStr">
        <is>
          <t>2</t>
        </is>
      </c>
      <c r="E3112" s="45" t="inlineStr"/>
      <c r="F3112" s="45" t="inlineStr"/>
    </row>
    <row r="3113" ht="13" customHeight="1">
      <c r="A3113" s="49" t="inlineStr">
        <is>
          <t>28597</t>
        </is>
      </c>
      <c r="B3113" s="49" t="inlineStr">
        <is>
          <t>39478</t>
        </is>
      </c>
      <c r="C3113" s="49" t="inlineStr">
        <is>
          <t>2×19739</t>
        </is>
      </c>
      <c r="D3113" s="49" t="inlineStr">
        <is>
          <t>2</t>
        </is>
      </c>
      <c r="E3113" s="49" t="inlineStr"/>
      <c r="F3113" s="49" t="inlineStr"/>
    </row>
    <row r="3114" ht="13" customHeight="1">
      <c r="A3114" s="45" t="inlineStr">
        <is>
          <t>28603</t>
        </is>
      </c>
      <c r="B3114" s="45" t="inlineStr">
        <is>
          <t>38761</t>
        </is>
      </c>
      <c r="C3114" s="45" t="inlineStr">
        <is>
          <t>83×467</t>
        </is>
      </c>
      <c r="D3114" s="45" t="inlineStr">
        <is>
          <t>—</t>
        </is>
      </c>
      <c r="E3114" s="45" t="inlineStr"/>
      <c r="F3114" s="45" t="inlineStr"/>
    </row>
    <row r="3115" ht="13" customHeight="1">
      <c r="A3115" s="49" t="inlineStr">
        <is>
          <t>28607</t>
        </is>
      </c>
      <c r="B3115" s="49" t="inlineStr">
        <is>
          <t>7112</t>
        </is>
      </c>
      <c r="C3115" s="49" t="inlineStr">
        <is>
          <t>2×2×2×7×127</t>
        </is>
      </c>
      <c r="D3115" s="49" t="inlineStr">
        <is>
          <t>2·7</t>
        </is>
      </c>
      <c r="E3115" s="49" t="inlineStr"/>
      <c r="F3115" s="49" t="inlineStr"/>
    </row>
    <row r="3116" ht="13" customHeight="1">
      <c r="A3116" s="45" t="inlineStr">
        <is>
          <t>28619</t>
        </is>
      </c>
      <c r="B3116" s="45" t="inlineStr">
        <is>
          <t>41842</t>
        </is>
      </c>
      <c r="C3116" s="45" t="inlineStr">
        <is>
          <t>2×20921</t>
        </is>
      </c>
      <c r="D3116" s="45" t="inlineStr">
        <is>
          <t>2</t>
        </is>
      </c>
      <c r="E3116" s="45" t="inlineStr"/>
      <c r="F3116" s="45" t="inlineStr"/>
    </row>
    <row r="3117" ht="13" customHeight="1">
      <c r="A3117" s="49" t="inlineStr">
        <is>
          <t>28621</t>
        </is>
      </c>
      <c r="B3117" s="49" t="inlineStr">
        <is>
          <t>10188</t>
        </is>
      </c>
      <c r="C3117" s="49" t="inlineStr">
        <is>
          <t>2×2×3×3×283</t>
        </is>
      </c>
      <c r="D3117" s="49" t="inlineStr">
        <is>
          <t>2·3</t>
        </is>
      </c>
      <c r="E3117" s="49" t="inlineStr"/>
      <c r="F3117" s="49" t="inlineStr"/>
    </row>
    <row r="3118" ht="13" customHeight="1">
      <c r="A3118" s="45" t="inlineStr">
        <is>
          <t>28627</t>
        </is>
      </c>
      <c r="B3118" s="45" t="inlineStr">
        <is>
          <t>18688</t>
        </is>
      </c>
      <c r="C3118" s="45" t="inlineStr">
        <is>
          <t>2×2×2×2×2×2×2×2×73</t>
        </is>
      </c>
      <c r="D3118" s="45" t="inlineStr">
        <is>
          <t>2</t>
        </is>
      </c>
      <c r="E3118" s="45" t="inlineStr"/>
      <c r="F3118" s="45" t="inlineStr"/>
    </row>
    <row r="3119" ht="13" customHeight="1">
      <c r="A3119" s="49" t="inlineStr">
        <is>
          <t>28631</t>
        </is>
      </c>
      <c r="B3119" s="49" t="inlineStr">
        <is>
          <t>8324</t>
        </is>
      </c>
      <c r="C3119" s="49" t="inlineStr">
        <is>
          <t>2×2×2081</t>
        </is>
      </c>
      <c r="D3119" s="49" t="inlineStr">
        <is>
          <t>2</t>
        </is>
      </c>
      <c r="E3119" s="49" t="inlineStr"/>
      <c r="F3119" s="49" t="inlineStr"/>
    </row>
    <row r="3120" ht="13" customHeight="1">
      <c r="A3120" s="45" t="inlineStr">
        <is>
          <t>28643</t>
        </is>
      </c>
      <c r="B3120" s="45" t="inlineStr">
        <is>
          <t>40503</t>
        </is>
      </c>
      <c r="C3120" s="45" t="inlineStr">
        <is>
          <t>3×23×587</t>
        </is>
      </c>
      <c r="D3120" s="45" t="inlineStr">
        <is>
          <t>3</t>
        </is>
      </c>
      <c r="E3120" s="45" t="inlineStr"/>
      <c r="F3120" s="45" t="inlineStr"/>
    </row>
    <row r="3121" ht="13" customHeight="1">
      <c r="A3121" s="49" t="inlineStr">
        <is>
          <t>28649</t>
        </is>
      </c>
      <c r="B3121" s="49" t="inlineStr">
        <is>
          <t>29462</t>
        </is>
      </c>
      <c r="C3121" s="49" t="inlineStr">
        <is>
          <t>2×14731</t>
        </is>
      </c>
      <c r="D3121" s="49" t="inlineStr">
        <is>
          <t>2</t>
        </is>
      </c>
      <c r="E3121" s="49" t="inlineStr"/>
      <c r="F3121" s="49" t="inlineStr"/>
    </row>
    <row r="3122" ht="13" customHeight="1">
      <c r="A3122" s="50" t="inlineStr">
        <is>
          <t>28657</t>
        </is>
      </c>
      <c r="B3122" s="50" t="inlineStr">
        <is>
          <t>28151</t>
        </is>
      </c>
      <c r="C3122" s="50" t="inlineStr">
        <is>
          <t>28151</t>
        </is>
      </c>
      <c r="D3122" s="50" t="inlineStr">
        <is>
          <t>—</t>
        </is>
      </c>
      <c r="E3122" s="50" t="inlineStr"/>
      <c r="F3122" s="50" t="inlineStr"/>
    </row>
    <row r="3123" ht="13" customHeight="1">
      <c r="A3123" s="49" t="inlineStr">
        <is>
          <t>28661</t>
        </is>
      </c>
      <c r="B3123" s="49" t="inlineStr">
        <is>
          <t>17520</t>
        </is>
      </c>
      <c r="C3123" s="49" t="inlineStr">
        <is>
          <t>2×2×2×2×3×5×73</t>
        </is>
      </c>
      <c r="D3123" s="49" t="inlineStr">
        <is>
          <t>2·3·5</t>
        </is>
      </c>
      <c r="E3123" s="49" t="inlineStr"/>
      <c r="F3123" s="49" t="inlineStr"/>
    </row>
    <row r="3124" ht="13" customHeight="1">
      <c r="A3124" s="45" t="inlineStr">
        <is>
          <t>28663</t>
        </is>
      </c>
      <c r="B3124" s="45" t="inlineStr">
        <is>
          <t>1359</t>
        </is>
      </c>
      <c r="C3124" s="45" t="inlineStr">
        <is>
          <t>3×3×151</t>
        </is>
      </c>
      <c r="D3124" s="45" t="inlineStr">
        <is>
          <t>3</t>
        </is>
      </c>
      <c r="E3124" s="45" t="inlineStr"/>
      <c r="F3124" s="45" t="inlineStr"/>
    </row>
    <row r="3125" ht="13" customHeight="1">
      <c r="A3125" s="49" t="inlineStr">
        <is>
          <t>28669</t>
        </is>
      </c>
      <c r="B3125" s="49" t="inlineStr">
        <is>
          <t>22530</t>
        </is>
      </c>
      <c r="C3125" s="49" t="inlineStr">
        <is>
          <t>2×3×5×751</t>
        </is>
      </c>
      <c r="D3125" s="49" t="inlineStr">
        <is>
          <t>2·3·5</t>
        </is>
      </c>
      <c r="E3125" s="49" t="inlineStr"/>
      <c r="F3125" s="49" t="inlineStr"/>
    </row>
    <row r="3126" ht="13" customHeight="1">
      <c r="A3126" s="43" t="inlineStr">
        <is>
          <t>28687</t>
        </is>
      </c>
      <c r="B3126" s="43" t="inlineStr">
        <is>
          <t>34210</t>
        </is>
      </c>
      <c r="C3126" s="43" t="inlineStr">
        <is>
          <t>2×5×11×311</t>
        </is>
      </c>
      <c r="D3126" s="43" t="inlineStr">
        <is>
          <t>2·5·11</t>
        </is>
      </c>
      <c r="E3126" s="43" t="inlineStr"/>
      <c r="F3126" s="43" t="inlineStr"/>
    </row>
    <row r="3127" ht="13" customHeight="1">
      <c r="A3127" s="49" t="inlineStr">
        <is>
          <t>28697</t>
        </is>
      </c>
      <c r="B3127" s="49" t="inlineStr">
        <is>
          <t>19758</t>
        </is>
      </c>
      <c r="C3127" s="49" t="inlineStr">
        <is>
          <t>2×3×37×89</t>
        </is>
      </c>
      <c r="D3127" s="49" t="inlineStr">
        <is>
          <t>2·3</t>
        </is>
      </c>
      <c r="E3127" s="49" t="inlineStr"/>
      <c r="F3127" s="49" t="inlineStr"/>
    </row>
    <row r="3128" ht="13" customHeight="1">
      <c r="A3128" s="50" t="inlineStr">
        <is>
          <t>28703</t>
        </is>
      </c>
      <c r="B3128" s="50" t="inlineStr">
        <is>
          <t>37139</t>
        </is>
      </c>
      <c r="C3128" s="50" t="inlineStr">
        <is>
          <t>37139</t>
        </is>
      </c>
      <c r="D3128" s="50" t="inlineStr">
        <is>
          <t>—</t>
        </is>
      </c>
      <c r="E3128" s="50" t="inlineStr"/>
      <c r="F3128" s="50" t="inlineStr"/>
    </row>
    <row r="3129" ht="13" customHeight="1">
      <c r="A3129" s="41" t="inlineStr">
        <is>
          <t>28711</t>
        </is>
      </c>
      <c r="B3129" s="41" t="inlineStr">
        <is>
          <t>22253</t>
        </is>
      </c>
      <c r="C3129" s="41" t="inlineStr">
        <is>
          <t>7×11×17×17</t>
        </is>
      </c>
      <c r="D3129" s="41" t="inlineStr">
        <is>
          <t>7·11·17</t>
        </is>
      </c>
      <c r="E3129" s="41" t="inlineStr"/>
      <c r="F3129" s="41" t="inlineStr"/>
    </row>
    <row r="3130" ht="13" customHeight="1">
      <c r="A3130" s="50" t="inlineStr">
        <is>
          <t>28723</t>
        </is>
      </c>
      <c r="B3130" s="50" t="inlineStr">
        <is>
          <t>28933</t>
        </is>
      </c>
      <c r="C3130" s="50" t="inlineStr">
        <is>
          <t>28933</t>
        </is>
      </c>
      <c r="D3130" s="50" t="inlineStr">
        <is>
          <t>—</t>
        </is>
      </c>
      <c r="E3130" s="50" t="inlineStr"/>
      <c r="F3130" s="50" t="inlineStr"/>
    </row>
    <row r="3131" ht="13" customHeight="1">
      <c r="A3131" s="49" t="inlineStr">
        <is>
          <t>28729</t>
        </is>
      </c>
      <c r="B3131" s="49" t="inlineStr">
        <is>
          <t>40930</t>
        </is>
      </c>
      <c r="C3131" s="49" t="inlineStr">
        <is>
          <t>2×5×4093</t>
        </is>
      </c>
      <c r="D3131" s="49" t="inlineStr">
        <is>
          <t>2·5</t>
        </is>
      </c>
      <c r="E3131" s="49" t="inlineStr"/>
      <c r="F3131" s="49" t="inlineStr"/>
    </row>
    <row r="3132" ht="13" customHeight="1">
      <c r="A3132" s="39" t="inlineStr">
        <is>
          <t>28751</t>
        </is>
      </c>
      <c r="B3132" s="39" t="inlineStr">
        <is>
          <t>160</t>
        </is>
      </c>
      <c r="C3132" s="39" t="inlineStr">
        <is>
          <t>2×2×2×2×2×5</t>
        </is>
      </c>
      <c r="D3132" s="39" t="inlineStr">
        <is>
          <t>2·5</t>
        </is>
      </c>
      <c r="E3132" s="39" t="inlineStr"/>
      <c r="F3132" s="39" t="inlineStr"/>
    </row>
    <row r="3133" ht="13" customHeight="1">
      <c r="A3133" s="49" t="inlineStr">
        <is>
          <t>28753</t>
        </is>
      </c>
      <c r="B3133" s="49" t="inlineStr">
        <is>
          <t>3266</t>
        </is>
      </c>
      <c r="C3133" s="49" t="inlineStr">
        <is>
          <t>2×23×71</t>
        </is>
      </c>
      <c r="D3133" s="49" t="inlineStr">
        <is>
          <t>2</t>
        </is>
      </c>
      <c r="E3133" s="49" t="inlineStr"/>
      <c r="F3133" s="49" t="inlineStr"/>
    </row>
    <row r="3134" ht="13" customHeight="1">
      <c r="A3134" s="45" t="inlineStr">
        <is>
          <t>28759</t>
        </is>
      </c>
      <c r="B3134" s="45" t="inlineStr">
        <is>
          <t>38264</t>
        </is>
      </c>
      <c r="C3134" s="45" t="inlineStr">
        <is>
          <t>2×2×2×4783</t>
        </is>
      </c>
      <c r="D3134" s="45" t="inlineStr">
        <is>
          <t>2</t>
        </is>
      </c>
      <c r="E3134" s="45" t="inlineStr"/>
      <c r="F3134" s="45" t="inlineStr"/>
    </row>
    <row r="3135" ht="13" customHeight="1">
      <c r="A3135" s="43" t="inlineStr">
        <is>
          <t>28771</t>
        </is>
      </c>
      <c r="B3135" s="43" t="inlineStr">
        <is>
          <t>35937</t>
        </is>
      </c>
      <c r="C3135" s="43" t="inlineStr">
        <is>
          <t>3×3×3×11×11×11</t>
        </is>
      </c>
      <c r="D3135" s="43" t="inlineStr">
        <is>
          <t>3·11</t>
        </is>
      </c>
      <c r="E3135" s="43" t="inlineStr"/>
      <c r="F3135" s="43" t="inlineStr"/>
    </row>
    <row r="3136" ht="13" customHeight="1">
      <c r="A3136" s="51" t="inlineStr">
        <is>
          <t>28789</t>
        </is>
      </c>
      <c r="B3136" s="51" t="inlineStr">
        <is>
          <t>8018</t>
        </is>
      </c>
      <c r="C3136" s="51" t="inlineStr">
        <is>
          <t>2×19×211</t>
        </is>
      </c>
      <c r="D3136" s="51" t="inlineStr">
        <is>
          <t>2·19</t>
        </is>
      </c>
      <c r="E3136" s="51" t="inlineStr"/>
      <c r="F3136" s="51" t="inlineStr"/>
    </row>
    <row r="3137" ht="13" customHeight="1">
      <c r="A3137" s="43" t="inlineStr">
        <is>
          <t>28793</t>
        </is>
      </c>
      <c r="B3137" s="43" t="inlineStr">
        <is>
          <t>869</t>
        </is>
      </c>
      <c r="C3137" s="43" t="inlineStr">
        <is>
          <t>11×79</t>
        </is>
      </c>
      <c r="D3137" s="43" t="inlineStr">
        <is>
          <t>11</t>
        </is>
      </c>
      <c r="E3137" s="43" t="inlineStr"/>
      <c r="F3137" s="43" t="inlineStr"/>
    </row>
    <row r="3138" ht="13" customHeight="1">
      <c r="A3138" s="45" t="inlineStr">
        <is>
          <t>28807</t>
        </is>
      </c>
      <c r="B3138" s="45" t="inlineStr">
        <is>
          <t>8110</t>
        </is>
      </c>
      <c r="C3138" s="45" t="inlineStr">
        <is>
          <t>2×5×811</t>
        </is>
      </c>
      <c r="D3138" s="45" t="inlineStr">
        <is>
          <t>2·5</t>
        </is>
      </c>
      <c r="E3138" s="45" t="inlineStr"/>
      <c r="F3138" s="45" t="inlineStr"/>
    </row>
    <row r="3139" ht="13" customHeight="1">
      <c r="A3139" s="41" t="inlineStr">
        <is>
          <t>28813</t>
        </is>
      </c>
      <c r="B3139" s="41" t="inlineStr">
        <is>
          <t>42670</t>
        </is>
      </c>
      <c r="C3139" s="41" t="inlineStr">
        <is>
          <t>2×5×17×251</t>
        </is>
      </c>
      <c r="D3139" s="41" t="inlineStr">
        <is>
          <t>2·5·17</t>
        </is>
      </c>
      <c r="E3139" s="41" t="inlineStr"/>
      <c r="F3139" s="41" t="inlineStr"/>
    </row>
    <row r="3140" ht="13" customHeight="1">
      <c r="A3140" s="45" t="inlineStr">
        <is>
          <t>28817</t>
        </is>
      </c>
      <c r="B3140" s="45" t="inlineStr">
        <is>
          <t>30287</t>
        </is>
      </c>
      <c r="C3140" s="45" t="inlineStr">
        <is>
          <t>31×977</t>
        </is>
      </c>
      <c r="D3140" s="45" t="inlineStr">
        <is>
          <t>—</t>
        </is>
      </c>
      <c r="E3140" s="45" t="inlineStr"/>
      <c r="F3140" s="45" t="inlineStr"/>
    </row>
    <row r="3141" ht="13" customHeight="1">
      <c r="A3141" s="49" t="inlineStr">
        <is>
          <t>28837</t>
        </is>
      </c>
      <c r="B3141" s="49" t="inlineStr">
        <is>
          <t>7234</t>
        </is>
      </c>
      <c r="C3141" s="49" t="inlineStr">
        <is>
          <t>2×3617</t>
        </is>
      </c>
      <c r="D3141" s="49" t="inlineStr">
        <is>
          <t>2</t>
        </is>
      </c>
      <c r="E3141" s="49" t="inlineStr"/>
      <c r="F3141" s="49" t="inlineStr"/>
    </row>
    <row r="3142" ht="13" customHeight="1">
      <c r="A3142" s="43" t="inlineStr">
        <is>
          <t>28843</t>
        </is>
      </c>
      <c r="B3142" s="43" t="inlineStr">
        <is>
          <t>43252</t>
        </is>
      </c>
      <c r="C3142" s="43" t="inlineStr">
        <is>
          <t>2×2×11×983</t>
        </is>
      </c>
      <c r="D3142" s="43" t="inlineStr">
        <is>
          <t>2·11</t>
        </is>
      </c>
      <c r="E3142" s="43" t="inlineStr"/>
      <c r="F3142" s="43" t="inlineStr"/>
    </row>
    <row r="3143" ht="13" customHeight="1">
      <c r="A3143" s="49" t="inlineStr">
        <is>
          <t>28859</t>
        </is>
      </c>
      <c r="B3143" s="49" t="inlineStr">
        <is>
          <t>40790</t>
        </is>
      </c>
      <c r="C3143" s="49" t="inlineStr">
        <is>
          <t>2×5×4079</t>
        </is>
      </c>
      <c r="D3143" s="49" t="inlineStr">
        <is>
          <t>2·5</t>
        </is>
      </c>
      <c r="E3143" s="49" t="inlineStr"/>
      <c r="F3143" s="49" t="inlineStr"/>
    </row>
    <row r="3144" ht="13" customHeight="1">
      <c r="A3144" s="45" t="inlineStr">
        <is>
          <t>28867</t>
        </is>
      </c>
      <c r="B3144" s="45" t="inlineStr">
        <is>
          <t>34412</t>
        </is>
      </c>
      <c r="C3144" s="45" t="inlineStr">
        <is>
          <t>2×2×7×1229</t>
        </is>
      </c>
      <c r="D3144" s="45" t="inlineStr">
        <is>
          <t>2·7</t>
        </is>
      </c>
      <c r="E3144" s="45" t="inlineStr"/>
      <c r="F3144" s="45" t="inlineStr"/>
    </row>
    <row r="3145" ht="13" customHeight="1">
      <c r="A3145" s="49" t="inlineStr">
        <is>
          <t>28871</t>
        </is>
      </c>
      <c r="B3145" s="49" t="inlineStr">
        <is>
          <t>9630</t>
        </is>
      </c>
      <c r="C3145" s="49" t="inlineStr">
        <is>
          <t>2×3×3×5×107</t>
        </is>
      </c>
      <c r="D3145" s="49" t="inlineStr">
        <is>
          <t>2·3·5</t>
        </is>
      </c>
      <c r="E3145" s="49" t="inlineStr"/>
      <c r="F3145" s="49" t="inlineStr"/>
    </row>
    <row r="3146" ht="13" customHeight="1">
      <c r="A3146" s="41" t="inlineStr">
        <is>
          <t>28879</t>
        </is>
      </c>
      <c r="B3146" s="41" t="inlineStr">
        <is>
          <t>1833</t>
        </is>
      </c>
      <c r="C3146" s="41" t="inlineStr">
        <is>
          <t>3×13×47</t>
        </is>
      </c>
      <c r="D3146" s="41" t="inlineStr">
        <is>
          <t>3·13</t>
        </is>
      </c>
      <c r="E3146" s="41" t="inlineStr"/>
      <c r="F3146" s="41" t="inlineStr"/>
    </row>
    <row r="3147" ht="13" customHeight="1">
      <c r="A3147" s="49" t="inlineStr">
        <is>
          <t>28901</t>
        </is>
      </c>
      <c r="B3147" s="49" t="inlineStr">
        <is>
          <t>34246</t>
        </is>
      </c>
      <c r="C3147" s="49" t="inlineStr">
        <is>
          <t>2×17123</t>
        </is>
      </c>
      <c r="D3147" s="49" t="inlineStr">
        <is>
          <t>2</t>
        </is>
      </c>
      <c r="E3147" s="49" t="inlineStr"/>
      <c r="F3147" s="49" t="inlineStr"/>
    </row>
    <row r="3148" ht="13" customHeight="1">
      <c r="A3148" s="45" t="inlineStr">
        <is>
          <t>28909</t>
        </is>
      </c>
      <c r="B3148" s="45" t="inlineStr">
        <is>
          <t>8370</t>
        </is>
      </c>
      <c r="C3148" s="45" t="inlineStr">
        <is>
          <t>2×3×3×3×5×31</t>
        </is>
      </c>
      <c r="D3148" s="45" t="inlineStr">
        <is>
          <t>2·3·5</t>
        </is>
      </c>
      <c r="E3148" s="45" t="inlineStr"/>
      <c r="F3148" s="45" t="inlineStr"/>
    </row>
    <row r="3149" ht="13" customHeight="1">
      <c r="A3149" s="49" t="inlineStr">
        <is>
          <t>28921</t>
        </is>
      </c>
      <c r="B3149" s="49" t="inlineStr">
        <is>
          <t>5175</t>
        </is>
      </c>
      <c r="C3149" s="49" t="inlineStr">
        <is>
          <t>3×3×5×5×23</t>
        </is>
      </c>
      <c r="D3149" s="49" t="inlineStr">
        <is>
          <t>3·5</t>
        </is>
      </c>
      <c r="E3149" s="49" t="inlineStr"/>
      <c r="F3149" s="49" t="inlineStr"/>
    </row>
    <row r="3150" ht="13" customHeight="1">
      <c r="A3150" s="39" t="inlineStr">
        <is>
          <t>28927</t>
        </is>
      </c>
      <c r="B3150" s="39" t="inlineStr">
        <is>
          <t>12544</t>
        </is>
      </c>
      <c r="C3150" s="39" t="inlineStr">
        <is>
          <t>2×2×2×2×2×2×2×2×7×7</t>
        </is>
      </c>
      <c r="D3150" s="39" t="inlineStr">
        <is>
          <t>2·7</t>
        </is>
      </c>
      <c r="E3150" s="39" t="inlineStr"/>
      <c r="F3150" s="39" t="inlineStr"/>
    </row>
    <row r="3151" ht="13" customHeight="1">
      <c r="A3151" s="49" t="inlineStr">
        <is>
          <t>28933</t>
        </is>
      </c>
      <c r="B3151" s="49" t="inlineStr">
        <is>
          <t>42450</t>
        </is>
      </c>
      <c r="C3151" s="49" t="inlineStr">
        <is>
          <t>2×3×5×5×283</t>
        </is>
      </c>
      <c r="D3151" s="49" t="inlineStr">
        <is>
          <t>2·3·5</t>
        </is>
      </c>
      <c r="E3151" s="49" t="inlineStr"/>
      <c r="F3151" s="49" t="inlineStr"/>
    </row>
    <row r="3152" ht="13" customHeight="1">
      <c r="A3152" s="45" t="inlineStr">
        <is>
          <t>28949</t>
        </is>
      </c>
      <c r="B3152" s="45" t="inlineStr">
        <is>
          <t>5322</t>
        </is>
      </c>
      <c r="C3152" s="45" t="inlineStr">
        <is>
          <t>2×3×887</t>
        </is>
      </c>
      <c r="D3152" s="45" t="inlineStr">
        <is>
          <t>2·3</t>
        </is>
      </c>
      <c r="E3152" s="45" t="inlineStr"/>
      <c r="F3152" s="45" t="inlineStr"/>
    </row>
    <row r="3153" ht="13" customHeight="1">
      <c r="A3153" s="41" t="inlineStr">
        <is>
          <t>28961</t>
        </is>
      </c>
      <c r="B3153" s="41" t="inlineStr">
        <is>
          <t>455</t>
        </is>
      </c>
      <c r="C3153" s="41" t="inlineStr">
        <is>
          <t>5×7×13</t>
        </is>
      </c>
      <c r="D3153" s="41" t="inlineStr">
        <is>
          <t>5·7·13</t>
        </is>
      </c>
      <c r="E3153" s="41" t="inlineStr"/>
      <c r="F3153" s="41" t="inlineStr"/>
    </row>
    <row r="3154" ht="13" customHeight="1">
      <c r="A3154" s="45" t="inlineStr">
        <is>
          <t>28979</t>
        </is>
      </c>
      <c r="B3154" s="45" t="inlineStr">
        <is>
          <t>8858</t>
        </is>
      </c>
      <c r="C3154" s="45" t="inlineStr">
        <is>
          <t>2×43×103</t>
        </is>
      </c>
      <c r="D3154" s="45" t="inlineStr">
        <is>
          <t>2</t>
        </is>
      </c>
      <c r="E3154" s="45" t="inlineStr"/>
      <c r="F3154" s="45" t="inlineStr"/>
    </row>
    <row r="3155" ht="13" customHeight="1">
      <c r="A3155" s="43" t="inlineStr">
        <is>
          <t>29009</t>
        </is>
      </c>
      <c r="B3155" s="43" t="inlineStr">
        <is>
          <t>28512</t>
        </is>
      </c>
      <c r="C3155" s="43" t="inlineStr">
        <is>
          <t>2×2×2×2×2×3×3×3×3×11</t>
        </is>
      </c>
      <c r="D3155" s="43" t="inlineStr">
        <is>
          <t>2·3·11</t>
        </is>
      </c>
      <c r="E3155" s="43" t="inlineStr"/>
      <c r="F3155" s="43" t="inlineStr"/>
    </row>
    <row r="3156" ht="13" customHeight="1">
      <c r="A3156" s="45" t="inlineStr">
        <is>
          <t>29017</t>
        </is>
      </c>
      <c r="B3156" s="45" t="inlineStr">
        <is>
          <t>1744</t>
        </is>
      </c>
      <c r="C3156" s="45" t="inlineStr">
        <is>
          <t>2×2×2×2×109</t>
        </is>
      </c>
      <c r="D3156" s="45" t="inlineStr">
        <is>
          <t>2</t>
        </is>
      </c>
      <c r="E3156" s="45" t="inlineStr"/>
      <c r="F3156" s="45" t="inlineStr"/>
    </row>
    <row r="3157" ht="13" customHeight="1">
      <c r="A3157" s="49" t="inlineStr">
        <is>
          <t>29021</t>
        </is>
      </c>
      <c r="B3157" s="49" t="inlineStr">
        <is>
          <t>27877</t>
        </is>
      </c>
      <c r="C3157" s="49" t="inlineStr">
        <is>
          <t>61×457</t>
        </is>
      </c>
      <c r="D3157" s="49" t="inlineStr">
        <is>
          <t>—</t>
        </is>
      </c>
      <c r="E3157" s="49" t="inlineStr"/>
      <c r="F3157" s="49" t="inlineStr"/>
    </row>
    <row r="3158" ht="13" customHeight="1">
      <c r="A3158" s="45" t="inlineStr">
        <is>
          <t>29023</t>
        </is>
      </c>
      <c r="B3158" s="45" t="inlineStr">
        <is>
          <t>6586</t>
        </is>
      </c>
      <c r="C3158" s="45" t="inlineStr">
        <is>
          <t>2×37×89</t>
        </is>
      </c>
      <c r="D3158" s="45" t="inlineStr">
        <is>
          <t>2</t>
        </is>
      </c>
      <c r="E3158" s="45" t="inlineStr"/>
      <c r="F3158" s="45" t="inlineStr"/>
    </row>
    <row r="3159" ht="13" customHeight="1">
      <c r="A3159" s="49" t="inlineStr">
        <is>
          <t>29027</t>
        </is>
      </c>
      <c r="B3159" s="49" t="inlineStr">
        <is>
          <t>6350</t>
        </is>
      </c>
      <c r="C3159" s="49" t="inlineStr">
        <is>
          <t>2×5×5×127</t>
        </is>
      </c>
      <c r="D3159" s="49" t="inlineStr">
        <is>
          <t>2·5</t>
        </is>
      </c>
      <c r="E3159" s="49" t="inlineStr"/>
      <c r="F3159" s="49" t="inlineStr"/>
    </row>
    <row r="3160" ht="13" customHeight="1">
      <c r="A3160" s="51" t="inlineStr">
        <is>
          <t>29033</t>
        </is>
      </c>
      <c r="B3160" s="51" t="inlineStr">
        <is>
          <t>14896</t>
        </is>
      </c>
      <c r="C3160" s="51" t="inlineStr">
        <is>
          <t>2×2×2×2×7×7×19</t>
        </is>
      </c>
      <c r="D3160" s="51" t="inlineStr">
        <is>
          <t>2·7·19</t>
        </is>
      </c>
      <c r="E3160" s="51" t="inlineStr"/>
      <c r="F3160" s="51" t="inlineStr"/>
    </row>
    <row r="3161" ht="13" customHeight="1">
      <c r="A3161" s="43" t="inlineStr">
        <is>
          <t>29059</t>
        </is>
      </c>
      <c r="B3161" s="43" t="inlineStr">
        <is>
          <t>39534</t>
        </is>
      </c>
      <c r="C3161" s="43" t="inlineStr">
        <is>
          <t>2×3×11×599</t>
        </is>
      </c>
      <c r="D3161" s="43" t="inlineStr">
        <is>
          <t>2·3·11</t>
        </is>
      </c>
      <c r="E3161" s="43" t="inlineStr"/>
      <c r="F3161" s="43" t="inlineStr"/>
    </row>
    <row r="3162" ht="13" customHeight="1">
      <c r="A3162" s="45" t="inlineStr">
        <is>
          <t>29063</t>
        </is>
      </c>
      <c r="B3162" s="45" t="inlineStr">
        <is>
          <t>42114</t>
        </is>
      </c>
      <c r="C3162" s="45" t="inlineStr">
        <is>
          <t>2×3×7019</t>
        </is>
      </c>
      <c r="D3162" s="45" t="inlineStr">
        <is>
          <t>2·3</t>
        </is>
      </c>
      <c r="E3162" s="45" t="inlineStr"/>
      <c r="F3162" s="45" t="inlineStr"/>
    </row>
    <row r="3163" ht="13" customHeight="1">
      <c r="A3163" s="49" t="inlineStr">
        <is>
          <t>29077</t>
        </is>
      </c>
      <c r="B3163" s="49" t="inlineStr">
        <is>
          <t>37970</t>
        </is>
      </c>
      <c r="C3163" s="49" t="inlineStr">
        <is>
          <t>2×5×3797</t>
        </is>
      </c>
      <c r="D3163" s="49" t="inlineStr">
        <is>
          <t>2·5</t>
        </is>
      </c>
      <c r="E3163" s="49" t="inlineStr"/>
      <c r="F3163" s="49" t="inlineStr"/>
    </row>
    <row r="3164" ht="13" customHeight="1">
      <c r="A3164" s="45" t="inlineStr">
        <is>
          <t>29101</t>
        </is>
      </c>
      <c r="B3164" s="45" t="inlineStr">
        <is>
          <t>38205</t>
        </is>
      </c>
      <c r="C3164" s="45" t="inlineStr">
        <is>
          <t>3×3×3×5×283</t>
        </is>
      </c>
      <c r="D3164" s="45" t="inlineStr">
        <is>
          <t>3·5</t>
        </is>
      </c>
      <c r="E3164" s="45" t="inlineStr"/>
      <c r="F3164" s="45" t="inlineStr"/>
    </row>
    <row r="3165" ht="13" customHeight="1">
      <c r="A3165" s="50" t="inlineStr">
        <is>
          <t>29123</t>
        </is>
      </c>
      <c r="B3165" s="50" t="inlineStr">
        <is>
          <t>31393</t>
        </is>
      </c>
      <c r="C3165" s="50" t="inlineStr">
        <is>
          <t>31393</t>
        </is>
      </c>
      <c r="D3165" s="50" t="inlineStr">
        <is>
          <t>—</t>
        </is>
      </c>
      <c r="E3165" s="50" t="inlineStr"/>
      <c r="F3165" s="50" t="inlineStr"/>
    </row>
    <row r="3166" ht="13" customHeight="1">
      <c r="A3166" s="50" t="inlineStr">
        <is>
          <t>29129</t>
        </is>
      </c>
      <c r="B3166" s="50" t="inlineStr">
        <is>
          <t>42239</t>
        </is>
      </c>
      <c r="C3166" s="50" t="inlineStr">
        <is>
          <t>42239</t>
        </is>
      </c>
      <c r="D3166" s="50" t="inlineStr">
        <is>
          <t>—</t>
        </is>
      </c>
      <c r="E3166" s="50" t="inlineStr"/>
      <c r="F3166" s="50" t="inlineStr"/>
    </row>
    <row r="3167" ht="13" customHeight="1">
      <c r="A3167" s="49" t="inlineStr">
        <is>
          <t>29131</t>
        </is>
      </c>
      <c r="B3167" s="49" t="inlineStr">
        <is>
          <t>36976</t>
        </is>
      </c>
      <c r="C3167" s="49" t="inlineStr">
        <is>
          <t>2×2×2×2×2311</t>
        </is>
      </c>
      <c r="D3167" s="49" t="inlineStr">
        <is>
          <t>2</t>
        </is>
      </c>
      <c r="E3167" s="49" t="inlineStr"/>
      <c r="F3167" s="49" t="inlineStr"/>
    </row>
    <row r="3168" ht="13" customHeight="1">
      <c r="A3168" s="50" t="inlineStr">
        <is>
          <t>29137</t>
        </is>
      </c>
      <c r="B3168" s="50" t="inlineStr">
        <is>
          <t>29881</t>
        </is>
      </c>
      <c r="C3168" s="50" t="inlineStr">
        <is>
          <t>29881</t>
        </is>
      </c>
      <c r="D3168" s="50" t="inlineStr">
        <is>
          <t>—</t>
        </is>
      </c>
      <c r="E3168" s="50" t="inlineStr"/>
      <c r="F3168" s="50" t="inlineStr"/>
    </row>
    <row r="3169" ht="13" customHeight="1">
      <c r="A3169" s="49" t="inlineStr">
        <is>
          <t>29147</t>
        </is>
      </c>
      <c r="B3169" s="49" t="inlineStr">
        <is>
          <t>42949</t>
        </is>
      </c>
      <c r="C3169" s="49" t="inlineStr">
        <is>
          <t>29×1481</t>
        </is>
      </c>
      <c r="D3169" s="49" t="inlineStr">
        <is>
          <t>—</t>
        </is>
      </c>
      <c r="E3169" s="49" t="inlineStr"/>
      <c r="F3169" s="49" t="inlineStr"/>
    </row>
    <row r="3170" ht="13" customHeight="1">
      <c r="A3170" s="45" t="inlineStr">
        <is>
          <t>29153</t>
        </is>
      </c>
      <c r="B3170" s="45" t="inlineStr">
        <is>
          <t>2362</t>
        </is>
      </c>
      <c r="C3170" s="45" t="inlineStr">
        <is>
          <t>2×1181</t>
        </is>
      </c>
      <c r="D3170" s="45" t="inlineStr">
        <is>
          <t>2</t>
        </is>
      </c>
      <c r="E3170" s="45" t="inlineStr"/>
      <c r="F3170" s="45" t="inlineStr"/>
    </row>
    <row r="3171" ht="13" customHeight="1">
      <c r="A3171" s="41" t="inlineStr">
        <is>
          <t>29167</t>
        </is>
      </c>
      <c r="B3171" s="41" t="inlineStr">
        <is>
          <t>969</t>
        </is>
      </c>
      <c r="C3171" s="41" t="inlineStr">
        <is>
          <t>3×17×19</t>
        </is>
      </c>
      <c r="D3171" s="41" t="inlineStr">
        <is>
          <t>3·17·19</t>
        </is>
      </c>
      <c r="E3171" s="41" t="inlineStr"/>
      <c r="F3171" s="41" t="inlineStr"/>
    </row>
    <row r="3172" ht="13" customHeight="1">
      <c r="A3172" s="45" t="inlineStr">
        <is>
          <t>29173</t>
        </is>
      </c>
      <c r="B3172" s="45" t="inlineStr">
        <is>
          <t>41573</t>
        </is>
      </c>
      <c r="C3172" s="45" t="inlineStr">
        <is>
          <t>7×5939</t>
        </is>
      </c>
      <c r="D3172" s="45" t="inlineStr">
        <is>
          <t>7</t>
        </is>
      </c>
      <c r="E3172" s="45" t="inlineStr"/>
      <c r="F3172" s="45" t="inlineStr"/>
    </row>
    <row r="3173" ht="13" customHeight="1">
      <c r="A3173" s="49" t="inlineStr">
        <is>
          <t>29179</t>
        </is>
      </c>
      <c r="B3173" s="49" t="inlineStr">
        <is>
          <t>34724</t>
        </is>
      </c>
      <c r="C3173" s="49" t="inlineStr">
        <is>
          <t>2×2×8681</t>
        </is>
      </c>
      <c r="D3173" s="49" t="inlineStr">
        <is>
          <t>2</t>
        </is>
      </c>
      <c r="E3173" s="49" t="inlineStr"/>
      <c r="F3173" s="49" t="inlineStr"/>
    </row>
    <row r="3174" ht="13" customHeight="1">
      <c r="A3174" s="45" t="inlineStr">
        <is>
          <t>29191</t>
        </is>
      </c>
      <c r="B3174" s="45" t="inlineStr">
        <is>
          <t>36574</t>
        </is>
      </c>
      <c r="C3174" s="45" t="inlineStr">
        <is>
          <t>2×18287</t>
        </is>
      </c>
      <c r="D3174" s="45" t="inlineStr">
        <is>
          <t>2</t>
        </is>
      </c>
      <c r="E3174" s="45" t="inlineStr"/>
      <c r="F3174" s="45" t="inlineStr"/>
    </row>
    <row r="3175" ht="13" customHeight="1">
      <c r="A3175" s="50" t="inlineStr">
        <is>
          <t>29201</t>
        </is>
      </c>
      <c r="B3175" s="50" t="inlineStr">
        <is>
          <t>6301</t>
        </is>
      </c>
      <c r="C3175" s="50" t="inlineStr">
        <is>
          <t>6301</t>
        </is>
      </c>
      <c r="D3175" s="50" t="inlineStr">
        <is>
          <t>—</t>
        </is>
      </c>
      <c r="E3175" s="50" t="inlineStr"/>
      <c r="F3175" s="50" t="inlineStr"/>
    </row>
    <row r="3176" ht="13" customHeight="1">
      <c r="A3176" s="45" t="inlineStr">
        <is>
          <t>29207</t>
        </is>
      </c>
      <c r="B3176" s="45" t="inlineStr">
        <is>
          <t>39943</t>
        </is>
      </c>
      <c r="C3176" s="45" t="inlineStr">
        <is>
          <t>59×677</t>
        </is>
      </c>
      <c r="D3176" s="45" t="inlineStr">
        <is>
          <t>—</t>
        </is>
      </c>
      <c r="E3176" s="45" t="inlineStr"/>
      <c r="F3176" s="45" t="inlineStr"/>
    </row>
    <row r="3177" ht="13" customHeight="1">
      <c r="A3177" s="49" t="inlineStr">
        <is>
          <t>29209</t>
        </is>
      </c>
      <c r="B3177" s="49" t="inlineStr">
        <is>
          <t>8306</t>
        </is>
      </c>
      <c r="C3177" s="49" t="inlineStr">
        <is>
          <t>2×4153</t>
        </is>
      </c>
      <c r="D3177" s="49" t="inlineStr">
        <is>
          <t>2</t>
        </is>
      </c>
      <c r="E3177" s="49" t="inlineStr"/>
      <c r="F3177" s="49" t="inlineStr"/>
    </row>
    <row r="3178" ht="13" customHeight="1">
      <c r="A3178" s="41" t="inlineStr">
        <is>
          <t>29221</t>
        </is>
      </c>
      <c r="B3178" s="41" t="inlineStr">
        <is>
          <t>42094</t>
        </is>
      </c>
      <c r="C3178" s="41" t="inlineStr">
        <is>
          <t>2×13×1619</t>
        </is>
      </c>
      <c r="D3178" s="41" t="inlineStr">
        <is>
          <t>2·13</t>
        </is>
      </c>
      <c r="E3178" s="41" t="inlineStr"/>
      <c r="F3178" s="41" t="inlineStr"/>
    </row>
    <row r="3179" ht="13" customHeight="1">
      <c r="A3179" s="43" t="inlineStr">
        <is>
          <t>29231</t>
        </is>
      </c>
      <c r="B3179" s="43" t="inlineStr">
        <is>
          <t>22539</t>
        </is>
      </c>
      <c r="C3179" s="43" t="inlineStr">
        <is>
          <t>3×11×683</t>
        </is>
      </c>
      <c r="D3179" s="43" t="inlineStr">
        <is>
          <t>3·11</t>
        </is>
      </c>
      <c r="E3179" s="43" t="inlineStr"/>
      <c r="F3179" s="43" t="inlineStr"/>
    </row>
    <row r="3180" ht="13" customHeight="1">
      <c r="A3180" s="45" t="inlineStr">
        <is>
          <t>29243</t>
        </is>
      </c>
      <c r="B3180" s="45" t="inlineStr">
        <is>
          <t>36820</t>
        </is>
      </c>
      <c r="C3180" s="45" t="inlineStr">
        <is>
          <t>2×2×5×7×263</t>
        </is>
      </c>
      <c r="D3180" s="45" t="inlineStr">
        <is>
          <t>2·5·7</t>
        </is>
      </c>
      <c r="E3180" s="45" t="inlineStr"/>
      <c r="F3180" s="45" t="inlineStr"/>
    </row>
    <row r="3181" ht="13" customHeight="1">
      <c r="A3181" s="50" t="inlineStr">
        <is>
          <t>29251</t>
        </is>
      </c>
      <c r="B3181" s="50" t="inlineStr">
        <is>
          <t>40751</t>
        </is>
      </c>
      <c r="C3181" s="50" t="inlineStr">
        <is>
          <t>40751</t>
        </is>
      </c>
      <c r="D3181" s="50" t="inlineStr">
        <is>
          <t>—</t>
        </is>
      </c>
      <c r="E3181" s="50" t="inlineStr"/>
      <c r="F3181" s="50" t="inlineStr"/>
    </row>
    <row r="3182" ht="13" customHeight="1">
      <c r="A3182" s="41" t="inlineStr">
        <is>
          <t>29269</t>
        </is>
      </c>
      <c r="B3182" s="41" t="inlineStr">
        <is>
          <t>9425</t>
        </is>
      </c>
      <c r="C3182" s="41" t="inlineStr">
        <is>
          <t>5×5×13×29</t>
        </is>
      </c>
      <c r="D3182" s="41" t="inlineStr">
        <is>
          <t>5·13</t>
        </is>
      </c>
      <c r="E3182" s="41" t="inlineStr"/>
      <c r="F3182" s="41" t="inlineStr"/>
    </row>
    <row r="3183" ht="13" customHeight="1">
      <c r="A3183" s="49" t="inlineStr">
        <is>
          <t>29287</t>
        </is>
      </c>
      <c r="B3183" s="49" t="inlineStr">
        <is>
          <t>37526</t>
        </is>
      </c>
      <c r="C3183" s="49" t="inlineStr">
        <is>
          <t>2×29×647</t>
        </is>
      </c>
      <c r="D3183" s="49" t="inlineStr">
        <is>
          <t>2</t>
        </is>
      </c>
      <c r="E3183" s="49" t="inlineStr"/>
      <c r="F3183" s="49" t="inlineStr"/>
    </row>
    <row r="3184" ht="13" customHeight="1">
      <c r="A3184" s="51" t="inlineStr">
        <is>
          <t>29297</t>
        </is>
      </c>
      <c r="B3184" s="51" t="inlineStr">
        <is>
          <t>35359</t>
        </is>
      </c>
      <c r="C3184" s="51" t="inlineStr">
        <is>
          <t>19×1861</t>
        </is>
      </c>
      <c r="D3184" s="51" t="inlineStr">
        <is>
          <t>19</t>
        </is>
      </c>
      <c r="E3184" s="51" t="inlineStr"/>
      <c r="F3184" s="51" t="inlineStr"/>
    </row>
    <row r="3185" ht="13" customHeight="1">
      <c r="A3185" s="43" t="inlineStr">
        <is>
          <t>29303</t>
        </is>
      </c>
      <c r="B3185" s="43" t="inlineStr">
        <is>
          <t>30536</t>
        </is>
      </c>
      <c r="C3185" s="43" t="inlineStr">
        <is>
          <t>2×2×2×11×347</t>
        </is>
      </c>
      <c r="D3185" s="43" t="inlineStr">
        <is>
          <t>2·11</t>
        </is>
      </c>
      <c r="E3185" s="43" t="inlineStr"/>
      <c r="F3185" s="43" t="inlineStr"/>
    </row>
    <row r="3186" ht="13" customHeight="1">
      <c r="A3186" s="45" t="inlineStr">
        <is>
          <t>29311</t>
        </is>
      </c>
      <c r="B3186" s="45" t="inlineStr">
        <is>
          <t>23799</t>
        </is>
      </c>
      <c r="C3186" s="45" t="inlineStr">
        <is>
          <t>3×7933</t>
        </is>
      </c>
      <c r="D3186" s="45" t="inlineStr">
        <is>
          <t>3</t>
        </is>
      </c>
      <c r="E3186" s="45" t="inlineStr"/>
      <c r="F3186" s="45" t="inlineStr"/>
    </row>
    <row r="3187" ht="13" customHeight="1">
      <c r="A3187" s="49" t="inlineStr">
        <is>
          <t>29327</t>
        </is>
      </c>
      <c r="B3187" s="49" t="inlineStr">
        <is>
          <t>16868</t>
        </is>
      </c>
      <c r="C3187" s="49" t="inlineStr">
        <is>
          <t>2×2×4217</t>
        </is>
      </c>
      <c r="D3187" s="49" t="inlineStr">
        <is>
          <t>2</t>
        </is>
      </c>
      <c r="E3187" s="49" t="inlineStr"/>
      <c r="F3187" s="49" t="inlineStr"/>
    </row>
    <row r="3188" ht="13" customHeight="1">
      <c r="A3188" s="45" t="inlineStr">
        <is>
          <t>29333</t>
        </is>
      </c>
      <c r="B3188" s="45" t="inlineStr">
        <is>
          <t>40544</t>
        </is>
      </c>
      <c r="C3188" s="45" t="inlineStr">
        <is>
          <t>2×2×2×2×2×7×181</t>
        </is>
      </c>
      <c r="D3188" s="45" t="inlineStr">
        <is>
          <t>2·7</t>
        </is>
      </c>
      <c r="E3188" s="45" t="inlineStr"/>
      <c r="F3188" s="45" t="inlineStr"/>
    </row>
    <row r="3189" ht="13" customHeight="1">
      <c r="A3189" s="43" t="inlineStr">
        <is>
          <t>29339</t>
        </is>
      </c>
      <c r="B3189" s="43" t="inlineStr">
        <is>
          <t>30877</t>
        </is>
      </c>
      <c r="C3189" s="43" t="inlineStr">
        <is>
          <t>7×11×401</t>
        </is>
      </c>
      <c r="D3189" s="43" t="inlineStr">
        <is>
          <t>7·11</t>
        </is>
      </c>
      <c r="E3189" s="43" t="inlineStr"/>
      <c r="F3189" s="43" t="inlineStr"/>
    </row>
    <row r="3190" ht="13" customHeight="1">
      <c r="A3190" s="41" t="inlineStr">
        <is>
          <t>29347</t>
        </is>
      </c>
      <c r="B3190" s="41" t="inlineStr">
        <is>
          <t>7242</t>
        </is>
      </c>
      <c r="C3190" s="41" t="inlineStr">
        <is>
          <t>2×3×17×71</t>
        </is>
      </c>
      <c r="D3190" s="41" t="inlineStr">
        <is>
          <t>2·3·17</t>
        </is>
      </c>
      <c r="E3190" s="41" t="inlineStr"/>
      <c r="F3190" s="41" t="inlineStr"/>
    </row>
    <row r="3191" ht="13" customHeight="1">
      <c r="A3191" s="49" t="inlineStr">
        <is>
          <t>29363</t>
        </is>
      </c>
      <c r="B3191" s="49" t="inlineStr">
        <is>
          <t>16713</t>
        </is>
      </c>
      <c r="C3191" s="49" t="inlineStr">
        <is>
          <t>3×3×3×619</t>
        </is>
      </c>
      <c r="D3191" s="49" t="inlineStr">
        <is>
          <t>3</t>
        </is>
      </c>
      <c r="E3191" s="49" t="inlineStr"/>
      <c r="F3191" s="49" t="inlineStr"/>
    </row>
    <row r="3192" ht="13" customHeight="1">
      <c r="A3192" s="50" t="inlineStr">
        <is>
          <t>29383</t>
        </is>
      </c>
      <c r="B3192" s="50" t="inlineStr">
        <is>
          <t>24749</t>
        </is>
      </c>
      <c r="C3192" s="50" t="inlineStr">
        <is>
          <t>24749</t>
        </is>
      </c>
      <c r="D3192" s="50" t="inlineStr">
        <is>
          <t>—</t>
        </is>
      </c>
      <c r="E3192" s="50" t="inlineStr"/>
      <c r="F3192" s="50" t="inlineStr"/>
    </row>
    <row r="3193" ht="13" customHeight="1">
      <c r="A3193" s="49" t="inlineStr">
        <is>
          <t>29387</t>
        </is>
      </c>
      <c r="B3193" s="49" t="inlineStr">
        <is>
          <t>28924</t>
        </is>
      </c>
      <c r="C3193" s="49" t="inlineStr">
        <is>
          <t>2×2×7×1033</t>
        </is>
      </c>
      <c r="D3193" s="49" t="inlineStr">
        <is>
          <t>2·7</t>
        </is>
      </c>
      <c r="E3193" s="49" t="inlineStr"/>
      <c r="F3193" s="49" t="inlineStr"/>
    </row>
    <row r="3194" ht="13" customHeight="1">
      <c r="A3194" s="45" t="inlineStr">
        <is>
          <t>29389</t>
        </is>
      </c>
      <c r="B3194" s="45" t="inlineStr">
        <is>
          <t>37129</t>
        </is>
      </c>
      <c r="C3194" s="45" t="inlineStr">
        <is>
          <t>107×347</t>
        </is>
      </c>
      <c r="D3194" s="45" t="inlineStr">
        <is>
          <t>—</t>
        </is>
      </c>
      <c r="E3194" s="45" t="inlineStr"/>
      <c r="F3194" s="45" t="inlineStr"/>
    </row>
    <row r="3195" ht="13" customHeight="1">
      <c r="A3195" s="49" t="inlineStr">
        <is>
          <t>29399</t>
        </is>
      </c>
      <c r="B3195" s="49" t="inlineStr">
        <is>
          <t>14941</t>
        </is>
      </c>
      <c r="C3195" s="49" t="inlineStr">
        <is>
          <t>67×223</t>
        </is>
      </c>
      <c r="D3195" s="49" t="inlineStr">
        <is>
          <t>—</t>
        </is>
      </c>
      <c r="E3195" s="49" t="inlineStr"/>
      <c r="F3195" s="49" t="inlineStr"/>
    </row>
    <row r="3196" ht="13" customHeight="1">
      <c r="A3196" s="41" t="inlineStr">
        <is>
          <t>29401</t>
        </is>
      </c>
      <c r="B3196" s="41" t="inlineStr">
        <is>
          <t>10309</t>
        </is>
      </c>
      <c r="C3196" s="41" t="inlineStr">
        <is>
          <t>13×13×61</t>
        </is>
      </c>
      <c r="D3196" s="41" t="inlineStr">
        <is>
          <t>13</t>
        </is>
      </c>
      <c r="E3196" s="41" t="inlineStr"/>
      <c r="F3196" s="41" t="inlineStr"/>
    </row>
    <row r="3197" ht="13" customHeight="1">
      <c r="A3197" s="49" t="inlineStr">
        <is>
          <t>29411</t>
        </is>
      </c>
      <c r="B3197" s="49" t="inlineStr">
        <is>
          <t>42996</t>
        </is>
      </c>
      <c r="C3197" s="49" t="inlineStr">
        <is>
          <t>2×2×3×3583</t>
        </is>
      </c>
      <c r="D3197" s="49" t="inlineStr">
        <is>
          <t>2·3</t>
        </is>
      </c>
      <c r="E3197" s="49" t="inlineStr"/>
      <c r="F3197" s="49" t="inlineStr"/>
    </row>
    <row r="3198" ht="13" customHeight="1">
      <c r="A3198" s="43" t="inlineStr">
        <is>
          <t>29423</t>
        </is>
      </c>
      <c r="B3198" s="43" t="inlineStr">
        <is>
          <t>5566</t>
        </is>
      </c>
      <c r="C3198" s="43" t="inlineStr">
        <is>
          <t>2×11×11×23</t>
        </is>
      </c>
      <c r="D3198" s="43" t="inlineStr">
        <is>
          <t>2·11</t>
        </is>
      </c>
      <c r="E3198" s="43" t="inlineStr"/>
      <c r="F3198" s="43" t="inlineStr"/>
    </row>
    <row r="3199" ht="13" customHeight="1">
      <c r="A3199" s="49" t="inlineStr">
        <is>
          <t>29429</t>
        </is>
      </c>
      <c r="B3199" s="49" t="inlineStr">
        <is>
          <t>17682</t>
        </is>
      </c>
      <c r="C3199" s="49" t="inlineStr">
        <is>
          <t>2×3×7×421</t>
        </is>
      </c>
      <c r="D3199" s="49" t="inlineStr">
        <is>
          <t>2·3·7</t>
        </is>
      </c>
      <c r="E3199" s="49" t="inlineStr"/>
      <c r="F3199" s="49" t="inlineStr"/>
    </row>
    <row r="3200" ht="13" customHeight="1">
      <c r="A3200" s="51" t="inlineStr">
        <is>
          <t>29437</t>
        </is>
      </c>
      <c r="B3200" s="51" t="inlineStr">
        <is>
          <t>5985</t>
        </is>
      </c>
      <c r="C3200" s="51" t="inlineStr">
        <is>
          <t>3×3×5×7×19</t>
        </is>
      </c>
      <c r="D3200" s="51" t="inlineStr">
        <is>
          <t>3·5·7·19</t>
        </is>
      </c>
      <c r="E3200" s="51" t="inlineStr"/>
      <c r="F3200" s="51" t="inlineStr"/>
    </row>
    <row r="3201" ht="13" customHeight="1">
      <c r="A3201" s="49" t="inlineStr">
        <is>
          <t>29443</t>
        </is>
      </c>
      <c r="B3201" s="49" t="inlineStr">
        <is>
          <t>5878</t>
        </is>
      </c>
      <c r="C3201" s="49" t="inlineStr">
        <is>
          <t>2×2939</t>
        </is>
      </c>
      <c r="D3201" s="49" t="inlineStr">
        <is>
          <t>2</t>
        </is>
      </c>
      <c r="E3201" s="49" t="inlineStr"/>
      <c r="F3201" s="49" t="inlineStr"/>
    </row>
    <row r="3202" ht="13" customHeight="1">
      <c r="A3202" s="45" t="inlineStr">
        <is>
          <t>29453</t>
        </is>
      </c>
      <c r="B3202" s="45" t="inlineStr">
        <is>
          <t>29664</t>
        </is>
      </c>
      <c r="C3202" s="45" t="inlineStr">
        <is>
          <t>2×2×2×2×2×3×3×103</t>
        </is>
      </c>
      <c r="D3202" s="45" t="inlineStr">
        <is>
          <t>2·3</t>
        </is>
      </c>
      <c r="E3202" s="45" t="inlineStr"/>
      <c r="F3202" s="45" t="inlineStr"/>
    </row>
    <row r="3203" ht="13" customHeight="1">
      <c r="A3203" s="50" t="inlineStr">
        <is>
          <t>29473</t>
        </is>
      </c>
      <c r="B3203" s="50" t="inlineStr">
        <is>
          <t>10139</t>
        </is>
      </c>
      <c r="C3203" s="50" t="inlineStr">
        <is>
          <t>10139</t>
        </is>
      </c>
      <c r="D3203" s="50" t="inlineStr">
        <is>
          <t>—</t>
        </is>
      </c>
      <c r="E3203" s="50" t="inlineStr"/>
      <c r="F3203" s="50" t="inlineStr"/>
    </row>
    <row r="3204" ht="13" customHeight="1">
      <c r="A3204" s="45" t="inlineStr">
        <is>
          <t>29483</t>
        </is>
      </c>
      <c r="B3204" s="45" t="inlineStr">
        <is>
          <t>43744</t>
        </is>
      </c>
      <c r="C3204" s="45" t="inlineStr">
        <is>
          <t>2×2×2×2×2×1367</t>
        </is>
      </c>
      <c r="D3204" s="45" t="inlineStr">
        <is>
          <t>2</t>
        </is>
      </c>
      <c r="E3204" s="45" t="inlineStr"/>
      <c r="F3204" s="45" t="inlineStr"/>
    </row>
    <row r="3205" ht="13" customHeight="1">
      <c r="A3205" s="49" t="inlineStr">
        <is>
          <t>29501</t>
        </is>
      </c>
      <c r="B3205" s="49" t="inlineStr">
        <is>
          <t>16377</t>
        </is>
      </c>
      <c r="C3205" s="49" t="inlineStr">
        <is>
          <t>3×53×103</t>
        </is>
      </c>
      <c r="D3205" s="49" t="inlineStr">
        <is>
          <t>3</t>
        </is>
      </c>
      <c r="E3205" s="49" t="inlineStr"/>
      <c r="F3205" s="49" t="inlineStr"/>
    </row>
    <row r="3206" ht="13" customHeight="1">
      <c r="A3206" s="45" t="inlineStr">
        <is>
          <t>29527</t>
        </is>
      </c>
      <c r="B3206" s="45" t="inlineStr">
        <is>
          <t>31308</t>
        </is>
      </c>
      <c r="C3206" s="45" t="inlineStr">
        <is>
          <t>2×2×3×2609</t>
        </is>
      </c>
      <c r="D3206" s="45" t="inlineStr">
        <is>
          <t>2·3</t>
        </is>
      </c>
      <c r="E3206" s="45" t="inlineStr"/>
      <c r="F3206" s="45" t="inlineStr"/>
    </row>
    <row r="3207" ht="13" customHeight="1">
      <c r="A3207" s="41" t="inlineStr">
        <is>
          <t>29531</t>
        </is>
      </c>
      <c r="B3207" s="41" t="inlineStr">
        <is>
          <t>7566</t>
        </is>
      </c>
      <c r="C3207" s="41" t="inlineStr">
        <is>
          <t>2×3×13×97</t>
        </is>
      </c>
      <c r="D3207" s="41" t="inlineStr">
        <is>
          <t>2·3·13</t>
        </is>
      </c>
      <c r="E3207" s="41" t="inlineStr"/>
      <c r="F3207" s="41" t="inlineStr"/>
    </row>
    <row r="3208" ht="13" customHeight="1">
      <c r="A3208" s="45" t="inlineStr">
        <is>
          <t>29537</t>
        </is>
      </c>
      <c r="B3208" s="45" t="inlineStr">
        <is>
          <t>41546</t>
        </is>
      </c>
      <c r="C3208" s="45" t="inlineStr">
        <is>
          <t>2×20773</t>
        </is>
      </c>
      <c r="D3208" s="45" t="inlineStr">
        <is>
          <t>2</t>
        </is>
      </c>
      <c r="E3208" s="45" t="inlineStr"/>
      <c r="F3208" s="45" t="inlineStr"/>
    </row>
    <row r="3209" ht="13" customHeight="1">
      <c r="A3209" s="49" t="inlineStr">
        <is>
          <t>29567</t>
        </is>
      </c>
      <c r="B3209" s="49" t="inlineStr">
        <is>
          <t>12945</t>
        </is>
      </c>
      <c r="C3209" s="49" t="inlineStr">
        <is>
          <t>3×5×863</t>
        </is>
      </c>
      <c r="D3209" s="49" t="inlineStr">
        <is>
          <t>3·5</t>
        </is>
      </c>
      <c r="E3209" s="49" t="inlineStr"/>
      <c r="F3209" s="49" t="inlineStr"/>
    </row>
    <row r="3210" ht="13" customHeight="1">
      <c r="A3210" s="45" t="inlineStr">
        <is>
          <t>29569</t>
        </is>
      </c>
      <c r="B3210" s="45" t="inlineStr">
        <is>
          <t>23607</t>
        </is>
      </c>
      <c r="C3210" s="45" t="inlineStr">
        <is>
          <t>3×3×43×61</t>
        </is>
      </c>
      <c r="D3210" s="45" t="inlineStr">
        <is>
          <t>3</t>
        </is>
      </c>
      <c r="E3210" s="45" t="inlineStr"/>
      <c r="F3210" s="45" t="inlineStr"/>
    </row>
    <row r="3211" ht="13" customHeight="1">
      <c r="A3211" s="49" t="inlineStr">
        <is>
          <t>29573</t>
        </is>
      </c>
      <c r="B3211" s="49" t="inlineStr">
        <is>
          <t>29041</t>
        </is>
      </c>
      <c r="C3211" s="49" t="inlineStr">
        <is>
          <t>113×257</t>
        </is>
      </c>
      <c r="D3211" s="49" t="inlineStr">
        <is>
          <t>—</t>
        </is>
      </c>
      <c r="E3211" s="49" t="inlineStr"/>
      <c r="F3211" s="49" t="inlineStr"/>
    </row>
    <row r="3212" ht="13" customHeight="1">
      <c r="A3212" s="50" t="inlineStr">
        <is>
          <t>29581</t>
        </is>
      </c>
      <c r="B3212" s="50" t="inlineStr">
        <is>
          <t>7187</t>
        </is>
      </c>
      <c r="C3212" s="50" t="inlineStr">
        <is>
          <t>7187</t>
        </is>
      </c>
      <c r="D3212" s="50" t="inlineStr">
        <is>
          <t>—</t>
        </is>
      </c>
      <c r="E3212" s="50" t="inlineStr"/>
      <c r="F3212" s="50" t="inlineStr"/>
    </row>
    <row r="3213" ht="13" customHeight="1">
      <c r="A3213" s="41" t="inlineStr">
        <is>
          <t>29587</t>
        </is>
      </c>
      <c r="B3213" s="41" t="inlineStr">
        <is>
          <t>18005</t>
        </is>
      </c>
      <c r="C3213" s="41" t="inlineStr">
        <is>
          <t>5×13×277</t>
        </is>
      </c>
      <c r="D3213" s="41" t="inlineStr">
        <is>
          <t>5·13</t>
        </is>
      </c>
      <c r="E3213" s="41" t="inlineStr"/>
      <c r="F3213" s="41" t="inlineStr"/>
    </row>
    <row r="3214" ht="13" customHeight="1">
      <c r="A3214" s="45" t="inlineStr">
        <is>
          <t>29599</t>
        </is>
      </c>
      <c r="B3214" s="45" t="inlineStr">
        <is>
          <t>38525</t>
        </is>
      </c>
      <c r="C3214" s="45" t="inlineStr">
        <is>
          <t>5×5×23×67</t>
        </is>
      </c>
      <c r="D3214" s="45" t="inlineStr">
        <is>
          <t>5</t>
        </is>
      </c>
      <c r="E3214" s="45" t="inlineStr"/>
      <c r="F3214" s="45" t="inlineStr"/>
    </row>
    <row r="3215" ht="13" customHeight="1">
      <c r="A3215" s="49" t="inlineStr">
        <is>
          <t>29611</t>
        </is>
      </c>
      <c r="B3215" s="49" t="inlineStr">
        <is>
          <t>31539</t>
        </is>
      </c>
      <c r="C3215" s="49" t="inlineStr">
        <is>
          <t>3×10513</t>
        </is>
      </c>
      <c r="D3215" s="49" t="inlineStr">
        <is>
          <t>3</t>
        </is>
      </c>
      <c r="E3215" s="49" t="inlineStr"/>
      <c r="F3215" s="49" t="inlineStr"/>
    </row>
    <row r="3216" ht="13" customHeight="1">
      <c r="A3216" s="45" t="inlineStr">
        <is>
          <t>29629</t>
        </is>
      </c>
      <c r="B3216" s="45" t="inlineStr">
        <is>
          <t>33874</t>
        </is>
      </c>
      <c r="C3216" s="45" t="inlineStr">
        <is>
          <t>2×16937</t>
        </is>
      </c>
      <c r="D3216" s="45" t="inlineStr">
        <is>
          <t>2</t>
        </is>
      </c>
      <c r="E3216" s="45" t="inlineStr"/>
      <c r="F3216" s="45" t="inlineStr"/>
    </row>
    <row r="3217" ht="13" customHeight="1">
      <c r="A3217" s="41" t="inlineStr">
        <is>
          <t>29633</t>
        </is>
      </c>
      <c r="B3217" s="41" t="inlineStr">
        <is>
          <t>30186</t>
        </is>
      </c>
      <c r="C3217" s="41" t="inlineStr">
        <is>
          <t>2×3×3×3×13×43</t>
        </is>
      </c>
      <c r="D3217" s="41" t="inlineStr">
        <is>
          <t>2·3·13</t>
        </is>
      </c>
      <c r="E3217" s="41" t="inlineStr"/>
      <c r="F3217" s="41" t="inlineStr"/>
    </row>
    <row r="3218" ht="13" customHeight="1">
      <c r="A3218" s="45" t="inlineStr">
        <is>
          <t>29641</t>
        </is>
      </c>
      <c r="B3218" s="45" t="inlineStr">
        <is>
          <t>42844</t>
        </is>
      </c>
      <c r="C3218" s="45" t="inlineStr">
        <is>
          <t>2×2×10711</t>
        </is>
      </c>
      <c r="D3218" s="45" t="inlineStr">
        <is>
          <t>2</t>
        </is>
      </c>
      <c r="E3218" s="45" t="inlineStr"/>
      <c r="F3218" s="45" t="inlineStr"/>
    </row>
    <row r="3219" ht="13" customHeight="1">
      <c r="A3219" s="49" t="inlineStr">
        <is>
          <t>29663</t>
        </is>
      </c>
      <c r="B3219" s="49" t="inlineStr">
        <is>
          <t>18248</t>
        </is>
      </c>
      <c r="C3219" s="49" t="inlineStr">
        <is>
          <t>2×2×2×2281</t>
        </is>
      </c>
      <c r="D3219" s="49" t="inlineStr">
        <is>
          <t>2</t>
        </is>
      </c>
      <c r="E3219" s="49" t="inlineStr"/>
      <c r="F3219" s="49" t="inlineStr"/>
    </row>
    <row r="3220" ht="13" customHeight="1">
      <c r="A3220" s="45" t="inlineStr">
        <is>
          <t>29669</t>
        </is>
      </c>
      <c r="B3220" s="45" t="inlineStr">
        <is>
          <t>39437</t>
        </is>
      </c>
      <c r="C3220" s="45" t="inlineStr">
        <is>
          <t>113×349</t>
        </is>
      </c>
      <c r="D3220" s="45" t="inlineStr">
        <is>
          <t>—</t>
        </is>
      </c>
      <c r="E3220" s="45" t="inlineStr"/>
      <c r="F3220" s="45" t="inlineStr"/>
    </row>
    <row r="3221" ht="13" customHeight="1">
      <c r="A3221" s="49" t="inlineStr">
        <is>
          <t>29671</t>
        </is>
      </c>
      <c r="B3221" s="49" t="inlineStr">
        <is>
          <t>17432</t>
        </is>
      </c>
      <c r="C3221" s="49" t="inlineStr">
        <is>
          <t>2×2×2×2179</t>
        </is>
      </c>
      <c r="D3221" s="49" t="inlineStr">
        <is>
          <t>2</t>
        </is>
      </c>
      <c r="E3221" s="49" t="inlineStr"/>
      <c r="F3221" s="49" t="inlineStr"/>
    </row>
    <row r="3222" ht="13" customHeight="1">
      <c r="A3222" s="45" t="inlineStr">
        <is>
          <t>29683</t>
        </is>
      </c>
      <c r="B3222" s="45" t="inlineStr">
        <is>
          <t>37073</t>
        </is>
      </c>
      <c r="C3222" s="45" t="inlineStr">
        <is>
          <t>131×283</t>
        </is>
      </c>
      <c r="D3222" s="45" t="inlineStr">
        <is>
          <t>—</t>
        </is>
      </c>
      <c r="E3222" s="45" t="inlineStr"/>
      <c r="F3222" s="45" t="inlineStr"/>
    </row>
    <row r="3223" ht="13" customHeight="1">
      <c r="A3223" s="49" t="inlineStr">
        <is>
          <t>29717</t>
        </is>
      </c>
      <c r="B3223" s="49" t="inlineStr">
        <is>
          <t>28363</t>
        </is>
      </c>
      <c r="C3223" s="49" t="inlineStr">
        <is>
          <t>113×251</t>
        </is>
      </c>
      <c r="D3223" s="49" t="inlineStr">
        <is>
          <t>—</t>
        </is>
      </c>
      <c r="E3223" s="49" t="inlineStr"/>
      <c r="F3223" s="49" t="inlineStr"/>
    </row>
    <row r="3224" ht="13" customHeight="1">
      <c r="A3224" s="51" t="inlineStr">
        <is>
          <t>29723</t>
        </is>
      </c>
      <c r="B3224" s="51" t="inlineStr">
        <is>
          <t>20140</t>
        </is>
      </c>
      <c r="C3224" s="51" t="inlineStr">
        <is>
          <t>2×2×5×19×53</t>
        </is>
      </c>
      <c r="D3224" s="51" t="inlineStr">
        <is>
          <t>2·5·19</t>
        </is>
      </c>
      <c r="E3224" s="51" t="inlineStr"/>
      <c r="F3224" s="51" t="inlineStr"/>
    </row>
    <row r="3225" ht="13" customHeight="1">
      <c r="A3225" s="49" t="inlineStr">
        <is>
          <t>29741</t>
        </is>
      </c>
      <c r="B3225" s="49" t="inlineStr">
        <is>
          <t>22272</t>
        </is>
      </c>
      <c r="C3225" s="49" t="inlineStr">
        <is>
          <t>2×2×2×2×2×2×2×2×3×29</t>
        </is>
      </c>
      <c r="D3225" s="49" t="inlineStr">
        <is>
          <t>2·3</t>
        </is>
      </c>
      <c r="E3225" s="49" t="inlineStr"/>
      <c r="F3225" s="49" t="inlineStr"/>
    </row>
    <row r="3226" ht="13" customHeight="1">
      <c r="A3226" s="45" t="inlineStr">
        <is>
          <t>29753</t>
        </is>
      </c>
      <c r="B3226" s="45" t="inlineStr">
        <is>
          <t>40608</t>
        </is>
      </c>
      <c r="C3226" s="45" t="inlineStr">
        <is>
          <t>2×2×2×2×2×3×3×3×47</t>
        </is>
      </c>
      <c r="D3226" s="45" t="inlineStr">
        <is>
          <t>2·3</t>
        </is>
      </c>
      <c r="E3226" s="45" t="inlineStr"/>
      <c r="F3226" s="45" t="inlineStr"/>
    </row>
    <row r="3227" ht="13" customHeight="1">
      <c r="A3227" s="50" t="inlineStr">
        <is>
          <t>29759</t>
        </is>
      </c>
      <c r="B3227" s="50" t="inlineStr">
        <is>
          <t>31723</t>
        </is>
      </c>
      <c r="C3227" s="50" t="inlineStr">
        <is>
          <t>31723</t>
        </is>
      </c>
      <c r="D3227" s="50" t="inlineStr">
        <is>
          <t>—</t>
        </is>
      </c>
      <c r="E3227" s="50" t="inlineStr"/>
      <c r="F3227" s="50" t="inlineStr"/>
    </row>
    <row r="3228" ht="13" customHeight="1">
      <c r="A3228" s="45" t="inlineStr">
        <is>
          <t>29761</t>
        </is>
      </c>
      <c r="B3228" s="45" t="inlineStr">
        <is>
          <t>34745</t>
        </is>
      </c>
      <c r="C3228" s="45" t="inlineStr">
        <is>
          <t>5×6949</t>
        </is>
      </c>
      <c r="D3228" s="45" t="inlineStr">
        <is>
          <t>5</t>
        </is>
      </c>
      <c r="E3228" s="45" t="inlineStr"/>
      <c r="F3228" s="45" t="inlineStr"/>
    </row>
    <row r="3229" ht="13" customHeight="1">
      <c r="A3229" s="50" t="inlineStr">
        <is>
          <t>29789</t>
        </is>
      </c>
      <c r="B3229" s="50" t="inlineStr">
        <is>
          <t>37643</t>
        </is>
      </c>
      <c r="C3229" s="50" t="inlineStr">
        <is>
          <t>37643</t>
        </is>
      </c>
      <c r="D3229" s="50" t="inlineStr">
        <is>
          <t>—</t>
        </is>
      </c>
      <c r="E3229" s="50" t="inlineStr"/>
      <c r="F3229" s="50" t="inlineStr"/>
    </row>
    <row r="3230" ht="13" customHeight="1">
      <c r="A3230" s="45" t="inlineStr">
        <is>
          <t>29803</t>
        </is>
      </c>
      <c r="B3230" s="45" t="inlineStr">
        <is>
          <t>28700</t>
        </is>
      </c>
      <c r="C3230" s="45" t="inlineStr">
        <is>
          <t>2×2×5×5×7×41</t>
        </is>
      </c>
      <c r="D3230" s="45" t="inlineStr">
        <is>
          <t>2·5·7</t>
        </is>
      </c>
      <c r="E3230" s="45" t="inlineStr"/>
      <c r="F3230" s="45" t="inlineStr"/>
    </row>
    <row r="3231" ht="13" customHeight="1">
      <c r="A3231" s="49" t="inlineStr">
        <is>
          <t>29819</t>
        </is>
      </c>
      <c r="B3231" s="49" t="inlineStr">
        <is>
          <t>31336</t>
        </is>
      </c>
      <c r="C3231" s="49" t="inlineStr">
        <is>
          <t>2×2×2×3917</t>
        </is>
      </c>
      <c r="D3231" s="49" t="inlineStr">
        <is>
          <t>2</t>
        </is>
      </c>
      <c r="E3231" s="49" t="inlineStr"/>
      <c r="F3231" s="49" t="inlineStr"/>
    </row>
    <row r="3232" ht="13" customHeight="1">
      <c r="A3232" s="45" t="inlineStr">
        <is>
          <t>29833</t>
        </is>
      </c>
      <c r="B3232" s="45" t="inlineStr">
        <is>
          <t>18113</t>
        </is>
      </c>
      <c r="C3232" s="45" t="inlineStr">
        <is>
          <t>59×307</t>
        </is>
      </c>
      <c r="D3232" s="45" t="inlineStr">
        <is>
          <t>—</t>
        </is>
      </c>
      <c r="E3232" s="45" t="inlineStr"/>
      <c r="F3232" s="45" t="inlineStr"/>
    </row>
    <row r="3233" ht="13" customHeight="1">
      <c r="A3233" s="41" t="inlineStr">
        <is>
          <t>29837</t>
        </is>
      </c>
      <c r="B3233" s="41" t="inlineStr">
        <is>
          <t>14297</t>
        </is>
      </c>
      <c r="C3233" s="41" t="inlineStr">
        <is>
          <t>17×29×29</t>
        </is>
      </c>
      <c r="D3233" s="41" t="inlineStr">
        <is>
          <t>17</t>
        </is>
      </c>
      <c r="E3233" s="41" t="inlineStr"/>
      <c r="F3233" s="41" t="inlineStr"/>
    </row>
    <row r="3234" ht="13" customHeight="1">
      <c r="A3234" s="43" t="inlineStr">
        <is>
          <t>29851</t>
        </is>
      </c>
      <c r="B3234" s="43" t="inlineStr">
        <is>
          <t>35409</t>
        </is>
      </c>
      <c r="C3234" s="43" t="inlineStr">
        <is>
          <t>3×11×29×37</t>
        </is>
      </c>
      <c r="D3234" s="43" t="inlineStr">
        <is>
          <t>3·11</t>
        </is>
      </c>
      <c r="E3234" s="43" t="inlineStr"/>
      <c r="F3234" s="43" t="inlineStr"/>
    </row>
    <row r="3235" ht="13" customHeight="1">
      <c r="A3235" s="49" t="inlineStr">
        <is>
          <t>29863</t>
        </is>
      </c>
      <c r="B3235" s="49" t="inlineStr">
        <is>
          <t>28712</t>
        </is>
      </c>
      <c r="C3235" s="49" t="inlineStr">
        <is>
          <t>2×2×2×37×97</t>
        </is>
      </c>
      <c r="D3235" s="49" t="inlineStr">
        <is>
          <t>2</t>
        </is>
      </c>
      <c r="E3235" s="49" t="inlineStr"/>
      <c r="F3235" s="49" t="inlineStr"/>
    </row>
    <row r="3236" ht="13" customHeight="1">
      <c r="A3236" s="45" t="inlineStr">
        <is>
          <t>29867</t>
        </is>
      </c>
      <c r="B3236" s="45" t="inlineStr">
        <is>
          <t>2256</t>
        </is>
      </c>
      <c r="C3236" s="45" t="inlineStr">
        <is>
          <t>2×2×2×2×3×47</t>
        </is>
      </c>
      <c r="D3236" s="45" t="inlineStr">
        <is>
          <t>2·3</t>
        </is>
      </c>
      <c r="E3236" s="45" t="inlineStr"/>
      <c r="F3236" s="45" t="inlineStr"/>
    </row>
    <row r="3237" ht="13" customHeight="1">
      <c r="A3237" s="49" t="inlineStr">
        <is>
          <t>29873</t>
        </is>
      </c>
      <c r="B3237" s="49" t="inlineStr">
        <is>
          <t>12035</t>
        </is>
      </c>
      <c r="C3237" s="49" t="inlineStr">
        <is>
          <t>5×29×83</t>
        </is>
      </c>
      <c r="D3237" s="49" t="inlineStr">
        <is>
          <t>5</t>
        </is>
      </c>
      <c r="E3237" s="49" t="inlineStr"/>
      <c r="F3237" s="49" t="inlineStr"/>
    </row>
    <row r="3238" ht="13" customHeight="1">
      <c r="A3238" s="45" t="inlineStr">
        <is>
          <t>29879</t>
        </is>
      </c>
      <c r="B3238" s="45" t="inlineStr">
        <is>
          <t>34594</t>
        </is>
      </c>
      <c r="C3238" s="45" t="inlineStr">
        <is>
          <t>2×7×7×353</t>
        </is>
      </c>
      <c r="D3238" s="45" t="inlineStr">
        <is>
          <t>2·7</t>
        </is>
      </c>
      <c r="E3238" s="45" t="inlineStr"/>
      <c r="F3238" s="45" t="inlineStr"/>
    </row>
    <row r="3239" ht="13" customHeight="1">
      <c r="A3239" s="49" t="inlineStr">
        <is>
          <t>29881</t>
        </is>
      </c>
      <c r="B3239" s="49" t="inlineStr">
        <is>
          <t>37445</t>
        </is>
      </c>
      <c r="C3239" s="49" t="inlineStr">
        <is>
          <t>5×7489</t>
        </is>
      </c>
      <c r="D3239" s="49" t="inlineStr">
        <is>
          <t>5</t>
        </is>
      </c>
      <c r="E3239" s="49" t="inlineStr"/>
      <c r="F3239" s="49" t="inlineStr"/>
    </row>
    <row r="3240" ht="13" customHeight="1">
      <c r="A3240" s="51" t="inlineStr">
        <is>
          <t>29917</t>
        </is>
      </c>
      <c r="B3240" s="51" t="inlineStr">
        <is>
          <t>1767</t>
        </is>
      </c>
      <c r="C3240" s="51" t="inlineStr">
        <is>
          <t>3×19×31</t>
        </is>
      </c>
      <c r="D3240" s="51" t="inlineStr">
        <is>
          <t>3·19</t>
        </is>
      </c>
      <c r="E3240" s="51" t="inlineStr"/>
      <c r="F3240" s="51" t="inlineStr"/>
    </row>
    <row r="3241" ht="13" customHeight="1">
      <c r="A3241" s="41" t="inlineStr">
        <is>
          <t>29921</t>
        </is>
      </c>
      <c r="B3241" s="41" t="inlineStr">
        <is>
          <t>40256</t>
        </is>
      </c>
      <c r="C3241" s="41" t="inlineStr">
        <is>
          <t>2×2×2×2×2×2×17×37</t>
        </is>
      </c>
      <c r="D3241" s="41" t="inlineStr">
        <is>
          <t>2·17</t>
        </is>
      </c>
      <c r="E3241" s="41" t="inlineStr"/>
      <c r="F3241" s="41" t="inlineStr"/>
    </row>
    <row r="3242" ht="13" customHeight="1">
      <c r="A3242" s="45" t="inlineStr">
        <is>
          <t>29927</t>
        </is>
      </c>
      <c r="B3242" s="45" t="inlineStr">
        <is>
          <t>13801</t>
        </is>
      </c>
      <c r="C3242" s="45" t="inlineStr">
        <is>
          <t>37×373</t>
        </is>
      </c>
      <c r="D3242" s="45" t="inlineStr">
        <is>
          <t>—</t>
        </is>
      </c>
      <c r="E3242" s="45" t="inlineStr"/>
      <c r="F3242" s="45" t="inlineStr"/>
    </row>
    <row r="3243" ht="13" customHeight="1">
      <c r="A3243" s="43" t="inlineStr">
        <is>
          <t>29947</t>
        </is>
      </c>
      <c r="B3243" s="43" t="inlineStr">
        <is>
          <t>9966</t>
        </is>
      </c>
      <c r="C3243" s="43" t="inlineStr">
        <is>
          <t>2×3×11×151</t>
        </is>
      </c>
      <c r="D3243" s="43" t="inlineStr">
        <is>
          <t>2·3·11</t>
        </is>
      </c>
      <c r="E3243" s="43" t="inlineStr"/>
      <c r="F3243" s="43" t="inlineStr"/>
    </row>
    <row r="3244" ht="13" customHeight="1">
      <c r="A3244" s="45" t="inlineStr">
        <is>
          <t>29959</t>
        </is>
      </c>
      <c r="B3244" s="45" t="inlineStr">
        <is>
          <t>37630</t>
        </is>
      </c>
      <c r="C3244" s="45" t="inlineStr">
        <is>
          <t>2×5×53×71</t>
        </is>
      </c>
      <c r="D3244" s="45" t="inlineStr">
        <is>
          <t>2·5</t>
        </is>
      </c>
      <c r="E3244" s="45" t="inlineStr"/>
      <c r="F3244" s="45" t="inlineStr"/>
    </row>
    <row r="3245" ht="13" customHeight="1">
      <c r="A3245" s="49" t="inlineStr">
        <is>
          <t>29983</t>
        </is>
      </c>
      <c r="B3245" s="49" t="inlineStr">
        <is>
          <t>36122</t>
        </is>
      </c>
      <c r="C3245" s="49" t="inlineStr">
        <is>
          <t>2×18061</t>
        </is>
      </c>
      <c r="D3245" s="49" t="inlineStr">
        <is>
          <t>2</t>
        </is>
      </c>
      <c r="E3245" s="49" t="inlineStr"/>
      <c r="F3245" s="49" t="inlineStr"/>
    </row>
    <row r="3246" ht="13" customHeight="1">
      <c r="A3246" s="45" t="inlineStr">
        <is>
          <t>29989</t>
        </is>
      </c>
      <c r="B3246" s="45" t="inlineStr">
        <is>
          <t>4924</t>
        </is>
      </c>
      <c r="C3246" s="45" t="inlineStr">
        <is>
          <t>2×2×1231</t>
        </is>
      </c>
      <c r="D3246" s="45" t="inlineStr">
        <is>
          <t>2</t>
        </is>
      </c>
      <c r="E3246" s="45" t="inlineStr"/>
      <c r="F3246" s="45" t="inlineStr"/>
    </row>
    <row r="3247" ht="13" customHeight="1">
      <c r="A3247" s="49" t="inlineStr">
        <is>
          <t>30011</t>
        </is>
      </c>
      <c r="B3247" s="49" t="inlineStr">
        <is>
          <t>12931</t>
        </is>
      </c>
      <c r="C3247" s="49" t="inlineStr">
        <is>
          <t>67×193</t>
        </is>
      </c>
      <c r="D3247" s="49" t="inlineStr">
        <is>
          <t>—</t>
        </is>
      </c>
      <c r="E3247" s="49" t="inlineStr"/>
      <c r="F3247" s="49" t="inlineStr"/>
    </row>
    <row r="3248" ht="13" customHeight="1">
      <c r="A3248" s="45" t="inlineStr">
        <is>
          <t>30013</t>
        </is>
      </c>
      <c r="B3248" s="45" t="inlineStr">
        <is>
          <t>12058</t>
        </is>
      </c>
      <c r="C3248" s="45" t="inlineStr">
        <is>
          <t>2×6029</t>
        </is>
      </c>
      <c r="D3248" s="45" t="inlineStr">
        <is>
          <t>2</t>
        </is>
      </c>
      <c r="E3248" s="45" t="inlineStr"/>
      <c r="F3248" s="45" t="inlineStr"/>
    </row>
    <row r="3249" ht="13" customHeight="1">
      <c r="A3249" s="41" t="inlineStr">
        <is>
          <t>30029</t>
        </is>
      </c>
      <c r="B3249" s="41" t="inlineStr">
        <is>
          <t>6591</t>
        </is>
      </c>
      <c r="C3249" s="41" t="inlineStr">
        <is>
          <t>3×13×13×13</t>
        </is>
      </c>
      <c r="D3249" s="41" t="inlineStr">
        <is>
          <t>3·13</t>
        </is>
      </c>
      <c r="E3249" s="41" t="inlineStr"/>
      <c r="F3249" s="41" t="inlineStr"/>
    </row>
    <row r="3250" ht="13" customHeight="1">
      <c r="A3250" s="45" t="inlineStr">
        <is>
          <t>30047</t>
        </is>
      </c>
      <c r="B3250" s="45" t="inlineStr">
        <is>
          <t>20628</t>
        </is>
      </c>
      <c r="C3250" s="45" t="inlineStr">
        <is>
          <t>2×2×3×3×3×191</t>
        </is>
      </c>
      <c r="D3250" s="45" t="inlineStr">
        <is>
          <t>2·3</t>
        </is>
      </c>
      <c r="E3250" s="45" t="inlineStr"/>
      <c r="F3250" s="45" t="inlineStr"/>
    </row>
    <row r="3251" ht="13" customHeight="1">
      <c r="A3251" s="49" t="inlineStr">
        <is>
          <t>30059</t>
        </is>
      </c>
      <c r="B3251" s="49" t="inlineStr">
        <is>
          <t>42918</t>
        </is>
      </c>
      <c r="C3251" s="49" t="inlineStr">
        <is>
          <t>2×3×23×311</t>
        </is>
      </c>
      <c r="D3251" s="49" t="inlineStr">
        <is>
          <t>2·3</t>
        </is>
      </c>
      <c r="E3251" s="49" t="inlineStr"/>
      <c r="F3251" s="49" t="inlineStr"/>
    </row>
    <row r="3252" ht="13" customHeight="1">
      <c r="A3252" s="45" t="inlineStr">
        <is>
          <t>30071</t>
        </is>
      </c>
      <c r="B3252" s="45" t="inlineStr">
        <is>
          <t>24627</t>
        </is>
      </c>
      <c r="C3252" s="45" t="inlineStr">
        <is>
          <t>3×8209</t>
        </is>
      </c>
      <c r="D3252" s="45" t="inlineStr">
        <is>
          <t>3</t>
        </is>
      </c>
      <c r="E3252" s="45" t="inlineStr"/>
      <c r="F3252" s="45" t="inlineStr"/>
    </row>
    <row r="3253" ht="13" customHeight="1">
      <c r="A3253" s="49" t="inlineStr">
        <is>
          <t>30089</t>
        </is>
      </c>
      <c r="B3253" s="49" t="inlineStr">
        <is>
          <t>10878</t>
        </is>
      </c>
      <c r="C3253" s="49" t="inlineStr">
        <is>
          <t>2×3×7×7×37</t>
        </is>
      </c>
      <c r="D3253" s="49" t="inlineStr">
        <is>
          <t>2·3·7</t>
        </is>
      </c>
      <c r="E3253" s="49" t="inlineStr"/>
      <c r="F3253" s="49" t="inlineStr"/>
    </row>
    <row r="3254" ht="13" customHeight="1">
      <c r="A3254" s="51" t="inlineStr">
        <is>
          <t>30091</t>
        </is>
      </c>
      <c r="B3254" s="51" t="inlineStr">
        <is>
          <t>19095</t>
        </is>
      </c>
      <c r="C3254" s="51" t="inlineStr">
        <is>
          <t>3×5×19×67</t>
        </is>
      </c>
      <c r="D3254" s="51" t="inlineStr">
        <is>
          <t>3·5·19</t>
        </is>
      </c>
      <c r="E3254" s="51" t="inlineStr"/>
      <c r="F3254" s="51" t="inlineStr"/>
    </row>
    <row r="3255" ht="13" customHeight="1">
      <c r="A3255" s="41" t="inlineStr">
        <is>
          <t>30097</t>
        </is>
      </c>
      <c r="B3255" s="41" t="inlineStr">
        <is>
          <t>41582</t>
        </is>
      </c>
      <c r="C3255" s="41" t="inlineStr">
        <is>
          <t>2×17×1223</t>
        </is>
      </c>
      <c r="D3255" s="41" t="inlineStr">
        <is>
          <t>2·17</t>
        </is>
      </c>
      <c r="E3255" s="41" t="inlineStr"/>
      <c r="F3255" s="41" t="inlineStr"/>
    </row>
    <row r="3256" ht="13" customHeight="1">
      <c r="A3256" s="51" t="inlineStr">
        <is>
          <t>30103</t>
        </is>
      </c>
      <c r="B3256" s="51" t="inlineStr">
        <is>
          <t>31388</t>
        </is>
      </c>
      <c r="C3256" s="51" t="inlineStr">
        <is>
          <t>2×2×7×19×59</t>
        </is>
      </c>
      <c r="D3256" s="51" t="inlineStr">
        <is>
          <t>2·7·19</t>
        </is>
      </c>
      <c r="E3256" s="51" t="inlineStr"/>
      <c r="F3256" s="51" t="inlineStr"/>
    </row>
    <row r="3257" ht="13" customHeight="1">
      <c r="A3257" s="41" t="inlineStr">
        <is>
          <t>30109</t>
        </is>
      </c>
      <c r="B3257" s="41" t="inlineStr">
        <is>
          <t>646</t>
        </is>
      </c>
      <c r="C3257" s="41" t="inlineStr">
        <is>
          <t>2×17×19</t>
        </is>
      </c>
      <c r="D3257" s="41" t="inlineStr">
        <is>
          <t>2·17·19</t>
        </is>
      </c>
      <c r="E3257" s="41" t="inlineStr"/>
      <c r="F3257" s="41" t="inlineStr"/>
    </row>
    <row r="3258" ht="13" customHeight="1">
      <c r="A3258" s="45" t="inlineStr">
        <is>
          <t>30113</t>
        </is>
      </c>
      <c r="B3258" s="45" t="inlineStr">
        <is>
          <t>29998</t>
        </is>
      </c>
      <c r="C3258" s="45" t="inlineStr">
        <is>
          <t>2×53×283</t>
        </is>
      </c>
      <c r="D3258" s="45" t="inlineStr">
        <is>
          <t>2</t>
        </is>
      </c>
      <c r="E3258" s="45" t="inlineStr"/>
      <c r="F3258" s="45" t="inlineStr"/>
    </row>
    <row r="3259" ht="13" customHeight="1">
      <c r="A3259" s="41" t="inlineStr">
        <is>
          <t>30119</t>
        </is>
      </c>
      <c r="B3259" s="41" t="inlineStr">
        <is>
          <t>32742</t>
        </is>
      </c>
      <c r="C3259" s="41" t="inlineStr">
        <is>
          <t>2×3×3×17×107</t>
        </is>
      </c>
      <c r="D3259" s="41" t="inlineStr">
        <is>
          <t>2·3·17</t>
        </is>
      </c>
      <c r="E3259" s="41" t="inlineStr"/>
      <c r="F3259" s="41" t="inlineStr"/>
    </row>
    <row r="3260" ht="13" customHeight="1">
      <c r="A3260" s="50" t="inlineStr">
        <is>
          <t>30133</t>
        </is>
      </c>
      <c r="B3260" s="50" t="inlineStr">
        <is>
          <t>9461</t>
        </is>
      </c>
      <c r="C3260" s="50" t="inlineStr">
        <is>
          <t>9461</t>
        </is>
      </c>
      <c r="D3260" s="50" t="inlineStr">
        <is>
          <t>—</t>
        </is>
      </c>
      <c r="E3260" s="50" t="inlineStr"/>
      <c r="F3260" s="50" t="inlineStr"/>
    </row>
    <row r="3261" ht="13" customHeight="1">
      <c r="A3261" s="49" t="inlineStr">
        <is>
          <t>30137</t>
        </is>
      </c>
      <c r="B3261" s="49" t="inlineStr">
        <is>
          <t>39544</t>
        </is>
      </c>
      <c r="C3261" s="49" t="inlineStr">
        <is>
          <t>2×2×2×4943</t>
        </is>
      </c>
      <c r="D3261" s="49" t="inlineStr">
        <is>
          <t>2</t>
        </is>
      </c>
      <c r="E3261" s="49" t="inlineStr"/>
      <c r="F3261" s="49" t="inlineStr"/>
    </row>
    <row r="3262" ht="13" customHeight="1">
      <c r="A3262" s="45" t="inlineStr">
        <is>
          <t>30139</t>
        </is>
      </c>
      <c r="B3262" s="45" t="inlineStr">
        <is>
          <t>13450</t>
        </is>
      </c>
      <c r="C3262" s="45" t="inlineStr">
        <is>
          <t>2×5×5×269</t>
        </is>
      </c>
      <c r="D3262" s="45" t="inlineStr">
        <is>
          <t>2·5</t>
        </is>
      </c>
      <c r="E3262" s="45" t="inlineStr"/>
      <c r="F3262" s="45" t="inlineStr"/>
    </row>
    <row r="3263" ht="13" customHeight="1">
      <c r="A3263" s="43" t="inlineStr">
        <is>
          <t>30161</t>
        </is>
      </c>
      <c r="B3263" s="43" t="inlineStr">
        <is>
          <t>37103</t>
        </is>
      </c>
      <c r="C3263" s="43" t="inlineStr">
        <is>
          <t>11×3373</t>
        </is>
      </c>
      <c r="D3263" s="43" t="inlineStr">
        <is>
          <t>11</t>
        </is>
      </c>
      <c r="E3263" s="43" t="inlineStr"/>
      <c r="F3263" s="43" t="inlineStr"/>
    </row>
    <row r="3264" ht="13" customHeight="1">
      <c r="A3264" s="45" t="inlineStr">
        <is>
          <t>30169</t>
        </is>
      </c>
      <c r="B3264" s="45" t="inlineStr">
        <is>
          <t>895</t>
        </is>
      </c>
      <c r="C3264" s="45" t="inlineStr">
        <is>
          <t>5×179</t>
        </is>
      </c>
      <c r="D3264" s="45" t="inlineStr">
        <is>
          <t>5</t>
        </is>
      </c>
      <c r="E3264" s="45" t="inlineStr"/>
      <c r="F3264" s="45" t="inlineStr"/>
    </row>
    <row r="3265" ht="13" customHeight="1">
      <c r="A3265" s="49" t="inlineStr">
        <is>
          <t>30181</t>
        </is>
      </c>
      <c r="B3265" s="49" t="inlineStr">
        <is>
          <t>29607</t>
        </is>
      </c>
      <c r="C3265" s="49" t="inlineStr">
        <is>
          <t>3×71×139</t>
        </is>
      </c>
      <c r="D3265" s="49" t="inlineStr">
        <is>
          <t>3</t>
        </is>
      </c>
      <c r="E3265" s="49" t="inlineStr"/>
      <c r="F3265" s="49" t="inlineStr"/>
    </row>
    <row r="3266" ht="13" customHeight="1">
      <c r="A3266" s="45" t="inlineStr">
        <is>
          <t>30187</t>
        </is>
      </c>
      <c r="B3266" s="45" t="inlineStr">
        <is>
          <t>34448</t>
        </is>
      </c>
      <c r="C3266" s="45" t="inlineStr">
        <is>
          <t>2×2×2×2×2153</t>
        </is>
      </c>
      <c r="D3266" s="45" t="inlineStr">
        <is>
          <t>2</t>
        </is>
      </c>
      <c r="E3266" s="45" t="inlineStr"/>
      <c r="F3266" s="45" t="inlineStr"/>
    </row>
    <row r="3267" ht="13" customHeight="1">
      <c r="A3267" s="49" t="inlineStr">
        <is>
          <t>30197</t>
        </is>
      </c>
      <c r="B3267" s="49" t="inlineStr">
        <is>
          <t>29751</t>
        </is>
      </c>
      <c r="C3267" s="49" t="inlineStr">
        <is>
          <t>3×47×211</t>
        </is>
      </c>
      <c r="D3267" s="49" t="inlineStr">
        <is>
          <t>3</t>
        </is>
      </c>
      <c r="E3267" s="49" t="inlineStr"/>
      <c r="F3267" s="49" t="inlineStr"/>
    </row>
    <row r="3268" ht="13" customHeight="1">
      <c r="A3268" s="45" t="inlineStr">
        <is>
          <t>30203</t>
        </is>
      </c>
      <c r="B3268" s="45" t="inlineStr">
        <is>
          <t>19925</t>
        </is>
      </c>
      <c r="C3268" s="45" t="inlineStr">
        <is>
          <t>5×5×797</t>
        </is>
      </c>
      <c r="D3268" s="45" t="inlineStr">
        <is>
          <t>5</t>
        </is>
      </c>
      <c r="E3268" s="45" t="inlineStr"/>
      <c r="F3268" s="45" t="inlineStr"/>
    </row>
    <row r="3269" ht="13" customHeight="1">
      <c r="A3269" s="49" t="inlineStr">
        <is>
          <t>30211</t>
        </is>
      </c>
      <c r="B3269" s="49" t="inlineStr">
        <is>
          <t>40094</t>
        </is>
      </c>
      <c r="C3269" s="49" t="inlineStr">
        <is>
          <t>2×20047</t>
        </is>
      </c>
      <c r="D3269" s="49" t="inlineStr">
        <is>
          <t>2</t>
        </is>
      </c>
      <c r="E3269" s="49" t="inlineStr"/>
      <c r="F3269" s="49" t="inlineStr"/>
    </row>
    <row r="3270" ht="13" customHeight="1">
      <c r="A3270" s="45" t="inlineStr">
        <is>
          <t>30223</t>
        </is>
      </c>
      <c r="B3270" s="45" t="inlineStr">
        <is>
          <t>2246</t>
        </is>
      </c>
      <c r="C3270" s="45" t="inlineStr">
        <is>
          <t>2×1123</t>
        </is>
      </c>
      <c r="D3270" s="45" t="inlineStr">
        <is>
          <t>2</t>
        </is>
      </c>
      <c r="E3270" s="45" t="inlineStr"/>
      <c r="F3270" s="45" t="inlineStr"/>
    </row>
    <row r="3271" ht="13" customHeight="1">
      <c r="A3271" s="49" t="inlineStr">
        <is>
          <t>30241</t>
        </is>
      </c>
      <c r="B3271" s="49" t="inlineStr">
        <is>
          <t>36046</t>
        </is>
      </c>
      <c r="C3271" s="49" t="inlineStr">
        <is>
          <t>2×67×269</t>
        </is>
      </c>
      <c r="D3271" s="49" t="inlineStr">
        <is>
          <t>2</t>
        </is>
      </c>
      <c r="E3271" s="49" t="inlineStr"/>
      <c r="F3271" s="49" t="inlineStr"/>
    </row>
    <row r="3272" ht="13" customHeight="1">
      <c r="A3272" s="41" t="inlineStr">
        <is>
          <t>30253</t>
        </is>
      </c>
      <c r="B3272" s="41" t="inlineStr">
        <is>
          <t>21138</t>
        </is>
      </c>
      <c r="C3272" s="41" t="inlineStr">
        <is>
          <t>2×3×13×271</t>
        </is>
      </c>
      <c r="D3272" s="41" t="inlineStr">
        <is>
          <t>2·3·13</t>
        </is>
      </c>
      <c r="E3272" s="41" t="inlineStr"/>
      <c r="F3272" s="41" t="inlineStr"/>
    </row>
    <row r="3273" ht="13" customHeight="1">
      <c r="A3273" s="49" t="inlineStr">
        <is>
          <t>30259</t>
        </is>
      </c>
      <c r="B3273" s="49" t="inlineStr">
        <is>
          <t>26456</t>
        </is>
      </c>
      <c r="C3273" s="49" t="inlineStr">
        <is>
          <t>2×2×2×3307</t>
        </is>
      </c>
      <c r="D3273" s="49" t="inlineStr">
        <is>
          <t>2</t>
        </is>
      </c>
      <c r="E3273" s="49" t="inlineStr"/>
      <c r="F3273" s="49" t="inlineStr"/>
    </row>
    <row r="3274" ht="13" customHeight="1">
      <c r="A3274" s="41" t="inlineStr">
        <is>
          <t>30269</t>
        </is>
      </c>
      <c r="B3274" s="41" t="inlineStr">
        <is>
          <t>357</t>
        </is>
      </c>
      <c r="C3274" s="41" t="inlineStr">
        <is>
          <t>3×7×17</t>
        </is>
      </c>
      <c r="D3274" s="41" t="inlineStr">
        <is>
          <t>3·7·17</t>
        </is>
      </c>
      <c r="E3274" s="41" t="inlineStr"/>
      <c r="F3274" s="41" t="inlineStr"/>
    </row>
    <row r="3275" ht="13" customHeight="1">
      <c r="A3275" s="49" t="inlineStr">
        <is>
          <t>30271</t>
        </is>
      </c>
      <c r="B3275" s="49" t="inlineStr">
        <is>
          <t>5212</t>
        </is>
      </c>
      <c r="C3275" s="49" t="inlineStr">
        <is>
          <t>2×2×1303</t>
        </is>
      </c>
      <c r="D3275" s="49" t="inlineStr">
        <is>
          <t>2</t>
        </is>
      </c>
      <c r="E3275" s="49" t="inlineStr"/>
      <c r="F3275" s="49" t="inlineStr"/>
    </row>
    <row r="3276" ht="13" customHeight="1">
      <c r="A3276" s="45" t="inlineStr">
        <is>
          <t>30293</t>
        </is>
      </c>
      <c r="B3276" s="45" t="inlineStr">
        <is>
          <t>3112</t>
        </is>
      </c>
      <c r="C3276" s="45" t="inlineStr">
        <is>
          <t>2×2×2×389</t>
        </is>
      </c>
      <c r="D3276" s="45" t="inlineStr">
        <is>
          <t>2</t>
        </is>
      </c>
      <c r="E3276" s="45" t="inlineStr"/>
      <c r="F3276" s="45" t="inlineStr"/>
    </row>
    <row r="3277" ht="13" customHeight="1">
      <c r="A3277" s="49" t="inlineStr">
        <is>
          <t>30307</t>
        </is>
      </c>
      <c r="B3277" s="49" t="inlineStr">
        <is>
          <t>19522</t>
        </is>
      </c>
      <c r="C3277" s="49" t="inlineStr">
        <is>
          <t>2×43×227</t>
        </is>
      </c>
      <c r="D3277" s="49" t="inlineStr">
        <is>
          <t>2</t>
        </is>
      </c>
      <c r="E3277" s="49" t="inlineStr"/>
      <c r="F3277" s="49" t="inlineStr"/>
    </row>
    <row r="3278" ht="13" customHeight="1">
      <c r="A3278" s="41" t="inlineStr">
        <is>
          <t>30313</t>
        </is>
      </c>
      <c r="B3278" s="41" t="inlineStr">
        <is>
          <t>36057</t>
        </is>
      </c>
      <c r="C3278" s="41" t="inlineStr">
        <is>
          <t>3×7×17×101</t>
        </is>
      </c>
      <c r="D3278" s="41" t="inlineStr">
        <is>
          <t>3·7·17</t>
        </is>
      </c>
      <c r="E3278" s="41" t="inlineStr"/>
      <c r="F3278" s="41" t="inlineStr"/>
    </row>
    <row r="3279" ht="13" customHeight="1">
      <c r="A3279" s="41" t="inlineStr">
        <is>
          <t>30319</t>
        </is>
      </c>
      <c r="B3279" s="41" t="inlineStr">
        <is>
          <t>39962</t>
        </is>
      </c>
      <c r="C3279" s="41" t="inlineStr">
        <is>
          <t>2×13×29×53</t>
        </is>
      </c>
      <c r="D3279" s="41" t="inlineStr">
        <is>
          <t>2·13</t>
        </is>
      </c>
      <c r="E3279" s="41" t="inlineStr"/>
      <c r="F3279" s="41" t="inlineStr"/>
    </row>
    <row r="3280" ht="13" customHeight="1">
      <c r="A3280" s="45" t="inlineStr">
        <is>
          <t>30323</t>
        </is>
      </c>
      <c r="B3280" s="45" t="inlineStr">
        <is>
          <t>25361</t>
        </is>
      </c>
      <c r="C3280" s="45" t="inlineStr">
        <is>
          <t>7×3623</t>
        </is>
      </c>
      <c r="D3280" s="45" t="inlineStr">
        <is>
          <t>7</t>
        </is>
      </c>
      <c r="E3280" s="45" t="inlineStr"/>
      <c r="F3280" s="45" t="inlineStr"/>
    </row>
    <row r="3281" ht="13" customHeight="1">
      <c r="A3281" s="41" t="inlineStr">
        <is>
          <t>30341</t>
        </is>
      </c>
      <c r="B3281" s="41" t="inlineStr">
        <is>
          <t>4888</t>
        </is>
      </c>
      <c r="C3281" s="41" t="inlineStr">
        <is>
          <t>2×2×2×13×47</t>
        </is>
      </c>
      <c r="D3281" s="41" t="inlineStr">
        <is>
          <t>2·13</t>
        </is>
      </c>
      <c r="E3281" s="41" t="inlineStr"/>
      <c r="F3281" s="41" t="inlineStr"/>
    </row>
    <row r="3282" ht="13" customHeight="1">
      <c r="A3282" s="45" t="inlineStr">
        <is>
          <t>30347</t>
        </is>
      </c>
      <c r="B3282" s="45" t="inlineStr">
        <is>
          <t>3654</t>
        </is>
      </c>
      <c r="C3282" s="45" t="inlineStr">
        <is>
          <t>2×3×3×7×29</t>
        </is>
      </c>
      <c r="D3282" s="45" t="inlineStr">
        <is>
          <t>2·3·7</t>
        </is>
      </c>
      <c r="E3282" s="45" t="inlineStr"/>
      <c r="F3282" s="45" t="inlineStr"/>
    </row>
    <row r="3283" ht="13" customHeight="1">
      <c r="A3283" s="49" t="inlineStr">
        <is>
          <t>30367</t>
        </is>
      </c>
      <c r="B3283" s="49" t="inlineStr">
        <is>
          <t>8196</t>
        </is>
      </c>
      <c r="C3283" s="49" t="inlineStr">
        <is>
          <t>2×2×3×683</t>
        </is>
      </c>
      <c r="D3283" s="49" t="inlineStr">
        <is>
          <t>2·3</t>
        </is>
      </c>
      <c r="E3283" s="49" t="inlineStr"/>
      <c r="F3283" s="49" t="inlineStr"/>
    </row>
    <row r="3284" ht="13" customHeight="1">
      <c r="A3284" s="43" t="inlineStr">
        <is>
          <t>30389</t>
        </is>
      </c>
      <c r="B3284" s="43" t="inlineStr">
        <is>
          <t>4686</t>
        </is>
      </c>
      <c r="C3284" s="43" t="inlineStr">
        <is>
          <t>2×3×11×71</t>
        </is>
      </c>
      <c r="D3284" s="43" t="inlineStr">
        <is>
          <t>2·3·11</t>
        </is>
      </c>
      <c r="E3284" s="43" t="inlineStr"/>
      <c r="F3284" s="43" t="inlineStr"/>
    </row>
    <row r="3285" ht="13" customHeight="1">
      <c r="A3285" s="49" t="inlineStr">
        <is>
          <t>30391</t>
        </is>
      </c>
      <c r="B3285" s="49" t="inlineStr">
        <is>
          <t>33222</t>
        </is>
      </c>
      <c r="C3285" s="49" t="inlineStr">
        <is>
          <t>2×3×7×7×113</t>
        </is>
      </c>
      <c r="D3285" s="49" t="inlineStr">
        <is>
          <t>2·3·7</t>
        </is>
      </c>
      <c r="E3285" s="49" t="inlineStr"/>
      <c r="F3285" s="49" t="inlineStr"/>
    </row>
    <row r="3286" ht="13" customHeight="1">
      <c r="A3286" s="45" t="inlineStr">
        <is>
          <t>30403</t>
        </is>
      </c>
      <c r="B3286" s="45" t="inlineStr">
        <is>
          <t>39131</t>
        </is>
      </c>
      <c r="C3286" s="45" t="inlineStr">
        <is>
          <t>109×359</t>
        </is>
      </c>
      <c r="D3286" s="45" t="inlineStr">
        <is>
          <t>—</t>
        </is>
      </c>
      <c r="E3286" s="45" t="inlineStr"/>
      <c r="F3286" s="45" t="inlineStr"/>
    </row>
    <row r="3287" ht="13" customHeight="1">
      <c r="A3287" s="49" t="inlineStr">
        <is>
          <t>30427</t>
        </is>
      </c>
      <c r="B3287" s="49" t="inlineStr">
        <is>
          <t>29232</t>
        </is>
      </c>
      <c r="C3287" s="49" t="inlineStr">
        <is>
          <t>2×2×2×2×3×3×7×29</t>
        </is>
      </c>
      <c r="D3287" s="49" t="inlineStr">
        <is>
          <t>2·3·7</t>
        </is>
      </c>
      <c r="E3287" s="49" t="inlineStr"/>
      <c r="F3287" s="49" t="inlineStr"/>
    </row>
    <row r="3288" ht="13" customHeight="1">
      <c r="A3288" s="45" t="inlineStr">
        <is>
          <t>30431</t>
        </is>
      </c>
      <c r="B3288" s="45" t="inlineStr">
        <is>
          <t>5579</t>
        </is>
      </c>
      <c r="C3288" s="45" t="inlineStr">
        <is>
          <t>7×797</t>
        </is>
      </c>
      <c r="D3288" s="45" t="inlineStr">
        <is>
          <t>7</t>
        </is>
      </c>
      <c r="E3288" s="45" t="inlineStr"/>
      <c r="F3288" s="45" t="inlineStr"/>
    </row>
    <row r="3289" ht="13" customHeight="1">
      <c r="A3289" s="50" t="inlineStr">
        <is>
          <t>30449</t>
        </is>
      </c>
      <c r="B3289" s="50" t="inlineStr">
        <is>
          <t>11299</t>
        </is>
      </c>
      <c r="C3289" s="50" t="inlineStr">
        <is>
          <t>11299</t>
        </is>
      </c>
      <c r="D3289" s="50" t="inlineStr">
        <is>
          <t>—</t>
        </is>
      </c>
      <c r="E3289" s="50" t="inlineStr"/>
      <c r="F3289" s="50" t="inlineStr"/>
    </row>
    <row r="3290" ht="13" customHeight="1">
      <c r="A3290" s="45" t="inlineStr">
        <is>
          <t>30467</t>
        </is>
      </c>
      <c r="B3290" s="45" t="inlineStr">
        <is>
          <t>14691</t>
        </is>
      </c>
      <c r="C3290" s="45" t="inlineStr">
        <is>
          <t>3×59×83</t>
        </is>
      </c>
      <c r="D3290" s="45" t="inlineStr">
        <is>
          <t>3</t>
        </is>
      </c>
      <c r="E3290" s="45" t="inlineStr"/>
      <c r="F3290" s="45" t="inlineStr"/>
    </row>
    <row r="3291" ht="13" customHeight="1">
      <c r="A3291" s="43" t="inlineStr">
        <is>
          <t>30469</t>
        </is>
      </c>
      <c r="B3291" s="43" t="inlineStr">
        <is>
          <t>11000</t>
        </is>
      </c>
      <c r="C3291" s="43" t="inlineStr">
        <is>
          <t>2×2×2×5×5×5×11</t>
        </is>
      </c>
      <c r="D3291" s="43" t="inlineStr">
        <is>
          <t>2·5·11</t>
        </is>
      </c>
      <c r="E3291" s="43" t="inlineStr"/>
      <c r="F3291" s="43" t="inlineStr"/>
    </row>
    <row r="3292" ht="13" customHeight="1">
      <c r="A3292" s="50" t="inlineStr">
        <is>
          <t>30491</t>
        </is>
      </c>
      <c r="B3292" s="50" t="inlineStr">
        <is>
          <t>16067</t>
        </is>
      </c>
      <c r="C3292" s="50" t="inlineStr">
        <is>
          <t>16067</t>
        </is>
      </c>
      <c r="D3292" s="50" t="inlineStr">
        <is>
          <t>—</t>
        </is>
      </c>
      <c r="E3292" s="50" t="inlineStr"/>
      <c r="F3292" s="50" t="inlineStr"/>
    </row>
    <row r="3293" ht="13" customHeight="1">
      <c r="A3293" s="49" t="inlineStr">
        <is>
          <t>30493</t>
        </is>
      </c>
      <c r="B3293" s="49" t="inlineStr">
        <is>
          <t>38820</t>
        </is>
      </c>
      <c r="C3293" s="49" t="inlineStr">
        <is>
          <t>2×2×3×5×647</t>
        </is>
      </c>
      <c r="D3293" s="49" t="inlineStr">
        <is>
          <t>2·3·5</t>
        </is>
      </c>
      <c r="E3293" s="49" t="inlineStr"/>
      <c r="F3293" s="49" t="inlineStr"/>
    </row>
    <row r="3294" ht="13" customHeight="1">
      <c r="A3294" s="51" t="inlineStr">
        <is>
          <t>30497</t>
        </is>
      </c>
      <c r="B3294" s="51" t="inlineStr">
        <is>
          <t>23845</t>
        </is>
      </c>
      <c r="C3294" s="51" t="inlineStr">
        <is>
          <t>5×19×251</t>
        </is>
      </c>
      <c r="D3294" s="51" t="inlineStr">
        <is>
          <t>5·19</t>
        </is>
      </c>
      <c r="E3294" s="51" t="inlineStr"/>
      <c r="F3294" s="51" t="inlineStr"/>
    </row>
    <row r="3295" ht="13" customHeight="1">
      <c r="A3295" s="49" t="inlineStr">
        <is>
          <t>30509</t>
        </is>
      </c>
      <c r="B3295" s="49" t="inlineStr">
        <is>
          <t>38776</t>
        </is>
      </c>
      <c r="C3295" s="49" t="inlineStr">
        <is>
          <t>2×2×2×37×131</t>
        </is>
      </c>
      <c r="D3295" s="49" t="inlineStr">
        <is>
          <t>2</t>
        </is>
      </c>
      <c r="E3295" s="49" t="inlineStr"/>
      <c r="F3295" s="49" t="inlineStr"/>
    </row>
    <row r="3296" ht="13" customHeight="1">
      <c r="A3296" s="45" t="inlineStr">
        <is>
          <t>30517</t>
        </is>
      </c>
      <c r="B3296" s="45" t="inlineStr">
        <is>
          <t>2697</t>
        </is>
      </c>
      <c r="C3296" s="45" t="inlineStr">
        <is>
          <t>3×29×31</t>
        </is>
      </c>
      <c r="D3296" s="45" t="inlineStr">
        <is>
          <t>3</t>
        </is>
      </c>
      <c r="E3296" s="45" t="inlineStr"/>
      <c r="F3296" s="45" t="inlineStr"/>
    </row>
    <row r="3297" ht="13" customHeight="1">
      <c r="A3297" s="43" t="inlineStr">
        <is>
          <t>30529</t>
        </is>
      </c>
      <c r="B3297" s="43" t="inlineStr">
        <is>
          <t>41492</t>
        </is>
      </c>
      <c r="C3297" s="43" t="inlineStr">
        <is>
          <t>2×2×11×23×41</t>
        </is>
      </c>
      <c r="D3297" s="43" t="inlineStr">
        <is>
          <t>2·11</t>
        </is>
      </c>
      <c r="E3297" s="43" t="inlineStr"/>
      <c r="F3297" s="43" t="inlineStr"/>
    </row>
    <row r="3298" ht="13" customHeight="1">
      <c r="A3298" s="50" t="inlineStr">
        <is>
          <t>30539</t>
        </is>
      </c>
      <c r="B3298" s="50" t="inlineStr">
        <is>
          <t>23173</t>
        </is>
      </c>
      <c r="C3298" s="50" t="inlineStr">
        <is>
          <t>23173</t>
        </is>
      </c>
      <c r="D3298" s="50" t="inlineStr">
        <is>
          <t>—</t>
        </is>
      </c>
      <c r="E3298" s="50" t="inlineStr"/>
      <c r="F3298" s="50" t="inlineStr"/>
    </row>
    <row r="3299" ht="13" customHeight="1">
      <c r="A3299" s="51" t="inlineStr">
        <is>
          <t>30553</t>
        </is>
      </c>
      <c r="B3299" s="51" t="inlineStr">
        <is>
          <t>30780</t>
        </is>
      </c>
      <c r="C3299" s="51" t="inlineStr">
        <is>
          <t>2×2×3×3×3×3×5×19</t>
        </is>
      </c>
      <c r="D3299" s="51" t="inlineStr">
        <is>
          <t>2·3·5·19</t>
        </is>
      </c>
      <c r="E3299" s="51" t="inlineStr"/>
      <c r="F3299" s="51" t="inlineStr"/>
    </row>
    <row r="3300" ht="13" customHeight="1">
      <c r="A3300" s="51" t="inlineStr">
        <is>
          <t>30557</t>
        </is>
      </c>
      <c r="B3300" s="51" t="inlineStr">
        <is>
          <t>15903</t>
        </is>
      </c>
      <c r="C3300" s="51" t="inlineStr">
        <is>
          <t>3×3×3×19×31</t>
        </is>
      </c>
      <c r="D3300" s="51" t="inlineStr">
        <is>
          <t>3·19</t>
        </is>
      </c>
      <c r="E3300" s="51" t="inlineStr"/>
      <c r="F3300" s="51" t="inlineStr"/>
    </row>
    <row r="3301" ht="13" customHeight="1">
      <c r="A3301" s="49" t="inlineStr">
        <is>
          <t>30559</t>
        </is>
      </c>
      <c r="B3301" s="49" t="inlineStr">
        <is>
          <t>5572</t>
        </is>
      </c>
      <c r="C3301" s="49" t="inlineStr">
        <is>
          <t>2×2×7×199</t>
        </is>
      </c>
      <c r="D3301" s="49" t="inlineStr">
        <is>
          <t>2·7</t>
        </is>
      </c>
      <c r="E3301" s="49" t="inlineStr"/>
      <c r="F3301" s="49" t="inlineStr"/>
    </row>
    <row r="3302" ht="13" customHeight="1">
      <c r="A3302" s="45" t="inlineStr">
        <is>
          <t>30577</t>
        </is>
      </c>
      <c r="B3302" s="45" t="inlineStr">
        <is>
          <t>13588</t>
        </is>
      </c>
      <c r="C3302" s="45" t="inlineStr">
        <is>
          <t>2×2×43×79</t>
        </is>
      </c>
      <c r="D3302" s="45" t="inlineStr">
        <is>
          <t>2</t>
        </is>
      </c>
      <c r="E3302" s="45" t="inlineStr"/>
      <c r="F3302" s="45" t="inlineStr"/>
    </row>
    <row r="3303" ht="13" customHeight="1">
      <c r="A3303" s="49" t="inlineStr">
        <is>
          <t>30593</t>
        </is>
      </c>
      <c r="B3303" s="49" t="inlineStr">
        <is>
          <t>42777</t>
        </is>
      </c>
      <c r="C3303" s="49" t="inlineStr">
        <is>
          <t>3×3×7×7×97</t>
        </is>
      </c>
      <c r="D3303" s="49" t="inlineStr">
        <is>
          <t>3·7</t>
        </is>
      </c>
      <c r="E3303" s="49" t="inlineStr"/>
      <c r="F3303" s="49" t="inlineStr"/>
    </row>
    <row r="3304" ht="13" customHeight="1">
      <c r="A3304" s="45" t="inlineStr">
        <is>
          <t>30631</t>
        </is>
      </c>
      <c r="B3304" s="45" t="inlineStr">
        <is>
          <t>31011</t>
        </is>
      </c>
      <c r="C3304" s="45" t="inlineStr">
        <is>
          <t>3×10337</t>
        </is>
      </c>
      <c r="D3304" s="45" t="inlineStr">
        <is>
          <t>3</t>
        </is>
      </c>
      <c r="E3304" s="45" t="inlineStr"/>
      <c r="F3304" s="45" t="inlineStr"/>
    </row>
    <row r="3305" ht="13" customHeight="1">
      <c r="A3305" s="50" t="inlineStr">
        <is>
          <t>30637</t>
        </is>
      </c>
      <c r="B3305" s="50" t="inlineStr">
        <is>
          <t>17981</t>
        </is>
      </c>
      <c r="C3305" s="50" t="inlineStr">
        <is>
          <t>17981</t>
        </is>
      </c>
      <c r="D3305" s="50" t="inlineStr">
        <is>
          <t>—</t>
        </is>
      </c>
      <c r="E3305" s="50" t="inlineStr"/>
      <c r="F3305" s="50" t="inlineStr"/>
    </row>
    <row r="3306" ht="13" customHeight="1">
      <c r="A3306" s="45" t="inlineStr">
        <is>
          <t>30643</t>
        </is>
      </c>
      <c r="B3306" s="45" t="inlineStr">
        <is>
          <t>16345</t>
        </is>
      </c>
      <c r="C3306" s="45" t="inlineStr">
        <is>
          <t>5×7×467</t>
        </is>
      </c>
      <c r="D3306" s="45" t="inlineStr">
        <is>
          <t>5·7</t>
        </is>
      </c>
      <c r="E3306" s="45" t="inlineStr"/>
      <c r="F3306" s="45" t="inlineStr"/>
    </row>
    <row r="3307" ht="13" customHeight="1">
      <c r="A3307" s="49" t="inlineStr">
        <is>
          <t>30649</t>
        </is>
      </c>
      <c r="B3307" s="49" t="inlineStr">
        <is>
          <t>39868</t>
        </is>
      </c>
      <c r="C3307" s="49" t="inlineStr">
        <is>
          <t>2×2×9967</t>
        </is>
      </c>
      <c r="D3307" s="49" t="inlineStr">
        <is>
          <t>2</t>
        </is>
      </c>
      <c r="E3307" s="49" t="inlineStr"/>
      <c r="F3307" s="49" t="inlineStr"/>
    </row>
    <row r="3308" ht="13" customHeight="1">
      <c r="A3308" s="45" t="inlineStr">
        <is>
          <t>30661</t>
        </is>
      </c>
      <c r="B3308" s="45" t="inlineStr">
        <is>
          <t>22323</t>
        </is>
      </c>
      <c r="C3308" s="45" t="inlineStr">
        <is>
          <t>3×7×1063</t>
        </is>
      </c>
      <c r="D3308" s="45" t="inlineStr">
        <is>
          <t>3·7</t>
        </is>
      </c>
      <c r="E3308" s="45" t="inlineStr"/>
      <c r="F3308" s="45" t="inlineStr"/>
    </row>
    <row r="3309" ht="13" customHeight="1">
      <c r="A3309" s="49" t="inlineStr">
        <is>
          <t>30671</t>
        </is>
      </c>
      <c r="B3309" s="49" t="inlineStr">
        <is>
          <t>38375</t>
        </is>
      </c>
      <c r="C3309" s="49" t="inlineStr">
        <is>
          <t>5×5×5×307</t>
        </is>
      </c>
      <c r="D3309" s="49" t="inlineStr">
        <is>
          <t>5</t>
        </is>
      </c>
      <c r="E3309" s="49" t="inlineStr"/>
      <c r="F3309" s="49" t="inlineStr"/>
    </row>
    <row r="3310" ht="13" customHeight="1">
      <c r="A3310" s="45" t="inlineStr">
        <is>
          <t>30677</t>
        </is>
      </c>
      <c r="B3310" s="45" t="inlineStr">
        <is>
          <t>8938</t>
        </is>
      </c>
      <c r="C3310" s="45" t="inlineStr">
        <is>
          <t>2×41×109</t>
        </is>
      </c>
      <c r="D3310" s="45" t="inlineStr">
        <is>
          <t>2</t>
        </is>
      </c>
      <c r="E3310" s="45" t="inlineStr"/>
      <c r="F3310" s="45" t="inlineStr"/>
    </row>
    <row r="3311" ht="13" customHeight="1">
      <c r="A3311" s="49" t="inlineStr">
        <is>
          <t>30689</t>
        </is>
      </c>
      <c r="B3311" s="49" t="inlineStr">
        <is>
          <t>9235</t>
        </is>
      </c>
      <c r="C3311" s="49" t="inlineStr">
        <is>
          <t>5×1847</t>
        </is>
      </c>
      <c r="D3311" s="49" t="inlineStr">
        <is>
          <t>5</t>
        </is>
      </c>
      <c r="E3311" s="49" t="inlineStr"/>
      <c r="F3311" s="49" t="inlineStr"/>
    </row>
    <row r="3312" ht="13" customHeight="1">
      <c r="A3312" s="45" t="inlineStr">
        <is>
          <t>30697</t>
        </is>
      </c>
      <c r="B3312" s="45" t="inlineStr">
        <is>
          <t>8288</t>
        </is>
      </c>
      <c r="C3312" s="45" t="inlineStr">
        <is>
          <t>2×2×2×2×2×7×37</t>
        </is>
      </c>
      <c r="D3312" s="45" t="inlineStr">
        <is>
          <t>2·7</t>
        </is>
      </c>
      <c r="E3312" s="45" t="inlineStr"/>
      <c r="F3312" s="45" t="inlineStr"/>
    </row>
    <row r="3313" ht="13" customHeight="1">
      <c r="A3313" s="49" t="inlineStr">
        <is>
          <t>30703</t>
        </is>
      </c>
      <c r="B3313" s="49" t="inlineStr">
        <is>
          <t>32632</t>
        </is>
      </c>
      <c r="C3313" s="49" t="inlineStr">
        <is>
          <t>2×2×2×4079</t>
        </is>
      </c>
      <c r="D3313" s="49" t="inlineStr">
        <is>
          <t>2</t>
        </is>
      </c>
      <c r="E3313" s="49" t="inlineStr"/>
      <c r="F3313" s="49" t="inlineStr"/>
    </row>
    <row r="3314" ht="13" customHeight="1">
      <c r="A3314" s="45" t="inlineStr">
        <is>
          <t>30707</t>
        </is>
      </c>
      <c r="B3314" s="45" t="inlineStr">
        <is>
          <t>2317</t>
        </is>
      </c>
      <c r="C3314" s="45" t="inlineStr">
        <is>
          <t>7×331</t>
        </is>
      </c>
      <c r="D3314" s="45" t="inlineStr">
        <is>
          <t>7</t>
        </is>
      </c>
      <c r="E3314" s="45" t="inlineStr"/>
      <c r="F3314" s="45" t="inlineStr"/>
    </row>
    <row r="3315" ht="13" customHeight="1">
      <c r="A3315" s="49" t="inlineStr">
        <is>
          <t>30713</t>
        </is>
      </c>
      <c r="B3315" s="49" t="inlineStr">
        <is>
          <t>26750</t>
        </is>
      </c>
      <c r="C3315" s="49" t="inlineStr">
        <is>
          <t>2×5×5×5×107</t>
        </is>
      </c>
      <c r="D3315" s="49" t="inlineStr">
        <is>
          <t>2·5</t>
        </is>
      </c>
      <c r="E3315" s="49" t="inlineStr"/>
      <c r="F3315" s="49" t="inlineStr"/>
    </row>
    <row r="3316" ht="13" customHeight="1">
      <c r="A3316" s="41" t="inlineStr">
        <is>
          <t>30727</t>
        </is>
      </c>
      <c r="B3316" s="41" t="inlineStr">
        <is>
          <t>3159</t>
        </is>
      </c>
      <c r="C3316" s="41" t="inlineStr">
        <is>
          <t>3×3×3×3×3×13</t>
        </is>
      </c>
      <c r="D3316" s="41" t="inlineStr">
        <is>
          <t>3·13</t>
        </is>
      </c>
      <c r="E3316" s="41" t="inlineStr"/>
      <c r="F3316" s="41" t="inlineStr"/>
    </row>
    <row r="3317" ht="13" customHeight="1">
      <c r="A3317" s="49" t="inlineStr">
        <is>
          <t>30757</t>
        </is>
      </c>
      <c r="B3317" s="49" t="inlineStr">
        <is>
          <t>43821</t>
        </is>
      </c>
      <c r="C3317" s="49" t="inlineStr">
        <is>
          <t>3×3×3×3×541</t>
        </is>
      </c>
      <c r="D3317" s="49" t="inlineStr">
        <is>
          <t>3</t>
        </is>
      </c>
      <c r="E3317" s="49" t="inlineStr"/>
      <c r="F3317" s="49" t="inlineStr"/>
    </row>
    <row r="3318" ht="13" customHeight="1">
      <c r="A3318" s="45" t="inlineStr">
        <is>
          <t>30763</t>
        </is>
      </c>
      <c r="B3318" s="45" t="inlineStr">
        <is>
          <t>34500</t>
        </is>
      </c>
      <c r="C3318" s="45" t="inlineStr">
        <is>
          <t>2×2×3×5×5×5×23</t>
        </is>
      </c>
      <c r="D3318" s="45" t="inlineStr">
        <is>
          <t>2·3·5</t>
        </is>
      </c>
      <c r="E3318" s="45" t="inlineStr"/>
      <c r="F3318" s="45" t="inlineStr"/>
    </row>
    <row r="3319" ht="13" customHeight="1">
      <c r="A3319" s="50" t="inlineStr">
        <is>
          <t>30773</t>
        </is>
      </c>
      <c r="B3319" s="50" t="inlineStr">
        <is>
          <t>31643</t>
        </is>
      </c>
      <c r="C3319" s="50" t="inlineStr">
        <is>
          <t>31643</t>
        </is>
      </c>
      <c r="D3319" s="50" t="inlineStr">
        <is>
          <t>—</t>
        </is>
      </c>
      <c r="E3319" s="50" t="inlineStr"/>
      <c r="F3319" s="50" t="inlineStr"/>
    </row>
    <row r="3320" ht="13" customHeight="1">
      <c r="A3320" s="45" t="inlineStr">
        <is>
          <t>30781</t>
        </is>
      </c>
      <c r="B3320" s="45" t="inlineStr">
        <is>
          <t>14466</t>
        </is>
      </c>
      <c r="C3320" s="45" t="inlineStr">
        <is>
          <t>2×3×2411</t>
        </is>
      </c>
      <c r="D3320" s="45" t="inlineStr">
        <is>
          <t>2·3</t>
        </is>
      </c>
      <c r="E3320" s="45" t="inlineStr"/>
      <c r="F3320" s="45" t="inlineStr"/>
    </row>
    <row r="3321" ht="13" customHeight="1">
      <c r="A3321" s="49" t="inlineStr">
        <is>
          <t>30803</t>
        </is>
      </c>
      <c r="B3321" s="49" t="inlineStr">
        <is>
          <t>7642</t>
        </is>
      </c>
      <c r="C3321" s="49" t="inlineStr">
        <is>
          <t>2×3821</t>
        </is>
      </c>
      <c r="D3321" s="49" t="inlineStr">
        <is>
          <t>2</t>
        </is>
      </c>
      <c r="E3321" s="49" t="inlineStr"/>
      <c r="F3321" s="49" t="inlineStr"/>
    </row>
    <row r="3322" ht="13" customHeight="1">
      <c r="A3322" s="45" t="inlineStr">
        <is>
          <t>30809</t>
        </is>
      </c>
      <c r="B3322" s="45" t="inlineStr">
        <is>
          <t>16792</t>
        </is>
      </c>
      <c r="C3322" s="45" t="inlineStr">
        <is>
          <t>2×2×2×2099</t>
        </is>
      </c>
      <c r="D3322" s="45" t="inlineStr">
        <is>
          <t>2</t>
        </is>
      </c>
      <c r="E3322" s="45" t="inlineStr"/>
      <c r="F3322" s="45" t="inlineStr"/>
    </row>
    <row r="3323" ht="13" customHeight="1">
      <c r="A3323" s="41" t="inlineStr">
        <is>
          <t>30817</t>
        </is>
      </c>
      <c r="B3323" s="41" t="inlineStr">
        <is>
          <t>36805</t>
        </is>
      </c>
      <c r="C3323" s="41" t="inlineStr">
        <is>
          <t>5×17×433</t>
        </is>
      </c>
      <c r="D3323" s="41" t="inlineStr">
        <is>
          <t>5·17</t>
        </is>
      </c>
      <c r="E3323" s="41" t="inlineStr"/>
      <c r="F3323" s="41" t="inlineStr"/>
    </row>
    <row r="3324" ht="13" customHeight="1">
      <c r="A3324" s="50" t="inlineStr">
        <is>
          <t>30829</t>
        </is>
      </c>
      <c r="B3324" s="50" t="inlineStr">
        <is>
          <t>9769</t>
        </is>
      </c>
      <c r="C3324" s="50" t="inlineStr">
        <is>
          <t>9769</t>
        </is>
      </c>
      <c r="D3324" s="50" t="inlineStr">
        <is>
          <t>—</t>
        </is>
      </c>
      <c r="E3324" s="50" t="inlineStr"/>
      <c r="F3324" s="50" t="inlineStr"/>
    </row>
    <row r="3325" ht="13" customHeight="1">
      <c r="A3325" s="49" t="inlineStr">
        <is>
          <t>30839</t>
        </is>
      </c>
      <c r="B3325" s="49" t="inlineStr">
        <is>
          <t>33350</t>
        </is>
      </c>
      <c r="C3325" s="49" t="inlineStr">
        <is>
          <t>2×5×5×23×29</t>
        </is>
      </c>
      <c r="D3325" s="49" t="inlineStr">
        <is>
          <t>2·5</t>
        </is>
      </c>
      <c r="E3325" s="49" t="inlineStr"/>
      <c r="F3325" s="49" t="inlineStr"/>
    </row>
    <row r="3326" ht="13" customHeight="1">
      <c r="A3326" s="45" t="inlineStr">
        <is>
          <t>30841</t>
        </is>
      </c>
      <c r="B3326" s="45" t="inlineStr">
        <is>
          <t>37775</t>
        </is>
      </c>
      <c r="C3326" s="45" t="inlineStr">
        <is>
          <t>5×5×1511</t>
        </is>
      </c>
      <c r="D3326" s="45" t="inlineStr">
        <is>
          <t>5</t>
        </is>
      </c>
      <c r="E3326" s="45" t="inlineStr"/>
      <c r="F3326" s="45" t="inlineStr"/>
    </row>
    <row r="3327" ht="13" customHeight="1">
      <c r="A3327" s="50" t="inlineStr">
        <is>
          <t>30851</t>
        </is>
      </c>
      <c r="B3327" s="50" t="inlineStr">
        <is>
          <t>4877</t>
        </is>
      </c>
      <c r="C3327" s="50" t="inlineStr">
        <is>
          <t>4877</t>
        </is>
      </c>
      <c r="D3327" s="50" t="inlineStr">
        <is>
          <t>—</t>
        </is>
      </c>
      <c r="E3327" s="50" t="inlineStr"/>
      <c r="F3327" s="50" t="inlineStr"/>
    </row>
    <row r="3328" ht="13" customHeight="1">
      <c r="A3328" s="50" t="inlineStr">
        <is>
          <t>30853</t>
        </is>
      </c>
      <c r="B3328" s="50" t="inlineStr">
        <is>
          <t>6113</t>
        </is>
      </c>
      <c r="C3328" s="50" t="inlineStr">
        <is>
          <t>6113</t>
        </is>
      </c>
      <c r="D3328" s="50" t="inlineStr">
        <is>
          <t>—</t>
        </is>
      </c>
      <c r="E3328" s="50" t="inlineStr"/>
      <c r="F3328" s="50" t="inlineStr"/>
    </row>
    <row r="3329" ht="13" customHeight="1">
      <c r="A3329" s="49" t="inlineStr">
        <is>
          <t>30859</t>
        </is>
      </c>
      <c r="B3329" s="49" t="inlineStr">
        <is>
          <t>28745</t>
        </is>
      </c>
      <c r="C3329" s="49" t="inlineStr">
        <is>
          <t>5×5749</t>
        </is>
      </c>
      <c r="D3329" s="49" t="inlineStr">
        <is>
          <t>5</t>
        </is>
      </c>
      <c r="E3329" s="49" t="inlineStr"/>
      <c r="F3329" s="49" t="inlineStr"/>
    </row>
    <row r="3330" ht="13" customHeight="1">
      <c r="A3330" s="45" t="inlineStr">
        <is>
          <t>30869</t>
        </is>
      </c>
      <c r="B3330" s="45" t="inlineStr">
        <is>
          <t>26990</t>
        </is>
      </c>
      <c r="C3330" s="45" t="inlineStr">
        <is>
          <t>2×5×2699</t>
        </is>
      </c>
      <c r="D3330" s="45" t="inlineStr">
        <is>
          <t>2·5</t>
        </is>
      </c>
      <c r="E3330" s="45" t="inlineStr"/>
      <c r="F3330" s="45" t="inlineStr"/>
    </row>
    <row r="3331" ht="13" customHeight="1">
      <c r="A3331" s="41" t="inlineStr">
        <is>
          <t>30871</t>
        </is>
      </c>
      <c r="B3331" s="41" t="inlineStr">
        <is>
          <t>20449</t>
        </is>
      </c>
      <c r="C3331" s="41" t="inlineStr">
        <is>
          <t>11×11×13×13</t>
        </is>
      </c>
      <c r="D3331" s="41" t="inlineStr">
        <is>
          <t>11·13</t>
        </is>
      </c>
      <c r="E3331" s="41" t="inlineStr"/>
      <c r="F3331" s="41" t="inlineStr"/>
    </row>
    <row r="3332" ht="13" customHeight="1">
      <c r="A3332" s="41" t="inlineStr">
        <is>
          <t>30881</t>
        </is>
      </c>
      <c r="B3332" s="41" t="inlineStr">
        <is>
          <t>697</t>
        </is>
      </c>
      <c r="C3332" s="41" t="inlineStr">
        <is>
          <t>17×41</t>
        </is>
      </c>
      <c r="D3332" s="41" t="inlineStr">
        <is>
          <t>17</t>
        </is>
      </c>
      <c r="E3332" s="41" t="inlineStr"/>
      <c r="F3332" s="41" t="inlineStr"/>
    </row>
    <row r="3333" ht="13" customHeight="1">
      <c r="A3333" s="49" t="inlineStr">
        <is>
          <t>30893</t>
        </is>
      </c>
      <c r="B3333" s="49" t="inlineStr">
        <is>
          <t>4671</t>
        </is>
      </c>
      <c r="C3333" s="49" t="inlineStr">
        <is>
          <t>3×3×3×173</t>
        </is>
      </c>
      <c r="D3333" s="49" t="inlineStr">
        <is>
          <t>3</t>
        </is>
      </c>
      <c r="E3333" s="49" t="inlineStr"/>
      <c r="F3333" s="49" t="inlineStr"/>
    </row>
    <row r="3334" ht="13" customHeight="1">
      <c r="A3334" s="41" t="inlineStr">
        <is>
          <t>30911</t>
        </is>
      </c>
      <c r="B3334" s="41" t="inlineStr">
        <is>
          <t>13702</t>
        </is>
      </c>
      <c r="C3334" s="41" t="inlineStr">
        <is>
          <t>2×13×17×31</t>
        </is>
      </c>
      <c r="D3334" s="41" t="inlineStr">
        <is>
          <t>2·13·17</t>
        </is>
      </c>
      <c r="E3334" s="41" t="inlineStr"/>
      <c r="F3334" s="41" t="inlineStr"/>
    </row>
    <row r="3335" ht="13" customHeight="1">
      <c r="A3335" s="41" t="inlineStr">
        <is>
          <t>30931</t>
        </is>
      </c>
      <c r="B3335" s="41" t="inlineStr">
        <is>
          <t>30472</t>
        </is>
      </c>
      <c r="C3335" s="41" t="inlineStr">
        <is>
          <t>2×2×2×13×293</t>
        </is>
      </c>
      <c r="D3335" s="41" t="inlineStr">
        <is>
          <t>2·13</t>
        </is>
      </c>
      <c r="E3335" s="41" t="inlineStr"/>
      <c r="F3335" s="41" t="inlineStr"/>
    </row>
    <row r="3336" ht="13" customHeight="1">
      <c r="A3336" s="45" t="inlineStr">
        <is>
          <t>30937</t>
        </is>
      </c>
      <c r="B3336" s="45" t="inlineStr">
        <is>
          <t>23277</t>
        </is>
      </c>
      <c r="C3336" s="45" t="inlineStr">
        <is>
          <t>3×7759</t>
        </is>
      </c>
      <c r="D3336" s="45" t="inlineStr">
        <is>
          <t>3</t>
        </is>
      </c>
      <c r="E3336" s="45" t="inlineStr"/>
      <c r="F3336" s="45" t="inlineStr"/>
    </row>
    <row r="3337" ht="13" customHeight="1">
      <c r="A3337" s="50" t="inlineStr">
        <is>
          <t>30941</t>
        </is>
      </c>
      <c r="B3337" s="50" t="inlineStr">
        <is>
          <t>26209</t>
        </is>
      </c>
      <c r="C3337" s="50" t="inlineStr">
        <is>
          <t>26209</t>
        </is>
      </c>
      <c r="D3337" s="50" t="inlineStr">
        <is>
          <t>—</t>
        </is>
      </c>
      <c r="E3337" s="50" t="inlineStr"/>
      <c r="F3337" s="50" t="inlineStr"/>
    </row>
    <row r="3338" ht="13" customHeight="1">
      <c r="A3338" s="45" t="inlineStr">
        <is>
          <t>30949</t>
        </is>
      </c>
      <c r="B3338" s="45" t="inlineStr">
        <is>
          <t>15475</t>
        </is>
      </c>
      <c r="C3338" s="45" t="inlineStr">
        <is>
          <t>5×5×619</t>
        </is>
      </c>
      <c r="D3338" s="45" t="inlineStr">
        <is>
          <t>5</t>
        </is>
      </c>
      <c r="E3338" s="45" t="inlineStr"/>
      <c r="F3338" s="45" t="inlineStr"/>
    </row>
    <row r="3339" ht="13" customHeight="1">
      <c r="A3339" s="49" t="inlineStr">
        <is>
          <t>30971</t>
        </is>
      </c>
      <c r="B3339" s="49" t="inlineStr">
        <is>
          <t>35696</t>
        </is>
      </c>
      <c r="C3339" s="49" t="inlineStr">
        <is>
          <t>2×2×2×2×23×97</t>
        </is>
      </c>
      <c r="D3339" s="49" t="inlineStr">
        <is>
          <t>2</t>
        </is>
      </c>
      <c r="E3339" s="49" t="inlineStr"/>
      <c r="F3339" s="49" t="inlineStr"/>
    </row>
    <row r="3340" ht="13" customHeight="1">
      <c r="A3340" s="41" t="inlineStr">
        <is>
          <t>30977</t>
        </is>
      </c>
      <c r="B3340" s="41" t="inlineStr">
        <is>
          <t>27030</t>
        </is>
      </c>
      <c r="C3340" s="41" t="inlineStr">
        <is>
          <t>2×3×5×17×53</t>
        </is>
      </c>
      <c r="D3340" s="41" t="inlineStr">
        <is>
          <t>2·3·5·17</t>
        </is>
      </c>
      <c r="E3340" s="41" t="inlineStr"/>
      <c r="F3340" s="41" t="inlineStr"/>
    </row>
    <row r="3341" ht="13" customHeight="1">
      <c r="A3341" s="49" t="inlineStr">
        <is>
          <t>30983</t>
        </is>
      </c>
      <c r="B3341" s="49" t="inlineStr">
        <is>
          <t>14020</t>
        </is>
      </c>
      <c r="C3341" s="49" t="inlineStr">
        <is>
          <t>2×2×5×701</t>
        </is>
      </c>
      <c r="D3341" s="49" t="inlineStr">
        <is>
          <t>2·5</t>
        </is>
      </c>
      <c r="E3341" s="49" t="inlineStr"/>
      <c r="F3341" s="49" t="inlineStr"/>
    </row>
    <row r="3342" ht="13" customHeight="1">
      <c r="A3342" s="50" t="inlineStr">
        <is>
          <t>31013</t>
        </is>
      </c>
      <c r="B3342" s="50" t="inlineStr">
        <is>
          <t>22787</t>
        </is>
      </c>
      <c r="C3342" s="50" t="inlineStr">
        <is>
          <t>22787</t>
        </is>
      </c>
      <c r="D3342" s="50" t="inlineStr">
        <is>
          <t>—</t>
        </is>
      </c>
      <c r="E3342" s="50" t="inlineStr"/>
      <c r="F3342" s="50" t="inlineStr"/>
    </row>
    <row r="3343" ht="13" customHeight="1">
      <c r="A3343" s="49" t="inlineStr">
        <is>
          <t>31019</t>
        </is>
      </c>
      <c r="B3343" s="49" t="inlineStr">
        <is>
          <t>13083</t>
        </is>
      </c>
      <c r="C3343" s="49" t="inlineStr">
        <is>
          <t>3×7×7×89</t>
        </is>
      </c>
      <c r="D3343" s="49" t="inlineStr">
        <is>
          <t>3·7</t>
        </is>
      </c>
      <c r="E3343" s="49" t="inlineStr"/>
      <c r="F3343" s="49" t="inlineStr"/>
    </row>
    <row r="3344" ht="13" customHeight="1">
      <c r="A3344" s="45" t="inlineStr">
        <is>
          <t>31033</t>
        </is>
      </c>
      <c r="B3344" s="45" t="inlineStr">
        <is>
          <t>27849</t>
        </is>
      </c>
      <c r="C3344" s="45" t="inlineStr">
        <is>
          <t>3×9283</t>
        </is>
      </c>
      <c r="D3344" s="45" t="inlineStr">
        <is>
          <t>3</t>
        </is>
      </c>
      <c r="E3344" s="45" t="inlineStr"/>
      <c r="F3344" s="45" t="inlineStr"/>
    </row>
    <row r="3345" ht="13" customHeight="1">
      <c r="A3345" s="49" t="inlineStr">
        <is>
          <t>31039</t>
        </is>
      </c>
      <c r="B3345" s="49" t="inlineStr">
        <is>
          <t>17288</t>
        </is>
      </c>
      <c r="C3345" s="49" t="inlineStr">
        <is>
          <t>2×2×2×2161</t>
        </is>
      </c>
      <c r="D3345" s="49" t="inlineStr">
        <is>
          <t>2</t>
        </is>
      </c>
      <c r="E3345" s="49" t="inlineStr"/>
      <c r="F3345" s="49" t="inlineStr"/>
    </row>
    <row r="3346" ht="13" customHeight="1">
      <c r="A3346" s="41" t="inlineStr">
        <is>
          <t>31051</t>
        </is>
      </c>
      <c r="B3346" s="41" t="inlineStr">
        <is>
          <t>30447</t>
        </is>
      </c>
      <c r="C3346" s="41" t="inlineStr">
        <is>
          <t>3×3×17×199</t>
        </is>
      </c>
      <c r="D3346" s="41" t="inlineStr">
        <is>
          <t>3·17</t>
        </is>
      </c>
      <c r="E3346" s="41" t="inlineStr"/>
      <c r="F3346" s="41" t="inlineStr"/>
    </row>
    <row r="3347" ht="13" customHeight="1">
      <c r="A3347" s="41" t="inlineStr">
        <is>
          <t>31063</t>
        </is>
      </c>
      <c r="B3347" s="41" t="inlineStr">
        <is>
          <t>28574</t>
        </is>
      </c>
      <c r="C3347" s="41" t="inlineStr">
        <is>
          <t>2×7×13×157</t>
        </is>
      </c>
      <c r="D3347" s="41" t="inlineStr">
        <is>
          <t>2·7·13</t>
        </is>
      </c>
      <c r="E3347" s="41" t="inlineStr"/>
      <c r="F3347" s="41" t="inlineStr"/>
    </row>
    <row r="3348" ht="13" customHeight="1">
      <c r="A3348" s="51" t="inlineStr">
        <is>
          <t>31069</t>
        </is>
      </c>
      <c r="B3348" s="51" t="inlineStr">
        <is>
          <t>6080</t>
        </is>
      </c>
      <c r="C3348" s="51" t="inlineStr">
        <is>
          <t>2×2×2×2×2×2×5×19</t>
        </is>
      </c>
      <c r="D3348" s="51" t="inlineStr">
        <is>
          <t>2·5·19</t>
        </is>
      </c>
      <c r="E3348" s="51" t="inlineStr"/>
      <c r="F3348" s="51" t="inlineStr"/>
    </row>
    <row r="3349" ht="13" customHeight="1">
      <c r="A3349" s="49" t="inlineStr">
        <is>
          <t>31079</t>
        </is>
      </c>
      <c r="B3349" s="49" t="inlineStr">
        <is>
          <t>27466</t>
        </is>
      </c>
      <c r="C3349" s="49" t="inlineStr">
        <is>
          <t>2×31×443</t>
        </is>
      </c>
      <c r="D3349" s="49" t="inlineStr">
        <is>
          <t>2</t>
        </is>
      </c>
      <c r="E3349" s="49" t="inlineStr"/>
      <c r="F3349" s="49" t="inlineStr"/>
    </row>
    <row r="3350" ht="13" customHeight="1">
      <c r="A3350" s="43" t="inlineStr">
        <is>
          <t>31081</t>
        </is>
      </c>
      <c r="B3350" s="43" t="inlineStr">
        <is>
          <t>27137</t>
        </is>
      </c>
      <c r="C3350" s="43" t="inlineStr">
        <is>
          <t>11×2467</t>
        </is>
      </c>
      <c r="D3350" s="43" t="inlineStr">
        <is>
          <t>11</t>
        </is>
      </c>
      <c r="E3350" s="43" t="inlineStr"/>
      <c r="F3350" s="43" t="inlineStr"/>
    </row>
    <row r="3351" ht="13" customHeight="1">
      <c r="A3351" s="49" t="inlineStr">
        <is>
          <t>31091</t>
        </is>
      </c>
      <c r="B3351" s="49" t="inlineStr">
        <is>
          <t>7506</t>
        </is>
      </c>
      <c r="C3351" s="49" t="inlineStr">
        <is>
          <t>2×3×3×3×139</t>
        </is>
      </c>
      <c r="D3351" s="49" t="inlineStr">
        <is>
          <t>2·3</t>
        </is>
      </c>
      <c r="E3351" s="49" t="inlineStr"/>
      <c r="F3351" s="49" t="inlineStr"/>
    </row>
    <row r="3352" ht="13" customHeight="1">
      <c r="A3352" s="45" t="inlineStr">
        <is>
          <t>31121</t>
        </is>
      </c>
      <c r="B3352" s="45" t="inlineStr">
        <is>
          <t>13581</t>
        </is>
      </c>
      <c r="C3352" s="45" t="inlineStr">
        <is>
          <t>3×3×3×503</t>
        </is>
      </c>
      <c r="D3352" s="45" t="inlineStr">
        <is>
          <t>3</t>
        </is>
      </c>
      <c r="E3352" s="45" t="inlineStr"/>
      <c r="F3352" s="45" t="inlineStr"/>
    </row>
    <row r="3353" ht="13" customHeight="1">
      <c r="A3353" s="51" t="inlineStr">
        <is>
          <t>31123</t>
        </is>
      </c>
      <c r="B3353" s="51" t="inlineStr">
        <is>
          <t>37981</t>
        </is>
      </c>
      <c r="C3353" s="51" t="inlineStr">
        <is>
          <t>19×1999</t>
        </is>
      </c>
      <c r="D3353" s="51" t="inlineStr">
        <is>
          <t>19</t>
        </is>
      </c>
      <c r="E3353" s="51" t="inlineStr"/>
      <c r="F3353" s="51" t="inlineStr"/>
    </row>
    <row r="3354" ht="13" customHeight="1">
      <c r="A3354" s="50" t="inlineStr">
        <is>
          <t>31139</t>
        </is>
      </c>
      <c r="B3354" s="50" t="inlineStr">
        <is>
          <t>37717</t>
        </is>
      </c>
      <c r="C3354" s="50" t="inlineStr">
        <is>
          <t>37717</t>
        </is>
      </c>
      <c r="D3354" s="50" t="inlineStr">
        <is>
          <t>—</t>
        </is>
      </c>
      <c r="E3354" s="50" t="inlineStr"/>
      <c r="F3354" s="50" t="inlineStr"/>
    </row>
    <row r="3355" ht="13" customHeight="1">
      <c r="A3355" s="51" t="inlineStr">
        <is>
          <t>31147</t>
        </is>
      </c>
      <c r="B3355" s="51" t="inlineStr">
        <is>
          <t>1121</t>
        </is>
      </c>
      <c r="C3355" s="51" t="inlineStr">
        <is>
          <t>19×59</t>
        </is>
      </c>
      <c r="D3355" s="51" t="inlineStr">
        <is>
          <t>19</t>
        </is>
      </c>
      <c r="E3355" s="51" t="inlineStr"/>
      <c r="F3355" s="51" t="inlineStr"/>
    </row>
    <row r="3356" ht="13" customHeight="1">
      <c r="A3356" s="45" t="inlineStr">
        <is>
          <t>31151</t>
        </is>
      </c>
      <c r="B3356" s="45" t="inlineStr">
        <is>
          <t>33933</t>
        </is>
      </c>
      <c r="C3356" s="45" t="inlineStr">
        <is>
          <t>3×11311</t>
        </is>
      </c>
      <c r="D3356" s="45" t="inlineStr">
        <is>
          <t>3</t>
        </is>
      </c>
      <c r="E3356" s="45" t="inlineStr"/>
      <c r="F3356" s="45" t="inlineStr"/>
    </row>
    <row r="3357" ht="13" customHeight="1">
      <c r="A3357" s="43" t="inlineStr">
        <is>
          <t>31153</t>
        </is>
      </c>
      <c r="B3357" s="43" t="inlineStr">
        <is>
          <t>627</t>
        </is>
      </c>
      <c r="C3357" s="43" t="inlineStr">
        <is>
          <t>3×11×19</t>
        </is>
      </c>
      <c r="D3357" s="43" t="inlineStr">
        <is>
          <t>3·11·19</t>
        </is>
      </c>
      <c r="E3357" s="43" t="inlineStr"/>
      <c r="F3357" s="43" t="inlineStr"/>
    </row>
    <row r="3358" ht="13" customHeight="1">
      <c r="A3358" s="45" t="inlineStr">
        <is>
          <t>31159</t>
        </is>
      </c>
      <c r="B3358" s="45" t="inlineStr">
        <is>
          <t>31767</t>
        </is>
      </c>
      <c r="C3358" s="45" t="inlineStr">
        <is>
          <t>3×10589</t>
        </is>
      </c>
      <c r="D3358" s="45" t="inlineStr">
        <is>
          <t>3</t>
        </is>
      </c>
      <c r="E3358" s="45" t="inlineStr"/>
      <c r="F3358" s="45" t="inlineStr"/>
    </row>
    <row r="3359" ht="13" customHeight="1">
      <c r="A3359" s="49" t="inlineStr">
        <is>
          <t>31177</t>
        </is>
      </c>
      <c r="B3359" s="49" t="inlineStr">
        <is>
          <t>39453</t>
        </is>
      </c>
      <c r="C3359" s="49" t="inlineStr">
        <is>
          <t>3×13151</t>
        </is>
      </c>
      <c r="D3359" s="49" t="inlineStr">
        <is>
          <t>3</t>
        </is>
      </c>
      <c r="E3359" s="49" t="inlineStr"/>
      <c r="F3359" s="49" t="inlineStr"/>
    </row>
    <row r="3360" ht="13" customHeight="1">
      <c r="A3360" s="41" t="inlineStr">
        <is>
          <t>31181</t>
        </is>
      </c>
      <c r="B3360" s="41" t="inlineStr">
        <is>
          <t>21488</t>
        </is>
      </c>
      <c r="C3360" s="41" t="inlineStr">
        <is>
          <t>2×2×2×2×17×79</t>
        </is>
      </c>
      <c r="D3360" s="41" t="inlineStr">
        <is>
          <t>2·17</t>
        </is>
      </c>
      <c r="E3360" s="41" t="inlineStr"/>
      <c r="F3360" s="41" t="inlineStr"/>
    </row>
    <row r="3361" ht="13" customHeight="1">
      <c r="A3361" s="41" t="inlineStr">
        <is>
          <t>31183</t>
        </is>
      </c>
      <c r="B3361" s="41" t="inlineStr">
        <is>
          <t>16558</t>
        </is>
      </c>
      <c r="C3361" s="41" t="inlineStr">
        <is>
          <t>2×17×487</t>
        </is>
      </c>
      <c r="D3361" s="41" t="inlineStr">
        <is>
          <t>2·17</t>
        </is>
      </c>
      <c r="E3361" s="41" t="inlineStr"/>
      <c r="F3361" s="41" t="inlineStr"/>
    </row>
    <row r="3362" ht="13" customHeight="1">
      <c r="A3362" s="45" t="inlineStr">
        <is>
          <t>31189</t>
        </is>
      </c>
      <c r="B3362" s="45" t="inlineStr">
        <is>
          <t>7380</t>
        </is>
      </c>
      <c r="C3362" s="45" t="inlineStr">
        <is>
          <t>2×2×3×3×5×41</t>
        </is>
      </c>
      <c r="D3362" s="45" t="inlineStr">
        <is>
          <t>2·3·5</t>
        </is>
      </c>
      <c r="E3362" s="45" t="inlineStr"/>
      <c r="F3362" s="45" t="inlineStr"/>
    </row>
    <row r="3363" ht="13" customHeight="1">
      <c r="A3363" s="49" t="inlineStr">
        <is>
          <t>31193</t>
        </is>
      </c>
      <c r="B3363" s="49" t="inlineStr">
        <is>
          <t>4203</t>
        </is>
      </c>
      <c r="C3363" s="49" t="inlineStr">
        <is>
          <t>3×3×467</t>
        </is>
      </c>
      <c r="D3363" s="49" t="inlineStr">
        <is>
          <t>3</t>
        </is>
      </c>
      <c r="E3363" s="49" t="inlineStr"/>
      <c r="F3363" s="49" t="inlineStr"/>
    </row>
    <row r="3364" ht="13" customHeight="1">
      <c r="A3364" s="45" t="inlineStr">
        <is>
          <t>31219</t>
        </is>
      </c>
      <c r="B3364" s="45" t="inlineStr">
        <is>
          <t>40303</t>
        </is>
      </c>
      <c r="C3364" s="45" t="inlineStr">
        <is>
          <t>41×983</t>
        </is>
      </c>
      <c r="D3364" s="45" t="inlineStr">
        <is>
          <t>—</t>
        </is>
      </c>
      <c r="E3364" s="45" t="inlineStr"/>
      <c r="F3364" s="45" t="inlineStr"/>
    </row>
    <row r="3365" ht="13" customHeight="1">
      <c r="A3365" s="49" t="inlineStr">
        <is>
          <t>31223</t>
        </is>
      </c>
      <c r="B3365" s="49" t="inlineStr">
        <is>
          <t>30674</t>
        </is>
      </c>
      <c r="C3365" s="49" t="inlineStr">
        <is>
          <t>2×7×7×313</t>
        </is>
      </c>
      <c r="D3365" s="49" t="inlineStr">
        <is>
          <t>2·7</t>
        </is>
      </c>
      <c r="E3365" s="49" t="inlineStr"/>
      <c r="F3365" s="49" t="inlineStr"/>
    </row>
    <row r="3366" ht="13" customHeight="1">
      <c r="A3366" s="45" t="inlineStr">
        <is>
          <t>31231</t>
        </is>
      </c>
      <c r="B3366" s="45" t="inlineStr">
        <is>
          <t>27452</t>
        </is>
      </c>
      <c r="C3366" s="45" t="inlineStr">
        <is>
          <t>2×2×6863</t>
        </is>
      </c>
      <c r="D3366" s="45" t="inlineStr">
        <is>
          <t>2</t>
        </is>
      </c>
      <c r="E3366" s="45" t="inlineStr"/>
      <c r="F3366" s="45" t="inlineStr"/>
    </row>
    <row r="3367" ht="13" customHeight="1">
      <c r="A3367" s="41" t="inlineStr">
        <is>
          <t>31237</t>
        </is>
      </c>
      <c r="B3367" s="41" t="inlineStr">
        <is>
          <t>20943</t>
        </is>
      </c>
      <c r="C3367" s="41" t="inlineStr">
        <is>
          <t>3×3×13×179</t>
        </is>
      </c>
      <c r="D3367" s="41" t="inlineStr">
        <is>
          <t>3·13</t>
        </is>
      </c>
      <c r="E3367" s="41" t="inlineStr"/>
      <c r="F3367" s="41" t="inlineStr"/>
    </row>
    <row r="3368" ht="13" customHeight="1">
      <c r="A3368" s="41" t="inlineStr">
        <is>
          <t>31247</t>
        </is>
      </c>
      <c r="B3368" s="41" t="inlineStr">
        <is>
          <t>7412</t>
        </is>
      </c>
      <c r="C3368" s="41" t="inlineStr">
        <is>
          <t>2×2×17×109</t>
        </is>
      </c>
      <c r="D3368" s="41" t="inlineStr">
        <is>
          <t>2·17</t>
        </is>
      </c>
      <c r="E3368" s="41" t="inlineStr"/>
      <c r="F3368" s="41" t="inlineStr"/>
    </row>
    <row r="3369" ht="13" customHeight="1">
      <c r="A3369" s="49" t="inlineStr">
        <is>
          <t>31249</t>
        </is>
      </c>
      <c r="B3369" s="49" t="inlineStr">
        <is>
          <t>36154</t>
        </is>
      </c>
      <c r="C3369" s="49" t="inlineStr">
        <is>
          <t>2×18077</t>
        </is>
      </c>
      <c r="D3369" s="49" t="inlineStr">
        <is>
          <t>2</t>
        </is>
      </c>
      <c r="E3369" s="49" t="inlineStr"/>
      <c r="F3369" s="49" t="inlineStr"/>
    </row>
    <row r="3370" ht="13" customHeight="1">
      <c r="A3370" s="45" t="inlineStr">
        <is>
          <t>31253</t>
        </is>
      </c>
      <c r="B3370" s="45" t="inlineStr">
        <is>
          <t>1295</t>
        </is>
      </c>
      <c r="C3370" s="45" t="inlineStr">
        <is>
          <t>5×7×37</t>
        </is>
      </c>
      <c r="D3370" s="45" t="inlineStr">
        <is>
          <t>5·7</t>
        </is>
      </c>
      <c r="E3370" s="45" t="inlineStr"/>
      <c r="F3370" s="45" t="inlineStr"/>
    </row>
    <row r="3371" ht="13" customHeight="1">
      <c r="A3371" s="49" t="inlineStr">
        <is>
          <t>31259</t>
        </is>
      </c>
      <c r="B3371" s="49" t="inlineStr">
        <is>
          <t>35538</t>
        </is>
      </c>
      <c r="C3371" s="49" t="inlineStr">
        <is>
          <t>2×3×5923</t>
        </is>
      </c>
      <c r="D3371" s="49" t="inlineStr">
        <is>
          <t>2·3</t>
        </is>
      </c>
      <c r="E3371" s="49" t="inlineStr"/>
      <c r="F3371" s="49" t="inlineStr"/>
    </row>
    <row r="3372" ht="13" customHeight="1">
      <c r="A3372" s="45" t="inlineStr">
        <is>
          <t>31267</t>
        </is>
      </c>
      <c r="B3372" s="45" t="inlineStr">
        <is>
          <t>35845</t>
        </is>
      </c>
      <c r="C3372" s="45" t="inlineStr">
        <is>
          <t>5×67×107</t>
        </is>
      </c>
      <c r="D3372" s="45" t="inlineStr">
        <is>
          <t>5</t>
        </is>
      </c>
      <c r="E3372" s="45" t="inlineStr"/>
      <c r="F3372" s="45" t="inlineStr"/>
    </row>
    <row r="3373" ht="13" customHeight="1">
      <c r="A3373" s="43" t="inlineStr">
        <is>
          <t>31271</t>
        </is>
      </c>
      <c r="B3373" s="43" t="inlineStr">
        <is>
          <t>20075</t>
        </is>
      </c>
      <c r="C3373" s="43" t="inlineStr">
        <is>
          <t>5×5×11×73</t>
        </is>
      </c>
      <c r="D3373" s="43" t="inlineStr">
        <is>
          <t>5·11</t>
        </is>
      </c>
      <c r="E3373" s="43" t="inlineStr"/>
      <c r="F3373" s="43" t="inlineStr"/>
    </row>
    <row r="3374" ht="13" customHeight="1">
      <c r="A3374" s="41" t="inlineStr">
        <is>
          <t>31277</t>
        </is>
      </c>
      <c r="B3374" s="41" t="inlineStr">
        <is>
          <t>676</t>
        </is>
      </c>
      <c r="C3374" s="41" t="inlineStr">
        <is>
          <t>2×2×13×13</t>
        </is>
      </c>
      <c r="D3374" s="41" t="inlineStr">
        <is>
          <t>2·13</t>
        </is>
      </c>
      <c r="E3374" s="41" t="inlineStr"/>
      <c r="F3374" s="41" t="inlineStr"/>
    </row>
    <row r="3375" ht="13" customHeight="1">
      <c r="A3375" s="49" t="inlineStr">
        <is>
          <t>31307</t>
        </is>
      </c>
      <c r="B3375" s="49" t="inlineStr">
        <is>
          <t>43570</t>
        </is>
      </c>
      <c r="C3375" s="49" t="inlineStr">
        <is>
          <t>2×5×4357</t>
        </is>
      </c>
      <c r="D3375" s="49" t="inlineStr">
        <is>
          <t>2·5</t>
        </is>
      </c>
      <c r="E3375" s="49" t="inlineStr"/>
      <c r="F3375" s="49" t="inlineStr"/>
    </row>
    <row r="3376" ht="13" customHeight="1">
      <c r="A3376" s="45" t="inlineStr">
        <is>
          <t>31319</t>
        </is>
      </c>
      <c r="B3376" s="45" t="inlineStr">
        <is>
          <t>30662</t>
        </is>
      </c>
      <c r="C3376" s="45" t="inlineStr">
        <is>
          <t>2×15331</t>
        </is>
      </c>
      <c r="D3376" s="45" t="inlineStr">
        <is>
          <t>2</t>
        </is>
      </c>
      <c r="E3376" s="45" t="inlineStr"/>
      <c r="F3376" s="45" t="inlineStr"/>
    </row>
    <row r="3377" ht="13" customHeight="1">
      <c r="A3377" s="49" t="inlineStr">
        <is>
          <t>31321</t>
        </is>
      </c>
      <c r="B3377" s="49" t="inlineStr">
        <is>
          <t>3282</t>
        </is>
      </c>
      <c r="C3377" s="49" t="inlineStr">
        <is>
          <t>2×3×547</t>
        </is>
      </c>
      <c r="D3377" s="49" t="inlineStr">
        <is>
          <t>2·3</t>
        </is>
      </c>
      <c r="E3377" s="49" t="inlineStr"/>
      <c r="F3377" s="49" t="inlineStr"/>
    </row>
    <row r="3378" ht="13" customHeight="1">
      <c r="A3378" s="43" t="inlineStr">
        <is>
          <t>31327</t>
        </is>
      </c>
      <c r="B3378" s="43" t="inlineStr">
        <is>
          <t>4763</t>
        </is>
      </c>
      <c r="C3378" s="43" t="inlineStr">
        <is>
          <t>11×433</t>
        </is>
      </c>
      <c r="D3378" s="43" t="inlineStr">
        <is>
          <t>11</t>
        </is>
      </c>
      <c r="E3378" s="43" t="inlineStr"/>
      <c r="F3378" s="43" t="inlineStr"/>
    </row>
    <row r="3379" ht="13" customHeight="1">
      <c r="A3379" s="49" t="inlineStr">
        <is>
          <t>31333</t>
        </is>
      </c>
      <c r="B3379" s="49" t="inlineStr">
        <is>
          <t>7668</t>
        </is>
      </c>
      <c r="C3379" s="49" t="inlineStr">
        <is>
          <t>2×2×3×3×3×71</t>
        </is>
      </c>
      <c r="D3379" s="49" t="inlineStr">
        <is>
          <t>2·3</t>
        </is>
      </c>
      <c r="E3379" s="49" t="inlineStr"/>
      <c r="F3379" s="49" t="inlineStr"/>
    </row>
    <row r="3380" ht="13" customHeight="1">
      <c r="A3380" s="45" t="inlineStr">
        <is>
          <t>31337</t>
        </is>
      </c>
      <c r="B3380" s="45" t="inlineStr">
        <is>
          <t>10750</t>
        </is>
      </c>
      <c r="C3380" s="45" t="inlineStr">
        <is>
          <t>2×5×5×5×43</t>
        </is>
      </c>
      <c r="D3380" s="45" t="inlineStr">
        <is>
          <t>2·5</t>
        </is>
      </c>
      <c r="E3380" s="45" t="inlineStr"/>
      <c r="F3380" s="45" t="inlineStr"/>
    </row>
    <row r="3381" ht="13" customHeight="1">
      <c r="A3381" s="49" t="inlineStr">
        <is>
          <t>31357</t>
        </is>
      </c>
      <c r="B3381" s="49" t="inlineStr">
        <is>
          <t>43430</t>
        </is>
      </c>
      <c r="C3381" s="49" t="inlineStr">
        <is>
          <t>2×5×43×101</t>
        </is>
      </c>
      <c r="D3381" s="49" t="inlineStr">
        <is>
          <t>2·5</t>
        </is>
      </c>
      <c r="E3381" s="49" t="inlineStr"/>
      <c r="F3381" s="49" t="inlineStr"/>
    </row>
    <row r="3382" ht="13" customHeight="1">
      <c r="A3382" s="41" t="inlineStr">
        <is>
          <t>31379</t>
        </is>
      </c>
      <c r="B3382" s="41" t="inlineStr">
        <is>
          <t>11947</t>
        </is>
      </c>
      <c r="C3382" s="41" t="inlineStr">
        <is>
          <t>13×919</t>
        </is>
      </c>
      <c r="D3382" s="41" t="inlineStr">
        <is>
          <t>13</t>
        </is>
      </c>
      <c r="E3382" s="41" t="inlineStr"/>
      <c r="F3382" s="41" t="inlineStr"/>
    </row>
    <row r="3383" ht="13" customHeight="1">
      <c r="A3383" s="49" t="inlineStr">
        <is>
          <t>31387</t>
        </is>
      </c>
      <c r="B3383" s="49" t="inlineStr">
        <is>
          <t>25071</t>
        </is>
      </c>
      <c r="C3383" s="49" t="inlineStr">
        <is>
          <t>3×61×137</t>
        </is>
      </c>
      <c r="D3383" s="49" t="inlineStr">
        <is>
          <t>3</t>
        </is>
      </c>
      <c r="E3383" s="49" t="inlineStr"/>
      <c r="F3383" s="49" t="inlineStr"/>
    </row>
    <row r="3384" ht="13" customHeight="1">
      <c r="A3384" s="45" t="inlineStr">
        <is>
          <t>31391</t>
        </is>
      </c>
      <c r="B3384" s="45" t="inlineStr">
        <is>
          <t>42645</t>
        </is>
      </c>
      <c r="C3384" s="45" t="inlineStr">
        <is>
          <t>3×5×2843</t>
        </is>
      </c>
      <c r="D3384" s="45" t="inlineStr">
        <is>
          <t>3·5</t>
        </is>
      </c>
      <c r="E3384" s="45" t="inlineStr"/>
      <c r="F3384" s="45" t="inlineStr"/>
    </row>
    <row r="3385" ht="13" customHeight="1">
      <c r="A3385" s="49" t="inlineStr">
        <is>
          <t>31393</t>
        </is>
      </c>
      <c r="B3385" s="49" t="inlineStr">
        <is>
          <t>27796</t>
        </is>
      </c>
      <c r="C3385" s="49" t="inlineStr">
        <is>
          <t>2×2×6949</t>
        </is>
      </c>
      <c r="D3385" s="49" t="inlineStr">
        <is>
          <t>2</t>
        </is>
      </c>
      <c r="E3385" s="49" t="inlineStr"/>
      <c r="F3385" s="49" t="inlineStr"/>
    </row>
    <row r="3386" ht="13" customHeight="1">
      <c r="A3386" s="45" t="inlineStr">
        <is>
          <t>31397</t>
        </is>
      </c>
      <c r="B3386" s="45" t="inlineStr">
        <is>
          <t>26023</t>
        </is>
      </c>
      <c r="C3386" s="45" t="inlineStr">
        <is>
          <t>53×491</t>
        </is>
      </c>
      <c r="D3386" s="45" t="inlineStr">
        <is>
          <t>—</t>
        </is>
      </c>
      <c r="E3386" s="45" t="inlineStr"/>
      <c r="F3386" s="45" t="inlineStr"/>
    </row>
    <row r="3387" ht="13" customHeight="1">
      <c r="A3387" s="50" t="inlineStr">
        <is>
          <t>31469</t>
        </is>
      </c>
      <c r="B3387" s="50" t="inlineStr">
        <is>
          <t>7069</t>
        </is>
      </c>
      <c r="C3387" s="50" t="inlineStr">
        <is>
          <t>7069</t>
        </is>
      </c>
      <c r="D3387" s="50" t="inlineStr">
        <is>
          <t>—</t>
        </is>
      </c>
      <c r="E3387" s="50" t="inlineStr"/>
      <c r="F3387" s="50" t="inlineStr"/>
    </row>
    <row r="3388" ht="13" customHeight="1">
      <c r="A3388" s="45" t="inlineStr">
        <is>
          <t>31477</t>
        </is>
      </c>
      <c r="B3388" s="45" t="inlineStr">
        <is>
          <t>33236</t>
        </is>
      </c>
      <c r="C3388" s="45" t="inlineStr">
        <is>
          <t>2×2×7×1187</t>
        </is>
      </c>
      <c r="D3388" s="45" t="inlineStr">
        <is>
          <t>2·7</t>
        </is>
      </c>
      <c r="E3388" s="45" t="inlineStr"/>
      <c r="F3388" s="45" t="inlineStr"/>
    </row>
    <row r="3389" ht="13" customHeight="1">
      <c r="A3389" s="49" t="inlineStr">
        <is>
          <t>31481</t>
        </is>
      </c>
      <c r="B3389" s="49" t="inlineStr">
        <is>
          <t>42319</t>
        </is>
      </c>
      <c r="C3389" s="49" t="inlineStr">
        <is>
          <t>101×419</t>
        </is>
      </c>
      <c r="D3389" s="49" t="inlineStr">
        <is>
          <t>—</t>
        </is>
      </c>
      <c r="E3389" s="49" t="inlineStr"/>
      <c r="F3389" s="49" t="inlineStr"/>
    </row>
    <row r="3390" ht="13" customHeight="1">
      <c r="A3390" s="45" t="inlineStr">
        <is>
          <t>31489</t>
        </is>
      </c>
      <c r="B3390" s="45" t="inlineStr">
        <is>
          <t>4546</t>
        </is>
      </c>
      <c r="C3390" s="45" t="inlineStr">
        <is>
          <t>2×2273</t>
        </is>
      </c>
      <c r="D3390" s="45" t="inlineStr">
        <is>
          <t>2</t>
        </is>
      </c>
      <c r="E3390" s="45" t="inlineStr"/>
      <c r="F3390" s="45" t="inlineStr"/>
    </row>
    <row r="3391" ht="13" customHeight="1">
      <c r="A3391" s="49" t="inlineStr">
        <is>
          <t>31511</t>
        </is>
      </c>
      <c r="B3391" s="49" t="inlineStr">
        <is>
          <t>39035</t>
        </is>
      </c>
      <c r="C3391" s="49" t="inlineStr">
        <is>
          <t>5×37×211</t>
        </is>
      </c>
      <c r="D3391" s="49" t="inlineStr">
        <is>
          <t>5</t>
        </is>
      </c>
      <c r="E3391" s="49" t="inlineStr"/>
      <c r="F3391" s="49" t="inlineStr"/>
    </row>
    <row r="3392" ht="13" customHeight="1">
      <c r="A3392" s="45" t="inlineStr">
        <is>
          <t>31513</t>
        </is>
      </c>
      <c r="B3392" s="45" t="inlineStr">
        <is>
          <t>36259</t>
        </is>
      </c>
      <c r="C3392" s="45" t="inlineStr">
        <is>
          <t>101×359</t>
        </is>
      </c>
      <c r="D3392" s="45" t="inlineStr">
        <is>
          <t>—</t>
        </is>
      </c>
      <c r="E3392" s="45" t="inlineStr"/>
      <c r="F3392" s="45" t="inlineStr"/>
    </row>
    <row r="3393" ht="13" customHeight="1">
      <c r="A3393" s="51" t="inlineStr">
        <is>
          <t>31517</t>
        </is>
      </c>
      <c r="B3393" s="51" t="inlineStr">
        <is>
          <t>43130</t>
        </is>
      </c>
      <c r="C3393" s="51" t="inlineStr">
        <is>
          <t>2×5×19×227</t>
        </is>
      </c>
      <c r="D3393" s="51" t="inlineStr">
        <is>
          <t>2·5·19</t>
        </is>
      </c>
      <c r="E3393" s="51" t="inlineStr"/>
      <c r="F3393" s="51" t="inlineStr"/>
    </row>
    <row r="3394" ht="13" customHeight="1">
      <c r="A3394" s="45" t="inlineStr">
        <is>
          <t>31531</t>
        </is>
      </c>
      <c r="B3394" s="45" t="inlineStr">
        <is>
          <t>34706</t>
        </is>
      </c>
      <c r="C3394" s="45" t="inlineStr">
        <is>
          <t>2×7×37×67</t>
        </is>
      </c>
      <c r="D3394" s="45" t="inlineStr">
        <is>
          <t>2·7</t>
        </is>
      </c>
      <c r="E3394" s="45" t="inlineStr"/>
      <c r="F3394" s="45" t="inlineStr"/>
    </row>
    <row r="3395" ht="13" customHeight="1">
      <c r="A3395" s="49" t="inlineStr">
        <is>
          <t>31541</t>
        </is>
      </c>
      <c r="B3395" s="49" t="inlineStr">
        <is>
          <t>40203</t>
        </is>
      </c>
      <c r="C3395" s="49" t="inlineStr">
        <is>
          <t>3×3×3×1489</t>
        </is>
      </c>
      <c r="D3395" s="49" t="inlineStr">
        <is>
          <t>3</t>
        </is>
      </c>
      <c r="E3395" s="49" t="inlineStr"/>
      <c r="F3395" s="49" t="inlineStr"/>
    </row>
    <row r="3396" ht="13" customHeight="1">
      <c r="A3396" s="45" t="inlineStr">
        <is>
          <t>31543</t>
        </is>
      </c>
      <c r="B3396" s="45" t="inlineStr">
        <is>
          <t>20210</t>
        </is>
      </c>
      <c r="C3396" s="45" t="inlineStr">
        <is>
          <t>2×5×43×47</t>
        </is>
      </c>
      <c r="D3396" s="45" t="inlineStr">
        <is>
          <t>2·5</t>
        </is>
      </c>
      <c r="E3396" s="45" t="inlineStr"/>
      <c r="F3396" s="45" t="inlineStr"/>
    </row>
    <row r="3397" ht="13" customHeight="1">
      <c r="A3397" s="49" t="inlineStr">
        <is>
          <t>31547</t>
        </is>
      </c>
      <c r="B3397" s="49" t="inlineStr">
        <is>
          <t>35546</t>
        </is>
      </c>
      <c r="C3397" s="49" t="inlineStr">
        <is>
          <t>2×7×2539</t>
        </is>
      </c>
      <c r="D3397" s="49" t="inlineStr">
        <is>
          <t>2·7</t>
        </is>
      </c>
      <c r="E3397" s="49" t="inlineStr"/>
      <c r="F3397" s="49" t="inlineStr"/>
    </row>
    <row r="3398" ht="13" customHeight="1">
      <c r="A3398" s="45" t="inlineStr">
        <is>
          <t>31567</t>
        </is>
      </c>
      <c r="B3398" s="45" t="inlineStr">
        <is>
          <t>14791</t>
        </is>
      </c>
      <c r="C3398" s="45" t="inlineStr">
        <is>
          <t>7×2113</t>
        </is>
      </c>
      <c r="D3398" s="45" t="inlineStr">
        <is>
          <t>7</t>
        </is>
      </c>
      <c r="E3398" s="45" t="inlineStr"/>
      <c r="F3398" s="45" t="inlineStr"/>
    </row>
    <row r="3399" ht="13" customHeight="1">
      <c r="A3399" s="50" t="inlineStr">
        <is>
          <t>31573</t>
        </is>
      </c>
      <c r="B3399" s="50" t="inlineStr">
        <is>
          <t>41051</t>
        </is>
      </c>
      <c r="C3399" s="50" t="inlineStr">
        <is>
          <t>41051</t>
        </is>
      </c>
      <c r="D3399" s="50" t="inlineStr">
        <is>
          <t>—</t>
        </is>
      </c>
      <c r="E3399" s="50" t="inlineStr"/>
      <c r="F3399" s="50" t="inlineStr"/>
    </row>
    <row r="3400" ht="13" customHeight="1">
      <c r="A3400" s="45" t="inlineStr">
        <is>
          <t>31583</t>
        </is>
      </c>
      <c r="B3400" s="45" t="inlineStr">
        <is>
          <t>24347</t>
        </is>
      </c>
      <c r="C3400" s="45" t="inlineStr">
        <is>
          <t>97×251</t>
        </is>
      </c>
      <c r="D3400" s="45" t="inlineStr">
        <is>
          <t>—</t>
        </is>
      </c>
      <c r="E3400" s="45" t="inlineStr"/>
      <c r="F3400" s="45" t="inlineStr"/>
    </row>
    <row r="3401" ht="13" customHeight="1">
      <c r="A3401" s="51" t="inlineStr">
        <is>
          <t>31601</t>
        </is>
      </c>
      <c r="B3401" s="51" t="inlineStr">
        <is>
          <t>36537</t>
        </is>
      </c>
      <c r="C3401" s="51" t="inlineStr">
        <is>
          <t>3×19×641</t>
        </is>
      </c>
      <c r="D3401" s="51" t="inlineStr">
        <is>
          <t>3·19</t>
        </is>
      </c>
      <c r="E3401" s="51" t="inlineStr"/>
      <c r="F3401" s="51" t="inlineStr"/>
    </row>
    <row r="3402" ht="13" customHeight="1">
      <c r="A3402" s="51" t="inlineStr">
        <is>
          <t>31607</t>
        </is>
      </c>
      <c r="B3402" s="51" t="inlineStr">
        <is>
          <t>43491</t>
        </is>
      </c>
      <c r="C3402" s="51" t="inlineStr">
        <is>
          <t>3×7×19×109</t>
        </is>
      </c>
      <c r="D3402" s="51" t="inlineStr">
        <is>
          <t>3·7·19</t>
        </is>
      </c>
      <c r="E3402" s="51" t="inlineStr"/>
      <c r="F3402" s="51" t="inlineStr"/>
    </row>
    <row r="3403" ht="13" customHeight="1">
      <c r="A3403" s="41" t="inlineStr">
        <is>
          <t>31627</t>
        </is>
      </c>
      <c r="B3403" s="41" t="inlineStr">
        <is>
          <t>714</t>
        </is>
      </c>
      <c r="C3403" s="41" t="inlineStr">
        <is>
          <t>2×3×7×17</t>
        </is>
      </c>
      <c r="D3403" s="41" t="inlineStr">
        <is>
          <t>2·3·7·17</t>
        </is>
      </c>
      <c r="E3403" s="41" t="inlineStr"/>
      <c r="F3403" s="41" t="inlineStr"/>
    </row>
    <row r="3404" ht="13" customHeight="1">
      <c r="A3404" s="45" t="inlineStr">
        <is>
          <t>31643</t>
        </is>
      </c>
      <c r="B3404" s="45" t="inlineStr">
        <is>
          <t>15540</t>
        </is>
      </c>
      <c r="C3404" s="45" t="inlineStr">
        <is>
          <t>2×2×3×5×7×37</t>
        </is>
      </c>
      <c r="D3404" s="45" t="inlineStr">
        <is>
          <t>2·3·5·7</t>
        </is>
      </c>
      <c r="E3404" s="45" t="inlineStr"/>
      <c r="F3404" s="45" t="inlineStr"/>
    </row>
    <row r="3405" ht="13" customHeight="1">
      <c r="A3405" s="50" t="inlineStr">
        <is>
          <t>31649</t>
        </is>
      </c>
      <c r="B3405" s="50" t="inlineStr">
        <is>
          <t>32423</t>
        </is>
      </c>
      <c r="C3405" s="50" t="inlineStr">
        <is>
          <t>32423</t>
        </is>
      </c>
      <c r="D3405" s="50" t="inlineStr">
        <is>
          <t>—</t>
        </is>
      </c>
      <c r="E3405" s="50" t="inlineStr"/>
      <c r="F3405" s="50" t="inlineStr"/>
    </row>
    <row r="3406" ht="13" customHeight="1">
      <c r="A3406" s="45" t="inlineStr">
        <is>
          <t>31657</t>
        </is>
      </c>
      <c r="B3406" s="45" t="inlineStr">
        <is>
          <t>10715</t>
        </is>
      </c>
      <c r="C3406" s="45" t="inlineStr">
        <is>
          <t>5×2143</t>
        </is>
      </c>
      <c r="D3406" s="45" t="inlineStr">
        <is>
          <t>5</t>
        </is>
      </c>
      <c r="E3406" s="45" t="inlineStr"/>
      <c r="F3406" s="45" t="inlineStr"/>
    </row>
    <row r="3407" ht="13" customHeight="1">
      <c r="A3407" s="49" t="inlineStr">
        <is>
          <t>31663</t>
        </is>
      </c>
      <c r="B3407" s="49" t="inlineStr">
        <is>
          <t>24257</t>
        </is>
      </c>
      <c r="C3407" s="49" t="inlineStr">
        <is>
          <t>127×191</t>
        </is>
      </c>
      <c r="D3407" s="49" t="inlineStr">
        <is>
          <t>—</t>
        </is>
      </c>
      <c r="E3407" s="49" t="inlineStr"/>
      <c r="F3407" s="49" t="inlineStr"/>
    </row>
    <row r="3408" ht="13" customHeight="1">
      <c r="A3408" s="50" t="inlineStr">
        <is>
          <t>31667</t>
        </is>
      </c>
      <c r="B3408" s="50" t="inlineStr">
        <is>
          <t>20123</t>
        </is>
      </c>
      <c r="C3408" s="50" t="inlineStr">
        <is>
          <t>20123</t>
        </is>
      </c>
      <c r="D3408" s="50" t="inlineStr">
        <is>
          <t>—</t>
        </is>
      </c>
      <c r="E3408" s="50" t="inlineStr"/>
      <c r="F3408" s="50" t="inlineStr"/>
    </row>
    <row r="3409" ht="13" customHeight="1">
      <c r="A3409" s="49" t="inlineStr">
        <is>
          <t>31687</t>
        </is>
      </c>
      <c r="B3409" s="49" t="inlineStr">
        <is>
          <t>31003</t>
        </is>
      </c>
      <c r="C3409" s="49" t="inlineStr">
        <is>
          <t>7×43×103</t>
        </is>
      </c>
      <c r="D3409" s="49" t="inlineStr">
        <is>
          <t>7</t>
        </is>
      </c>
      <c r="E3409" s="49" t="inlineStr"/>
      <c r="F3409" s="49" t="inlineStr"/>
    </row>
    <row r="3410" ht="13" customHeight="1">
      <c r="A3410" s="45" t="inlineStr">
        <is>
          <t>31699</t>
        </is>
      </c>
      <c r="B3410" s="45" t="inlineStr">
        <is>
          <t>34348</t>
        </is>
      </c>
      <c r="C3410" s="45" t="inlineStr">
        <is>
          <t>2×2×31×277</t>
        </is>
      </c>
      <c r="D3410" s="45" t="inlineStr">
        <is>
          <t>2</t>
        </is>
      </c>
      <c r="E3410" s="45" t="inlineStr"/>
      <c r="F3410" s="45" t="inlineStr"/>
    </row>
    <row r="3411" ht="13" customHeight="1">
      <c r="A3411" s="49" t="inlineStr">
        <is>
          <t>31721</t>
        </is>
      </c>
      <c r="B3411" s="49" t="inlineStr">
        <is>
          <t>32698</t>
        </is>
      </c>
      <c r="C3411" s="49" t="inlineStr">
        <is>
          <t>2×16349</t>
        </is>
      </c>
      <c r="D3411" s="49" t="inlineStr">
        <is>
          <t>2</t>
        </is>
      </c>
      <c r="E3411" s="49" t="inlineStr"/>
      <c r="F3411" s="49" t="inlineStr"/>
    </row>
    <row r="3412" ht="13" customHeight="1">
      <c r="A3412" s="39" t="inlineStr">
        <is>
          <t>31723</t>
        </is>
      </c>
      <c r="B3412" s="39" t="inlineStr">
        <is>
          <t>32768</t>
        </is>
      </c>
      <c r="C3412" s="39" t="inlineStr">
        <is>
          <t>2×2×2×2×2×2×2×2×2×2×2×2×2×2×2</t>
        </is>
      </c>
      <c r="D3412" s="39" t="inlineStr">
        <is>
          <t>2</t>
        </is>
      </c>
      <c r="E3412" s="39" t="inlineStr"/>
      <c r="F3412" s="39" t="inlineStr"/>
    </row>
    <row r="3413" ht="13" customHeight="1">
      <c r="A3413" s="49" t="inlineStr">
        <is>
          <t>31727</t>
        </is>
      </c>
      <c r="B3413" s="49" t="inlineStr">
        <is>
          <t>9921</t>
        </is>
      </c>
      <c r="C3413" s="49" t="inlineStr">
        <is>
          <t>3×3307</t>
        </is>
      </c>
      <c r="D3413" s="49" t="inlineStr">
        <is>
          <t>3</t>
        </is>
      </c>
      <c r="E3413" s="49" t="inlineStr"/>
      <c r="F3413" s="49" t="inlineStr"/>
    </row>
    <row r="3414" ht="13" customHeight="1">
      <c r="A3414" s="45" t="inlineStr">
        <is>
          <t>31729</t>
        </is>
      </c>
      <c r="B3414" s="45" t="inlineStr">
        <is>
          <t>15936</t>
        </is>
      </c>
      <c r="C3414" s="45" t="inlineStr">
        <is>
          <t>2×2×2×2×2×2×3×83</t>
        </is>
      </c>
      <c r="D3414" s="45" t="inlineStr">
        <is>
          <t>2·3</t>
        </is>
      </c>
      <c r="E3414" s="45" t="inlineStr"/>
      <c r="F3414" s="45" t="inlineStr"/>
    </row>
    <row r="3415" ht="13" customHeight="1">
      <c r="A3415" s="49" t="inlineStr">
        <is>
          <t>31741</t>
        </is>
      </c>
      <c r="B3415" s="49" t="inlineStr">
        <is>
          <t>18971</t>
        </is>
      </c>
      <c r="C3415" s="49" t="inlineStr">
        <is>
          <t>61×311</t>
        </is>
      </c>
      <c r="D3415" s="49" t="inlineStr">
        <is>
          <t>—</t>
        </is>
      </c>
      <c r="E3415" s="49" t="inlineStr"/>
      <c r="F3415" s="49" t="inlineStr"/>
    </row>
    <row r="3416" ht="13" customHeight="1">
      <c r="A3416" s="50" t="inlineStr">
        <is>
          <t>31751</t>
        </is>
      </c>
      <c r="B3416" s="50" t="inlineStr">
        <is>
          <t>39671</t>
        </is>
      </c>
      <c r="C3416" s="50" t="inlineStr">
        <is>
          <t>39671</t>
        </is>
      </c>
      <c r="D3416" s="50" t="inlineStr">
        <is>
          <t>—</t>
        </is>
      </c>
      <c r="E3416" s="50" t="inlineStr"/>
      <c r="F3416" s="50" t="inlineStr"/>
    </row>
    <row r="3417" ht="13" customHeight="1">
      <c r="A3417" s="43" t="inlineStr">
        <is>
          <t>31769</t>
        </is>
      </c>
      <c r="B3417" s="43" t="inlineStr">
        <is>
          <t>42977</t>
        </is>
      </c>
      <c r="C3417" s="43" t="inlineStr">
        <is>
          <t>11×3907</t>
        </is>
      </c>
      <c r="D3417" s="43" t="inlineStr">
        <is>
          <t>11</t>
        </is>
      </c>
      <c r="E3417" s="43" t="inlineStr"/>
      <c r="F3417" s="43" t="inlineStr"/>
    </row>
    <row r="3418" ht="13" customHeight="1">
      <c r="A3418" s="41" t="inlineStr">
        <is>
          <t>31771</t>
        </is>
      </c>
      <c r="B3418" s="41" t="inlineStr">
        <is>
          <t>2414</t>
        </is>
      </c>
      <c r="C3418" s="41" t="inlineStr">
        <is>
          <t>2×17×71</t>
        </is>
      </c>
      <c r="D3418" s="41" t="inlineStr">
        <is>
          <t>2·17</t>
        </is>
      </c>
      <c r="E3418" s="41" t="inlineStr"/>
      <c r="F3418" s="41" t="inlineStr"/>
    </row>
    <row r="3419" ht="13" customHeight="1">
      <c r="A3419" s="41" t="inlineStr">
        <is>
          <t>31793</t>
        </is>
      </c>
      <c r="B3419" s="41" t="inlineStr">
        <is>
          <t>10217</t>
        </is>
      </c>
      <c r="C3419" s="41" t="inlineStr">
        <is>
          <t>17×601</t>
        </is>
      </c>
      <c r="D3419" s="41" t="inlineStr">
        <is>
          <t>17</t>
        </is>
      </c>
      <c r="E3419" s="41" t="inlineStr"/>
      <c r="F3419" s="41" t="inlineStr"/>
    </row>
    <row r="3420" ht="13" customHeight="1">
      <c r="A3420" s="45" t="inlineStr">
        <is>
          <t>31799</t>
        </is>
      </c>
      <c r="B3420" s="45" t="inlineStr">
        <is>
          <t>7979</t>
        </is>
      </c>
      <c r="C3420" s="45" t="inlineStr">
        <is>
          <t>79×101</t>
        </is>
      </c>
      <c r="D3420" s="45" t="inlineStr">
        <is>
          <t>—</t>
        </is>
      </c>
      <c r="E3420" s="45" t="inlineStr"/>
      <c r="F3420" s="45" t="inlineStr"/>
    </row>
    <row r="3421" ht="13" customHeight="1">
      <c r="A3421" s="49" t="inlineStr">
        <is>
          <t>31817</t>
        </is>
      </c>
      <c r="B3421" s="49" t="inlineStr">
        <is>
          <t>3489</t>
        </is>
      </c>
      <c r="C3421" s="49" t="inlineStr">
        <is>
          <t>3×1163</t>
        </is>
      </c>
      <c r="D3421" s="49" t="inlineStr">
        <is>
          <t>3</t>
        </is>
      </c>
      <c r="E3421" s="49" t="inlineStr"/>
      <c r="F3421" s="49" t="inlineStr"/>
    </row>
    <row r="3422" ht="13" customHeight="1">
      <c r="A3422" s="50" t="inlineStr">
        <is>
          <t>31847</t>
        </is>
      </c>
      <c r="B3422" s="50" t="inlineStr">
        <is>
          <t>12101</t>
        </is>
      </c>
      <c r="C3422" s="50" t="inlineStr">
        <is>
          <t>12101</t>
        </is>
      </c>
      <c r="D3422" s="50" t="inlineStr">
        <is>
          <t>—</t>
        </is>
      </c>
      <c r="E3422" s="50" t="inlineStr"/>
      <c r="F3422" s="50" t="inlineStr"/>
    </row>
    <row r="3423" ht="13" customHeight="1">
      <c r="A3423" s="49" t="inlineStr">
        <is>
          <t>31849</t>
        </is>
      </c>
      <c r="B3423" s="49" t="inlineStr">
        <is>
          <t>24164</t>
        </is>
      </c>
      <c r="C3423" s="49" t="inlineStr">
        <is>
          <t>2×2×7×863</t>
        </is>
      </c>
      <c r="D3423" s="49" t="inlineStr">
        <is>
          <t>2·7</t>
        </is>
      </c>
      <c r="E3423" s="49" t="inlineStr"/>
      <c r="F3423" s="49" t="inlineStr"/>
    </row>
    <row r="3424" ht="13" customHeight="1">
      <c r="A3424" s="41" t="inlineStr">
        <is>
          <t>31859</t>
        </is>
      </c>
      <c r="B3424" s="41" t="inlineStr">
        <is>
          <t>14705</t>
        </is>
      </c>
      <c r="C3424" s="41" t="inlineStr">
        <is>
          <t>5×17×173</t>
        </is>
      </c>
      <c r="D3424" s="41" t="inlineStr">
        <is>
          <t>5·17</t>
        </is>
      </c>
      <c r="E3424" s="41" t="inlineStr"/>
      <c r="F3424" s="41" t="inlineStr"/>
    </row>
    <row r="3425" ht="13" customHeight="1">
      <c r="A3425" s="49" t="inlineStr">
        <is>
          <t>31873</t>
        </is>
      </c>
      <c r="B3425" s="49" t="inlineStr">
        <is>
          <t>7022</t>
        </is>
      </c>
      <c r="C3425" s="49" t="inlineStr">
        <is>
          <t>2×3511</t>
        </is>
      </c>
      <c r="D3425" s="49" t="inlineStr">
        <is>
          <t>2</t>
        </is>
      </c>
      <c r="E3425" s="49" t="inlineStr"/>
      <c r="F3425" s="49" t="inlineStr"/>
    </row>
    <row r="3426" ht="13" customHeight="1">
      <c r="A3426" s="45" t="inlineStr">
        <is>
          <t>31883</t>
        </is>
      </c>
      <c r="B3426" s="45" t="inlineStr">
        <is>
          <t>19476</t>
        </is>
      </c>
      <c r="C3426" s="45" t="inlineStr">
        <is>
          <t>2×2×3×3×541</t>
        </is>
      </c>
      <c r="D3426" s="45" t="inlineStr">
        <is>
          <t>2·3</t>
        </is>
      </c>
      <c r="E3426" s="45" t="inlineStr"/>
      <c r="F3426" s="45" t="inlineStr"/>
    </row>
    <row r="3427" ht="13" customHeight="1">
      <c r="A3427" s="49" t="inlineStr">
        <is>
          <t>31891</t>
        </is>
      </c>
      <c r="B3427" s="49" t="inlineStr">
        <is>
          <t>39895</t>
        </is>
      </c>
      <c r="C3427" s="49" t="inlineStr">
        <is>
          <t>5×79×101</t>
        </is>
      </c>
      <c r="D3427" s="49" t="inlineStr">
        <is>
          <t>5</t>
        </is>
      </c>
      <c r="E3427" s="49" t="inlineStr"/>
      <c r="F3427" s="49" t="inlineStr"/>
    </row>
    <row r="3428" ht="13" customHeight="1">
      <c r="A3428" s="45" t="inlineStr">
        <is>
          <t>31907</t>
        </is>
      </c>
      <c r="B3428" s="45" t="inlineStr">
        <is>
          <t>28334</t>
        </is>
      </c>
      <c r="C3428" s="45" t="inlineStr">
        <is>
          <t>2×31×457</t>
        </is>
      </c>
      <c r="D3428" s="45" t="inlineStr">
        <is>
          <t>2</t>
        </is>
      </c>
      <c r="E3428" s="45" t="inlineStr"/>
      <c r="F3428" s="45" t="inlineStr"/>
    </row>
    <row r="3429" ht="13" customHeight="1">
      <c r="A3429" s="49" t="inlineStr">
        <is>
          <t>31957</t>
        </is>
      </c>
      <c r="B3429" s="49" t="inlineStr">
        <is>
          <t>16760</t>
        </is>
      </c>
      <c r="C3429" s="49" t="inlineStr">
        <is>
          <t>2×2×2×5×419</t>
        </is>
      </c>
      <c r="D3429" s="49" t="inlineStr">
        <is>
          <t>2·5</t>
        </is>
      </c>
      <c r="E3429" s="49" t="inlineStr"/>
      <c r="F3429" s="49" t="inlineStr"/>
    </row>
    <row r="3430" ht="13" customHeight="1">
      <c r="A3430" s="45" t="inlineStr">
        <is>
          <t>31963</t>
        </is>
      </c>
      <c r="B3430" s="45" t="inlineStr">
        <is>
          <t>12842</t>
        </is>
      </c>
      <c r="C3430" s="45" t="inlineStr">
        <is>
          <t>2×6421</t>
        </is>
      </c>
      <c r="D3430" s="45" t="inlineStr">
        <is>
          <t>2</t>
        </is>
      </c>
      <c r="E3430" s="45" t="inlineStr"/>
      <c r="F3430" s="45" t="inlineStr"/>
    </row>
    <row r="3431" ht="13" customHeight="1">
      <c r="A3431" s="49" t="inlineStr">
        <is>
          <t>31973</t>
        </is>
      </c>
      <c r="B3431" s="49" t="inlineStr">
        <is>
          <t>16953</t>
        </is>
      </c>
      <c r="C3431" s="49" t="inlineStr">
        <is>
          <t>3×5651</t>
        </is>
      </c>
      <c r="D3431" s="49" t="inlineStr">
        <is>
          <t>3</t>
        </is>
      </c>
      <c r="E3431" s="49" t="inlineStr"/>
      <c r="F3431" s="49" t="inlineStr"/>
    </row>
    <row r="3432" ht="13" customHeight="1">
      <c r="A3432" s="45" t="inlineStr">
        <is>
          <t>31981</t>
        </is>
      </c>
      <c r="B3432" s="45" t="inlineStr">
        <is>
          <t>33697</t>
        </is>
      </c>
      <c r="C3432" s="45" t="inlineStr">
        <is>
          <t>31×1087</t>
        </is>
      </c>
      <c r="D3432" s="45" t="inlineStr">
        <is>
          <t>—</t>
        </is>
      </c>
      <c r="E3432" s="45" t="inlineStr"/>
      <c r="F3432" s="45" t="inlineStr"/>
    </row>
    <row r="3433" ht="13" customHeight="1">
      <c r="A3433" s="50" t="inlineStr">
        <is>
          <t>31991</t>
        </is>
      </c>
      <c r="B3433" s="50" t="inlineStr">
        <is>
          <t>26711</t>
        </is>
      </c>
      <c r="C3433" s="50" t="inlineStr">
        <is>
          <t>26711</t>
        </is>
      </c>
      <c r="D3433" s="50" t="inlineStr">
        <is>
          <t>—</t>
        </is>
      </c>
      <c r="E3433" s="50" t="inlineStr"/>
      <c r="F3433" s="50" t="inlineStr"/>
    </row>
    <row r="3434" ht="13" customHeight="1">
      <c r="A3434" s="45" t="inlineStr">
        <is>
          <t>32003</t>
        </is>
      </c>
      <c r="B3434" s="45" t="inlineStr">
        <is>
          <t>9370</t>
        </is>
      </c>
      <c r="C3434" s="45" t="inlineStr">
        <is>
          <t>2×5×937</t>
        </is>
      </c>
      <c r="D3434" s="45" t="inlineStr">
        <is>
          <t>2·5</t>
        </is>
      </c>
      <c r="E3434" s="45" t="inlineStr"/>
      <c r="F3434" s="45" t="inlineStr"/>
    </row>
    <row r="3435" ht="13" customHeight="1">
      <c r="A3435" s="49" t="inlineStr">
        <is>
          <t>32009</t>
        </is>
      </c>
      <c r="B3435" s="49" t="inlineStr">
        <is>
          <t>26966</t>
        </is>
      </c>
      <c r="C3435" s="49" t="inlineStr">
        <is>
          <t>2×97×139</t>
        </is>
      </c>
      <c r="D3435" s="49" t="inlineStr">
        <is>
          <t>2</t>
        </is>
      </c>
      <c r="E3435" s="49" t="inlineStr"/>
      <c r="F3435" s="49" t="inlineStr"/>
    </row>
    <row r="3436" ht="13" customHeight="1">
      <c r="A3436" s="45" t="inlineStr">
        <is>
          <t>32027</t>
        </is>
      </c>
      <c r="B3436" s="45" t="inlineStr">
        <is>
          <t>14165</t>
        </is>
      </c>
      <c r="C3436" s="45" t="inlineStr">
        <is>
          <t>5×2833</t>
        </is>
      </c>
      <c r="D3436" s="45" t="inlineStr">
        <is>
          <t>5</t>
        </is>
      </c>
      <c r="E3436" s="45" t="inlineStr"/>
      <c r="F3436" s="45" t="inlineStr"/>
    </row>
    <row r="3437" ht="13" customHeight="1">
      <c r="A3437" s="51" t="inlineStr">
        <is>
          <t>32029</t>
        </is>
      </c>
      <c r="B3437" s="51" t="inlineStr">
        <is>
          <t>23978</t>
        </is>
      </c>
      <c r="C3437" s="51" t="inlineStr">
        <is>
          <t>2×19×631</t>
        </is>
      </c>
      <c r="D3437" s="51" t="inlineStr">
        <is>
          <t>2·19</t>
        </is>
      </c>
      <c r="E3437" s="51" t="inlineStr"/>
      <c r="F3437" s="51" t="inlineStr"/>
    </row>
    <row r="3438" ht="13" customHeight="1">
      <c r="A3438" s="45" t="inlineStr">
        <is>
          <t>32051</t>
        </is>
      </c>
      <c r="B3438" s="45" t="inlineStr">
        <is>
          <t>32245</t>
        </is>
      </c>
      <c r="C3438" s="45" t="inlineStr">
        <is>
          <t>5×6449</t>
        </is>
      </c>
      <c r="D3438" s="45" t="inlineStr">
        <is>
          <t>5</t>
        </is>
      </c>
      <c r="E3438" s="45" t="inlineStr"/>
      <c r="F3438" s="45" t="inlineStr"/>
    </row>
    <row r="3439" ht="13" customHeight="1">
      <c r="A3439" s="50" t="inlineStr">
        <is>
          <t>32057</t>
        </is>
      </c>
      <c r="B3439" s="50" t="inlineStr">
        <is>
          <t>24527</t>
        </is>
      </c>
      <c r="C3439" s="50" t="inlineStr">
        <is>
          <t>24527</t>
        </is>
      </c>
      <c r="D3439" s="50" t="inlineStr">
        <is>
          <t>—</t>
        </is>
      </c>
      <c r="E3439" s="50" t="inlineStr"/>
      <c r="F3439" s="50" t="inlineStr"/>
    </row>
    <row r="3440" ht="13" customHeight="1">
      <c r="A3440" s="45" t="inlineStr">
        <is>
          <t>32059</t>
        </is>
      </c>
      <c r="B3440" s="45" t="inlineStr">
        <is>
          <t>30627</t>
        </is>
      </c>
      <c r="C3440" s="45" t="inlineStr">
        <is>
          <t>3×3×41×83</t>
        </is>
      </c>
      <c r="D3440" s="45" t="inlineStr">
        <is>
          <t>3</t>
        </is>
      </c>
      <c r="E3440" s="45" t="inlineStr"/>
      <c r="F3440" s="45" t="inlineStr"/>
    </row>
    <row r="3441" ht="13" customHeight="1">
      <c r="A3441" s="41" t="inlineStr">
        <is>
          <t>32063</t>
        </is>
      </c>
      <c r="B3441" s="41" t="inlineStr">
        <is>
          <t>27443</t>
        </is>
      </c>
      <c r="C3441" s="41" t="inlineStr">
        <is>
          <t>13×2111</t>
        </is>
      </c>
      <c r="D3441" s="41" t="inlineStr">
        <is>
          <t>13</t>
        </is>
      </c>
      <c r="E3441" s="41" t="inlineStr"/>
      <c r="F3441" s="41" t="inlineStr"/>
    </row>
    <row r="3442" ht="13" customHeight="1">
      <c r="A3442" s="43" t="inlineStr">
        <is>
          <t>32069</t>
        </is>
      </c>
      <c r="B3442" s="43" t="inlineStr">
        <is>
          <t>36993</t>
        </is>
      </c>
      <c r="C3442" s="43" t="inlineStr">
        <is>
          <t>3×11×19×59</t>
        </is>
      </c>
      <c r="D3442" s="43" t="inlineStr">
        <is>
          <t>3·11·19</t>
        </is>
      </c>
      <c r="E3442" s="43" t="inlineStr"/>
      <c r="F3442" s="43" t="inlineStr"/>
    </row>
    <row r="3443" ht="13" customHeight="1">
      <c r="A3443" s="49" t="inlineStr">
        <is>
          <t>32077</t>
        </is>
      </c>
      <c r="B3443" s="49" t="inlineStr">
        <is>
          <t>11309</t>
        </is>
      </c>
      <c r="C3443" s="49" t="inlineStr">
        <is>
          <t>43×263</t>
        </is>
      </c>
      <c r="D3443" s="49" t="inlineStr">
        <is>
          <t>—</t>
        </is>
      </c>
      <c r="E3443" s="49" t="inlineStr"/>
      <c r="F3443" s="49" t="inlineStr"/>
    </row>
    <row r="3444" ht="13" customHeight="1">
      <c r="A3444" s="45" t="inlineStr">
        <is>
          <t>32083</t>
        </is>
      </c>
      <c r="B3444" s="45" t="inlineStr">
        <is>
          <t>29398</t>
        </is>
      </c>
      <c r="C3444" s="45" t="inlineStr">
        <is>
          <t>2×14699</t>
        </is>
      </c>
      <c r="D3444" s="45" t="inlineStr">
        <is>
          <t>2</t>
        </is>
      </c>
      <c r="E3444" s="45" t="inlineStr"/>
      <c r="F3444" s="45" t="inlineStr"/>
    </row>
    <row r="3445" ht="13" customHeight="1">
      <c r="A3445" s="41" t="inlineStr">
        <is>
          <t>32089</t>
        </is>
      </c>
      <c r="B3445" s="41" t="inlineStr">
        <is>
          <t>25517</t>
        </is>
      </c>
      <c r="C3445" s="41" t="inlineStr">
        <is>
          <t>17×19×79</t>
        </is>
      </c>
      <c r="D3445" s="41" t="inlineStr">
        <is>
          <t>17·19</t>
        </is>
      </c>
      <c r="E3445" s="41" t="inlineStr"/>
      <c r="F3445" s="41" t="inlineStr"/>
    </row>
    <row r="3446" ht="13" customHeight="1">
      <c r="A3446" s="51" t="inlineStr">
        <is>
          <t>32099</t>
        </is>
      </c>
      <c r="B3446" s="51" t="inlineStr">
        <is>
          <t>11647</t>
        </is>
      </c>
      <c r="C3446" s="51" t="inlineStr">
        <is>
          <t>19×613</t>
        </is>
      </c>
      <c r="D3446" s="51" t="inlineStr">
        <is>
          <t>19</t>
        </is>
      </c>
      <c r="E3446" s="51" t="inlineStr"/>
      <c r="F3446" s="51" t="inlineStr"/>
    </row>
    <row r="3447" ht="13" customHeight="1">
      <c r="A3447" s="49" t="inlineStr">
        <is>
          <t>32117</t>
        </is>
      </c>
      <c r="B3447" s="49" t="inlineStr">
        <is>
          <t>40215</t>
        </is>
      </c>
      <c r="C3447" s="49" t="inlineStr">
        <is>
          <t>3×5×7×383</t>
        </is>
      </c>
      <c r="D3447" s="49" t="inlineStr">
        <is>
          <t>3·5·7</t>
        </is>
      </c>
      <c r="E3447" s="49" t="inlineStr"/>
      <c r="F3447" s="49" t="inlineStr"/>
    </row>
    <row r="3448" ht="13" customHeight="1">
      <c r="A3448" s="45" t="inlineStr">
        <is>
          <t>32119</t>
        </is>
      </c>
      <c r="B3448" s="45" t="inlineStr">
        <is>
          <t>32498</t>
        </is>
      </c>
      <c r="C3448" s="45" t="inlineStr">
        <is>
          <t>2×16249</t>
        </is>
      </c>
      <c r="D3448" s="45" t="inlineStr">
        <is>
          <t>2</t>
        </is>
      </c>
      <c r="E3448" s="45" t="inlineStr"/>
      <c r="F3448" s="45" t="inlineStr"/>
    </row>
    <row r="3449" ht="13" customHeight="1">
      <c r="A3449" s="41" t="inlineStr">
        <is>
          <t>32141</t>
        </is>
      </c>
      <c r="B3449" s="41" t="inlineStr">
        <is>
          <t>5954</t>
        </is>
      </c>
      <c r="C3449" s="41" t="inlineStr">
        <is>
          <t>2×13×229</t>
        </is>
      </c>
      <c r="D3449" s="41" t="inlineStr">
        <is>
          <t>2·13</t>
        </is>
      </c>
      <c r="E3449" s="41" t="inlineStr"/>
      <c r="F3449" s="41" t="inlineStr"/>
    </row>
    <row r="3450" ht="13" customHeight="1">
      <c r="A3450" s="45" t="inlineStr">
        <is>
          <t>32143</t>
        </is>
      </c>
      <c r="B3450" s="45" t="inlineStr">
        <is>
          <t>15142</t>
        </is>
      </c>
      <c r="C3450" s="45" t="inlineStr">
        <is>
          <t>2×67×113</t>
        </is>
      </c>
      <c r="D3450" s="45" t="inlineStr">
        <is>
          <t>2</t>
        </is>
      </c>
      <c r="E3450" s="45" t="inlineStr"/>
      <c r="F3450" s="45" t="inlineStr"/>
    </row>
    <row r="3451" ht="13" customHeight="1">
      <c r="A3451" s="49" t="inlineStr">
        <is>
          <t>32159</t>
        </is>
      </c>
      <c r="B3451" s="49" t="inlineStr">
        <is>
          <t>1169</t>
        </is>
      </c>
      <c r="C3451" s="49" t="inlineStr">
        <is>
          <t>7×167</t>
        </is>
      </c>
      <c r="D3451" s="49" t="inlineStr">
        <is>
          <t>7</t>
        </is>
      </c>
      <c r="E3451" s="49" t="inlineStr"/>
      <c r="F3451" s="49" t="inlineStr"/>
    </row>
    <row r="3452" ht="13" customHeight="1">
      <c r="A3452" s="45" t="inlineStr">
        <is>
          <t>32173</t>
        </is>
      </c>
      <c r="B3452" s="45" t="inlineStr">
        <is>
          <t>6198</t>
        </is>
      </c>
      <c r="C3452" s="45" t="inlineStr">
        <is>
          <t>2×3×1033</t>
        </is>
      </c>
      <c r="D3452" s="45" t="inlineStr">
        <is>
          <t>2·3</t>
        </is>
      </c>
      <c r="E3452" s="45" t="inlineStr"/>
      <c r="F3452" s="45" t="inlineStr"/>
    </row>
    <row r="3453" ht="13" customHeight="1">
      <c r="A3453" s="51" t="inlineStr">
        <is>
          <t>32183</t>
        </is>
      </c>
      <c r="B3453" s="51" t="inlineStr">
        <is>
          <t>38912</t>
        </is>
      </c>
      <c r="C3453" s="51" t="inlineStr">
        <is>
          <t>2×2×2×2×2×2×2×2×2×2×2×19</t>
        </is>
      </c>
      <c r="D3453" s="51" t="inlineStr">
        <is>
          <t>2·19</t>
        </is>
      </c>
      <c r="E3453" s="51" t="inlineStr"/>
      <c r="F3453" s="51" t="inlineStr"/>
    </row>
    <row r="3454" ht="13" customHeight="1">
      <c r="A3454" s="41" t="inlineStr">
        <is>
          <t>32189</t>
        </is>
      </c>
      <c r="B3454" s="41" t="inlineStr">
        <is>
          <t>31915</t>
        </is>
      </c>
      <c r="C3454" s="41" t="inlineStr">
        <is>
          <t>5×13×491</t>
        </is>
      </c>
      <c r="D3454" s="41" t="inlineStr">
        <is>
          <t>5·13</t>
        </is>
      </c>
      <c r="E3454" s="41" t="inlineStr"/>
      <c r="F3454" s="41" t="inlineStr"/>
    </row>
    <row r="3455" ht="13" customHeight="1">
      <c r="A3455" s="49" t="inlineStr">
        <is>
          <t>32191</t>
        </is>
      </c>
      <c r="B3455" s="49" t="inlineStr">
        <is>
          <t>30581</t>
        </is>
      </c>
      <c r="C3455" s="49" t="inlineStr">
        <is>
          <t>53×577</t>
        </is>
      </c>
      <c r="D3455" s="49" t="inlineStr">
        <is>
          <t>—</t>
        </is>
      </c>
      <c r="E3455" s="49" t="inlineStr"/>
      <c r="F3455" s="49" t="inlineStr"/>
    </row>
    <row r="3456" ht="13" customHeight="1">
      <c r="A3456" s="43" t="inlineStr">
        <is>
          <t>32203</t>
        </is>
      </c>
      <c r="B3456" s="43" t="inlineStr">
        <is>
          <t>34188</t>
        </is>
      </c>
      <c r="C3456" s="43" t="inlineStr">
        <is>
          <t>2×2×3×7×11×37</t>
        </is>
      </c>
      <c r="D3456" s="43" t="inlineStr">
        <is>
          <t>2·3·7·11</t>
        </is>
      </c>
      <c r="E3456" s="43" t="inlineStr"/>
      <c r="F3456" s="43" t="inlineStr"/>
    </row>
    <row r="3457" ht="13" customHeight="1">
      <c r="A3457" s="49" t="inlineStr">
        <is>
          <t>32213</t>
        </is>
      </c>
      <c r="B3457" s="49" t="inlineStr">
        <is>
          <t>23538</t>
        </is>
      </c>
      <c r="C3457" s="49" t="inlineStr">
        <is>
          <t>2×3×3923</t>
        </is>
      </c>
      <c r="D3457" s="49" t="inlineStr">
        <is>
          <t>2·3</t>
        </is>
      </c>
      <c r="E3457" s="49" t="inlineStr"/>
      <c r="F3457" s="49" t="inlineStr"/>
    </row>
    <row r="3458" ht="13" customHeight="1">
      <c r="A3458" s="43" t="inlineStr">
        <is>
          <t>32233</t>
        </is>
      </c>
      <c r="B3458" s="43" t="inlineStr">
        <is>
          <t>6369</t>
        </is>
      </c>
      <c r="C3458" s="43" t="inlineStr">
        <is>
          <t>3×11×193</t>
        </is>
      </c>
      <c r="D3458" s="43" t="inlineStr">
        <is>
          <t>3·11</t>
        </is>
      </c>
      <c r="E3458" s="43" t="inlineStr"/>
      <c r="F3458" s="43" t="inlineStr"/>
    </row>
    <row r="3459" ht="13" customHeight="1">
      <c r="A3459" s="50" t="inlineStr">
        <is>
          <t>32237</t>
        </is>
      </c>
      <c r="B3459" s="50" t="inlineStr">
        <is>
          <t>3761</t>
        </is>
      </c>
      <c r="C3459" s="50" t="inlineStr">
        <is>
          <t>3761</t>
        </is>
      </c>
      <c r="D3459" s="50" t="inlineStr">
        <is>
          <t>—</t>
        </is>
      </c>
      <c r="E3459" s="50" t="inlineStr"/>
      <c r="F3459" s="50" t="inlineStr"/>
    </row>
    <row r="3460" ht="13" customHeight="1">
      <c r="A3460" s="50" t="inlineStr">
        <is>
          <t>32251</t>
        </is>
      </c>
      <c r="B3460" s="50" t="inlineStr">
        <is>
          <t>28499</t>
        </is>
      </c>
      <c r="C3460" s="50" t="inlineStr">
        <is>
          <t>28499</t>
        </is>
      </c>
      <c r="D3460" s="50" t="inlineStr">
        <is>
          <t>—</t>
        </is>
      </c>
      <c r="E3460" s="50" t="inlineStr"/>
      <c r="F3460" s="50" t="inlineStr"/>
    </row>
    <row r="3461" ht="13" customHeight="1">
      <c r="A3461" s="50" t="inlineStr">
        <is>
          <t>32257</t>
        </is>
      </c>
      <c r="B3461" s="50" t="inlineStr">
        <is>
          <t>35509</t>
        </is>
      </c>
      <c r="C3461" s="50" t="inlineStr">
        <is>
          <t>35509</t>
        </is>
      </c>
      <c r="D3461" s="50" t="inlineStr">
        <is>
          <t>—</t>
        </is>
      </c>
      <c r="E3461" s="50" t="inlineStr"/>
      <c r="F3461" s="50" t="inlineStr"/>
    </row>
    <row r="3462" ht="13" customHeight="1">
      <c r="A3462" s="45" t="inlineStr">
        <is>
          <t>32261</t>
        </is>
      </c>
      <c r="B3462" s="45" t="inlineStr">
        <is>
          <t>42410</t>
        </is>
      </c>
      <c r="C3462" s="45" t="inlineStr">
        <is>
          <t>2×5×4241</t>
        </is>
      </c>
      <c r="D3462" s="45" t="inlineStr">
        <is>
          <t>2·5</t>
        </is>
      </c>
      <c r="E3462" s="45" t="inlineStr"/>
      <c r="F3462" s="45" t="inlineStr"/>
    </row>
    <row r="3463" ht="13" customHeight="1">
      <c r="A3463" s="49" t="inlineStr">
        <is>
          <t>32297</t>
        </is>
      </c>
      <c r="B3463" s="49" t="inlineStr">
        <is>
          <t>13744</t>
        </is>
      </c>
      <c r="C3463" s="49" t="inlineStr">
        <is>
          <t>2×2×2×2×859</t>
        </is>
      </c>
      <c r="D3463" s="49" t="inlineStr">
        <is>
          <t>2</t>
        </is>
      </c>
      <c r="E3463" s="49" t="inlineStr"/>
      <c r="F3463" s="49" t="inlineStr"/>
    </row>
    <row r="3464" ht="13" customHeight="1">
      <c r="A3464" s="50" t="inlineStr">
        <is>
          <t>32299</t>
        </is>
      </c>
      <c r="B3464" s="50" t="inlineStr">
        <is>
          <t>2731</t>
        </is>
      </c>
      <c r="C3464" s="50" t="inlineStr">
        <is>
          <t>2731</t>
        </is>
      </c>
      <c r="D3464" s="50" t="inlineStr">
        <is>
          <t>—</t>
        </is>
      </c>
      <c r="E3464" s="50" t="inlineStr"/>
      <c r="F3464" s="50" t="inlineStr"/>
    </row>
    <row r="3465" ht="13" customHeight="1">
      <c r="A3465" s="50" t="inlineStr">
        <is>
          <t>32303</t>
        </is>
      </c>
      <c r="B3465" s="50" t="inlineStr">
        <is>
          <t>2971</t>
        </is>
      </c>
      <c r="C3465" s="50" t="inlineStr">
        <is>
          <t>2971</t>
        </is>
      </c>
      <c r="D3465" s="50" t="inlineStr">
        <is>
          <t>—</t>
        </is>
      </c>
      <c r="E3465" s="50" t="inlineStr"/>
      <c r="F3465" s="50" t="inlineStr"/>
    </row>
    <row r="3466" ht="13" customHeight="1">
      <c r="A3466" s="50" t="inlineStr">
        <is>
          <t>32309</t>
        </is>
      </c>
      <c r="B3466" s="50" t="inlineStr">
        <is>
          <t>2749</t>
        </is>
      </c>
      <c r="C3466" s="50" t="inlineStr">
        <is>
          <t>2749</t>
        </is>
      </c>
      <c r="D3466" s="50" t="inlineStr">
        <is>
          <t>—</t>
        </is>
      </c>
      <c r="E3466" s="50" t="inlineStr"/>
      <c r="F3466" s="50" t="inlineStr"/>
    </row>
    <row r="3467" ht="13" customHeight="1">
      <c r="A3467" s="50" t="inlineStr">
        <is>
          <t>32321</t>
        </is>
      </c>
      <c r="B3467" s="50" t="inlineStr">
        <is>
          <t>16921</t>
        </is>
      </c>
      <c r="C3467" s="50" t="inlineStr">
        <is>
          <t>16921</t>
        </is>
      </c>
      <c r="D3467" s="50" t="inlineStr">
        <is>
          <t>—</t>
        </is>
      </c>
      <c r="E3467" s="50" t="inlineStr"/>
      <c r="F3467" s="50" t="inlineStr"/>
    </row>
    <row r="3468" ht="13" customHeight="1">
      <c r="A3468" s="43" t="inlineStr">
        <is>
          <t>32323</t>
        </is>
      </c>
      <c r="B3468" s="43" t="inlineStr">
        <is>
          <t>8404</t>
        </is>
      </c>
      <c r="C3468" s="43" t="inlineStr">
        <is>
          <t>2×2×11×191</t>
        </is>
      </c>
      <c r="D3468" s="43" t="inlineStr">
        <is>
          <t>2·11</t>
        </is>
      </c>
      <c r="E3468" s="43" t="inlineStr"/>
      <c r="F3468" s="43" t="inlineStr"/>
    </row>
    <row r="3469" ht="13" customHeight="1">
      <c r="A3469" s="49" t="inlineStr">
        <is>
          <t>32327</t>
        </is>
      </c>
      <c r="B3469" s="49" t="inlineStr">
        <is>
          <t>43535</t>
        </is>
      </c>
      <c r="C3469" s="49" t="inlineStr">
        <is>
          <t>5×8707</t>
        </is>
      </c>
      <c r="D3469" s="49" t="inlineStr">
        <is>
          <t>5</t>
        </is>
      </c>
      <c r="E3469" s="49" t="inlineStr"/>
      <c r="F3469" s="49" t="inlineStr"/>
    </row>
    <row r="3470" ht="13" customHeight="1">
      <c r="A3470" s="45" t="inlineStr">
        <is>
          <t>32341</t>
        </is>
      </c>
      <c r="B3470" s="45" t="inlineStr">
        <is>
          <t>29439</t>
        </is>
      </c>
      <c r="C3470" s="45" t="inlineStr">
        <is>
          <t>3×3×3271</t>
        </is>
      </c>
      <c r="D3470" s="45" t="inlineStr">
        <is>
          <t>3</t>
        </is>
      </c>
      <c r="E3470" s="45" t="inlineStr"/>
      <c r="F3470" s="45" t="inlineStr"/>
    </row>
    <row r="3471" ht="13" customHeight="1">
      <c r="A3471" s="49" t="inlineStr">
        <is>
          <t>32353</t>
        </is>
      </c>
      <c r="B3471" s="49" t="inlineStr">
        <is>
          <t>20234</t>
        </is>
      </c>
      <c r="C3471" s="49" t="inlineStr">
        <is>
          <t>2×67×151</t>
        </is>
      </c>
      <c r="D3471" s="49" t="inlineStr">
        <is>
          <t>2</t>
        </is>
      </c>
      <c r="E3471" s="49" t="inlineStr"/>
      <c r="F3471" s="49" t="inlineStr"/>
    </row>
    <row r="3472" ht="13" customHeight="1">
      <c r="A3472" s="45" t="inlineStr">
        <is>
          <t>32359</t>
        </is>
      </c>
      <c r="B3472" s="45" t="inlineStr">
        <is>
          <t>4324</t>
        </is>
      </c>
      <c r="C3472" s="45" t="inlineStr">
        <is>
          <t>2×2×23×47</t>
        </is>
      </c>
      <c r="D3472" s="45" t="inlineStr">
        <is>
          <t>2</t>
        </is>
      </c>
      <c r="E3472" s="45" t="inlineStr"/>
      <c r="F3472" s="45" t="inlineStr"/>
    </row>
    <row r="3473" ht="13" customHeight="1">
      <c r="A3473" s="49" t="inlineStr">
        <is>
          <t>32363</t>
        </is>
      </c>
      <c r="B3473" s="49" t="inlineStr">
        <is>
          <t>7003</t>
        </is>
      </c>
      <c r="C3473" s="49" t="inlineStr">
        <is>
          <t>47×149</t>
        </is>
      </c>
      <c r="D3473" s="49" t="inlineStr">
        <is>
          <t>—</t>
        </is>
      </c>
      <c r="E3473" s="49" t="inlineStr"/>
      <c r="F3473" s="49" t="inlineStr"/>
    </row>
    <row r="3474" ht="13" customHeight="1">
      <c r="A3474" s="45" t="inlineStr">
        <is>
          <t>32369</t>
        </is>
      </c>
      <c r="B3474" s="45" t="inlineStr">
        <is>
          <t>31029</t>
        </is>
      </c>
      <c r="C3474" s="45" t="inlineStr">
        <is>
          <t>3×10343</t>
        </is>
      </c>
      <c r="D3474" s="45" t="inlineStr">
        <is>
          <t>3</t>
        </is>
      </c>
      <c r="E3474" s="45" t="inlineStr"/>
      <c r="F3474" s="45" t="inlineStr"/>
    </row>
    <row r="3475" ht="13" customHeight="1">
      <c r="A3475" s="41" t="inlineStr">
        <is>
          <t>32371</t>
        </is>
      </c>
      <c r="B3475" s="41" t="inlineStr">
        <is>
          <t>37145</t>
        </is>
      </c>
      <c r="C3475" s="41" t="inlineStr">
        <is>
          <t>5×17×19×23</t>
        </is>
      </c>
      <c r="D3475" s="41" t="inlineStr">
        <is>
          <t>5·17·19</t>
        </is>
      </c>
      <c r="E3475" s="41" t="inlineStr"/>
      <c r="F3475" s="41" t="inlineStr"/>
    </row>
    <row r="3476" ht="13" customHeight="1">
      <c r="A3476" s="45" t="inlineStr">
        <is>
          <t>32377</t>
        </is>
      </c>
      <c r="B3476" s="45" t="inlineStr">
        <is>
          <t>41675</t>
        </is>
      </c>
      <c r="C3476" s="45" t="inlineStr">
        <is>
          <t>5×5×1667</t>
        </is>
      </c>
      <c r="D3476" s="45" t="inlineStr">
        <is>
          <t>5</t>
        </is>
      </c>
      <c r="E3476" s="45" t="inlineStr"/>
      <c r="F3476" s="45" t="inlineStr"/>
    </row>
    <row r="3477" ht="13" customHeight="1">
      <c r="A3477" s="49" t="inlineStr">
        <is>
          <t>32381</t>
        </is>
      </c>
      <c r="B3477" s="49" t="inlineStr">
        <is>
          <t>12640</t>
        </is>
      </c>
      <c r="C3477" s="49" t="inlineStr">
        <is>
          <t>2×2×2×2×2×5×79</t>
        </is>
      </c>
      <c r="D3477" s="49" t="inlineStr">
        <is>
          <t>2·5</t>
        </is>
      </c>
      <c r="E3477" s="49" t="inlineStr"/>
      <c r="F3477" s="49" t="inlineStr"/>
    </row>
    <row r="3478" ht="13" customHeight="1">
      <c r="A3478" s="45" t="inlineStr">
        <is>
          <t>32401</t>
        </is>
      </c>
      <c r="B3478" s="45" t="inlineStr">
        <is>
          <t>26560</t>
        </is>
      </c>
      <c r="C3478" s="45" t="inlineStr">
        <is>
          <t>2×2×2×2×2×2×5×83</t>
        </is>
      </c>
      <c r="D3478" s="45" t="inlineStr">
        <is>
          <t>2·5</t>
        </is>
      </c>
      <c r="E3478" s="45" t="inlineStr"/>
      <c r="F3478" s="45" t="inlineStr"/>
    </row>
    <row r="3479" ht="13" customHeight="1">
      <c r="A3479" s="49" t="inlineStr">
        <is>
          <t>32411</t>
        </is>
      </c>
      <c r="B3479" s="49" t="inlineStr">
        <is>
          <t>30035</t>
        </is>
      </c>
      <c r="C3479" s="49" t="inlineStr">
        <is>
          <t>5×6007</t>
        </is>
      </c>
      <c r="D3479" s="49" t="inlineStr">
        <is>
          <t>5</t>
        </is>
      </c>
      <c r="E3479" s="49" t="inlineStr"/>
      <c r="F3479" s="49" t="inlineStr"/>
    </row>
    <row r="3480" ht="13" customHeight="1">
      <c r="A3480" s="51" t="inlineStr">
        <is>
          <t>32413</t>
        </is>
      </c>
      <c r="B3480" s="51" t="inlineStr">
        <is>
          <t>3686</t>
        </is>
      </c>
      <c r="C3480" s="51" t="inlineStr">
        <is>
          <t>2×19×97</t>
        </is>
      </c>
      <c r="D3480" s="51" t="inlineStr">
        <is>
          <t>2·19</t>
        </is>
      </c>
      <c r="E3480" s="51" t="inlineStr"/>
      <c r="F3480" s="51" t="inlineStr"/>
    </row>
    <row r="3481" ht="13" customHeight="1">
      <c r="A3481" s="49" t="inlineStr">
        <is>
          <t>32423</t>
        </is>
      </c>
      <c r="B3481" s="49" t="inlineStr">
        <is>
          <t>43122</t>
        </is>
      </c>
      <c r="C3481" s="49" t="inlineStr">
        <is>
          <t>2×3×7187</t>
        </is>
      </c>
      <c r="D3481" s="49" t="inlineStr">
        <is>
          <t>2·3</t>
        </is>
      </c>
      <c r="E3481" s="49" t="inlineStr"/>
      <c r="F3481" s="49" t="inlineStr"/>
    </row>
    <row r="3482" ht="13" customHeight="1">
      <c r="A3482" s="45" t="inlineStr">
        <is>
          <t>32429</t>
        </is>
      </c>
      <c r="B3482" s="45" t="inlineStr">
        <is>
          <t>23401</t>
        </is>
      </c>
      <c r="C3482" s="45" t="inlineStr">
        <is>
          <t>7×3343</t>
        </is>
      </c>
      <c r="D3482" s="45" t="inlineStr">
        <is>
          <t>7</t>
        </is>
      </c>
      <c r="E3482" s="45" t="inlineStr"/>
      <c r="F3482" s="45" t="inlineStr"/>
    </row>
    <row r="3483" ht="13" customHeight="1">
      <c r="A3483" s="50" t="inlineStr">
        <is>
          <t>32441</t>
        </is>
      </c>
      <c r="B3483" s="50" t="inlineStr">
        <is>
          <t>16087</t>
        </is>
      </c>
      <c r="C3483" s="50" t="inlineStr">
        <is>
          <t>16087</t>
        </is>
      </c>
      <c r="D3483" s="50" t="inlineStr">
        <is>
          <t>—</t>
        </is>
      </c>
      <c r="E3483" s="50" t="inlineStr"/>
      <c r="F3483" s="50" t="inlineStr"/>
    </row>
    <row r="3484" ht="13" customHeight="1">
      <c r="A3484" s="50" t="inlineStr">
        <is>
          <t>32443</t>
        </is>
      </c>
      <c r="B3484" s="50" t="inlineStr">
        <is>
          <t>43499</t>
        </is>
      </c>
      <c r="C3484" s="50" t="inlineStr">
        <is>
          <t>43499</t>
        </is>
      </c>
      <c r="D3484" s="50" t="inlineStr">
        <is>
          <t>—</t>
        </is>
      </c>
      <c r="E3484" s="50" t="inlineStr"/>
      <c r="F3484" s="50" t="inlineStr"/>
    </row>
    <row r="3485" ht="13" customHeight="1">
      <c r="A3485" s="49" t="inlineStr">
        <is>
          <t>32467</t>
        </is>
      </c>
      <c r="B3485" s="49" t="inlineStr">
        <is>
          <t>23961</t>
        </is>
      </c>
      <c r="C3485" s="49" t="inlineStr">
        <is>
          <t>3×7×7×163</t>
        </is>
      </c>
      <c r="D3485" s="49" t="inlineStr">
        <is>
          <t>3·7</t>
        </is>
      </c>
      <c r="E3485" s="49" t="inlineStr"/>
      <c r="F3485" s="49" t="inlineStr"/>
    </row>
    <row r="3486" ht="13" customHeight="1">
      <c r="A3486" s="50" t="inlineStr">
        <is>
          <t>32479</t>
        </is>
      </c>
      <c r="B3486" s="50" t="inlineStr">
        <is>
          <t>8123</t>
        </is>
      </c>
      <c r="C3486" s="50" t="inlineStr">
        <is>
          <t>8123</t>
        </is>
      </c>
      <c r="D3486" s="50" t="inlineStr">
        <is>
          <t>—</t>
        </is>
      </c>
      <c r="E3486" s="50" t="inlineStr"/>
      <c r="F3486" s="50" t="inlineStr"/>
    </row>
    <row r="3487" ht="13" customHeight="1">
      <c r="A3487" s="43" t="inlineStr">
        <is>
          <t>32491</t>
        </is>
      </c>
      <c r="B3487" s="43" t="inlineStr">
        <is>
          <t>35266</t>
        </is>
      </c>
      <c r="C3487" s="43" t="inlineStr">
        <is>
          <t>2×7×11×229</t>
        </is>
      </c>
      <c r="D3487" s="43" t="inlineStr">
        <is>
          <t>2·7·11</t>
        </is>
      </c>
      <c r="E3487" s="43" t="inlineStr"/>
      <c r="F3487" s="43" t="inlineStr"/>
    </row>
    <row r="3488" ht="13" customHeight="1">
      <c r="A3488" s="45" t="inlineStr">
        <is>
          <t>32497</t>
        </is>
      </c>
      <c r="B3488" s="45" t="inlineStr">
        <is>
          <t>13201</t>
        </is>
      </c>
      <c r="C3488" s="45" t="inlineStr">
        <is>
          <t>43×307</t>
        </is>
      </c>
      <c r="D3488" s="45" t="inlineStr">
        <is>
          <t>—</t>
        </is>
      </c>
      <c r="E3488" s="45" t="inlineStr"/>
      <c r="F3488" s="45" t="inlineStr"/>
    </row>
    <row r="3489" ht="13" customHeight="1">
      <c r="A3489" s="49" t="inlineStr">
        <is>
          <t>32503</t>
        </is>
      </c>
      <c r="B3489" s="49" t="inlineStr">
        <is>
          <t>186</t>
        </is>
      </c>
      <c r="C3489" s="49" t="inlineStr">
        <is>
          <t>2×3×31</t>
        </is>
      </c>
      <c r="D3489" s="49" t="inlineStr">
        <is>
          <t>2·3</t>
        </is>
      </c>
      <c r="E3489" s="49" t="inlineStr"/>
      <c r="F3489" s="49" t="inlineStr"/>
    </row>
    <row r="3490" ht="13" customHeight="1">
      <c r="A3490" s="45" t="inlineStr">
        <is>
          <t>32507</t>
        </is>
      </c>
      <c r="B3490" s="45" t="inlineStr">
        <is>
          <t>26804</t>
        </is>
      </c>
      <c r="C3490" s="45" t="inlineStr">
        <is>
          <t>2×2×6701</t>
        </is>
      </c>
      <c r="D3490" s="45" t="inlineStr">
        <is>
          <t>2</t>
        </is>
      </c>
      <c r="E3490" s="45" t="inlineStr"/>
      <c r="F3490" s="45" t="inlineStr"/>
    </row>
    <row r="3491" ht="13" customHeight="1">
      <c r="A3491" s="49" t="inlineStr">
        <is>
          <t>32531</t>
        </is>
      </c>
      <c r="B3491" s="49" t="inlineStr">
        <is>
          <t>21628</t>
        </is>
      </c>
      <c r="C3491" s="49" t="inlineStr">
        <is>
          <t>2×2×5407</t>
        </is>
      </c>
      <c r="D3491" s="49" t="inlineStr">
        <is>
          <t>2</t>
        </is>
      </c>
      <c r="E3491" s="49" t="inlineStr"/>
      <c r="F3491" s="49" t="inlineStr"/>
    </row>
    <row r="3492" ht="13" customHeight="1">
      <c r="A3492" s="41" t="inlineStr">
        <is>
          <t>32533</t>
        </is>
      </c>
      <c r="B3492" s="41" t="inlineStr">
        <is>
          <t>5824</t>
        </is>
      </c>
      <c r="C3492" s="41" t="inlineStr">
        <is>
          <t>2×2×2×2×2×2×7×13</t>
        </is>
      </c>
      <c r="D3492" s="41" t="inlineStr">
        <is>
          <t>2·7·13</t>
        </is>
      </c>
      <c r="E3492" s="41" t="inlineStr"/>
      <c r="F3492" s="41" t="inlineStr"/>
    </row>
    <row r="3493" ht="13" customHeight="1">
      <c r="A3493" s="49" t="inlineStr">
        <is>
          <t>32537</t>
        </is>
      </c>
      <c r="B3493" s="49" t="inlineStr">
        <is>
          <t>10168</t>
        </is>
      </c>
      <c r="C3493" s="49" t="inlineStr">
        <is>
          <t>2×2×2×31×41</t>
        </is>
      </c>
      <c r="D3493" s="49" t="inlineStr">
        <is>
          <t>2</t>
        </is>
      </c>
      <c r="E3493" s="49" t="inlineStr"/>
      <c r="F3493" s="49" t="inlineStr"/>
    </row>
    <row r="3494" ht="13" customHeight="1">
      <c r="A3494" s="45" t="inlineStr">
        <is>
          <t>32561</t>
        </is>
      </c>
      <c r="B3494" s="45" t="inlineStr">
        <is>
          <t>33036</t>
        </is>
      </c>
      <c r="C3494" s="45" t="inlineStr">
        <is>
          <t>2×2×3×2753</t>
        </is>
      </c>
      <c r="D3494" s="45" t="inlineStr">
        <is>
          <t>2·3</t>
        </is>
      </c>
      <c r="E3494" s="45" t="inlineStr"/>
      <c r="F3494" s="45" t="inlineStr"/>
    </row>
    <row r="3495" ht="13" customHeight="1">
      <c r="A3495" s="49" t="inlineStr">
        <is>
          <t>32563</t>
        </is>
      </c>
      <c r="B3495" s="49" t="inlineStr">
        <is>
          <t>7794</t>
        </is>
      </c>
      <c r="C3495" s="49" t="inlineStr">
        <is>
          <t>2×3×3×433</t>
        </is>
      </c>
      <c r="D3495" s="49" t="inlineStr">
        <is>
          <t>2·3</t>
        </is>
      </c>
      <c r="E3495" s="49" t="inlineStr"/>
      <c r="F3495" s="49" t="inlineStr"/>
    </row>
    <row r="3496" ht="13" customHeight="1">
      <c r="A3496" s="45" t="inlineStr">
        <is>
          <t>32569</t>
        </is>
      </c>
      <c r="B3496" s="45" t="inlineStr">
        <is>
          <t>6923</t>
        </is>
      </c>
      <c r="C3496" s="45" t="inlineStr">
        <is>
          <t>7×23×43</t>
        </is>
      </c>
      <c r="D3496" s="45" t="inlineStr">
        <is>
          <t>7</t>
        </is>
      </c>
      <c r="E3496" s="45" t="inlineStr"/>
      <c r="F3496" s="45" t="inlineStr"/>
    </row>
    <row r="3497" ht="13" customHeight="1">
      <c r="A3497" s="49" t="inlineStr">
        <is>
          <t>32573</t>
        </is>
      </c>
      <c r="B3497" s="49" t="inlineStr">
        <is>
          <t>10662</t>
        </is>
      </c>
      <c r="C3497" s="49" t="inlineStr">
        <is>
          <t>2×3×1777</t>
        </is>
      </c>
      <c r="D3497" s="49" t="inlineStr">
        <is>
          <t>2·3</t>
        </is>
      </c>
      <c r="E3497" s="49" t="inlineStr"/>
      <c r="F3497" s="49" t="inlineStr"/>
    </row>
    <row r="3498" ht="13" customHeight="1">
      <c r="A3498" s="45" t="inlineStr">
        <is>
          <t>32579</t>
        </is>
      </c>
      <c r="B3498" s="45" t="inlineStr">
        <is>
          <t>301</t>
        </is>
      </c>
      <c r="C3498" s="45" t="inlineStr">
        <is>
          <t>7×43</t>
        </is>
      </c>
      <c r="D3498" s="45" t="inlineStr">
        <is>
          <t>7</t>
        </is>
      </c>
      <c r="E3498" s="45" t="inlineStr"/>
      <c r="F3498" s="45" t="inlineStr"/>
    </row>
    <row r="3499" ht="13" customHeight="1">
      <c r="A3499" s="49" t="inlineStr">
        <is>
          <t>32587</t>
        </is>
      </c>
      <c r="B3499" s="49" t="inlineStr">
        <is>
          <t>27167</t>
        </is>
      </c>
      <c r="C3499" s="49" t="inlineStr">
        <is>
          <t>7×3881</t>
        </is>
      </c>
      <c r="D3499" s="49" t="inlineStr">
        <is>
          <t>7</t>
        </is>
      </c>
      <c r="E3499" s="49" t="inlineStr"/>
      <c r="F3499" s="49" t="inlineStr"/>
    </row>
    <row r="3500" ht="13" customHeight="1">
      <c r="A3500" s="50" t="inlineStr">
        <is>
          <t>32603</t>
        </is>
      </c>
      <c r="B3500" s="50" t="inlineStr">
        <is>
          <t>103</t>
        </is>
      </c>
      <c r="C3500" s="50" t="inlineStr">
        <is>
          <t>103</t>
        </is>
      </c>
      <c r="D3500" s="50" t="inlineStr">
        <is>
          <t>—</t>
        </is>
      </c>
      <c r="E3500" s="50" t="inlineStr"/>
      <c r="F3500" s="50" t="inlineStr"/>
    </row>
    <row r="3501" ht="13" customHeight="1">
      <c r="A3501" s="49" t="inlineStr">
        <is>
          <t>32609</t>
        </is>
      </c>
      <c r="B3501" s="49" t="inlineStr">
        <is>
          <t>38365</t>
        </is>
      </c>
      <c r="C3501" s="49" t="inlineStr">
        <is>
          <t>5×7673</t>
        </is>
      </c>
      <c r="D3501" s="49" t="inlineStr">
        <is>
          <t>5</t>
        </is>
      </c>
      <c r="E3501" s="49" t="inlineStr"/>
      <c r="F3501" s="49" t="inlineStr"/>
    </row>
    <row r="3502" ht="13" customHeight="1">
      <c r="A3502" s="45" t="inlineStr">
        <is>
          <t>32611</t>
        </is>
      </c>
      <c r="B3502" s="45" t="inlineStr">
        <is>
          <t>3204</t>
        </is>
      </c>
      <c r="C3502" s="45" t="inlineStr">
        <is>
          <t>2×2×3×3×89</t>
        </is>
      </c>
      <c r="D3502" s="45" t="inlineStr">
        <is>
          <t>2·3</t>
        </is>
      </c>
      <c r="E3502" s="45" t="inlineStr"/>
      <c r="F3502" s="45" t="inlineStr"/>
    </row>
    <row r="3503" ht="13" customHeight="1">
      <c r="A3503" s="49" t="inlineStr">
        <is>
          <t>32621</t>
        </is>
      </c>
      <c r="B3503" s="49" t="inlineStr">
        <is>
          <t>3368</t>
        </is>
      </c>
      <c r="C3503" s="49" t="inlineStr">
        <is>
          <t>2×2×2×421</t>
        </is>
      </c>
      <c r="D3503" s="49" t="inlineStr">
        <is>
          <t>2</t>
        </is>
      </c>
      <c r="E3503" s="49" t="inlineStr"/>
      <c r="F3503" s="49" t="inlineStr"/>
    </row>
    <row r="3504" ht="13" customHeight="1">
      <c r="A3504" s="41" t="inlineStr">
        <is>
          <t>32633</t>
        </is>
      </c>
      <c r="B3504" s="41" t="inlineStr">
        <is>
          <t>1820</t>
        </is>
      </c>
      <c r="C3504" s="41" t="inlineStr">
        <is>
          <t>2×2×5×7×13</t>
        </is>
      </c>
      <c r="D3504" s="41" t="inlineStr">
        <is>
          <t>2·5·7·13</t>
        </is>
      </c>
      <c r="E3504" s="41" t="inlineStr"/>
      <c r="F3504" s="41" t="inlineStr"/>
    </row>
    <row r="3505" ht="13" customHeight="1">
      <c r="A3505" s="49" t="inlineStr">
        <is>
          <t>32647</t>
        </is>
      </c>
      <c r="B3505" s="49" t="inlineStr">
        <is>
          <t>26178</t>
        </is>
      </c>
      <c r="C3505" s="49" t="inlineStr">
        <is>
          <t>2×3×4363</t>
        </is>
      </c>
      <c r="D3505" s="49" t="inlineStr">
        <is>
          <t>2·3</t>
        </is>
      </c>
      <c r="E3505" s="49" t="inlineStr"/>
      <c r="F3505" s="49" t="inlineStr"/>
    </row>
    <row r="3506" ht="13" customHeight="1">
      <c r="A3506" s="45" t="inlineStr">
        <is>
          <t>32653</t>
        </is>
      </c>
      <c r="B3506" s="45" t="inlineStr">
        <is>
          <t>37496</t>
        </is>
      </c>
      <c r="C3506" s="45" t="inlineStr">
        <is>
          <t>2×2×2×43×109</t>
        </is>
      </c>
      <c r="D3506" s="45" t="inlineStr">
        <is>
          <t>2</t>
        </is>
      </c>
      <c r="E3506" s="45" t="inlineStr"/>
      <c r="F3506" s="45" t="inlineStr"/>
    </row>
    <row r="3507" ht="13" customHeight="1">
      <c r="A3507" s="49" t="inlineStr">
        <is>
          <t>32687</t>
        </is>
      </c>
      <c r="B3507" s="49" t="inlineStr">
        <is>
          <t>26473</t>
        </is>
      </c>
      <c r="C3507" s="49" t="inlineStr">
        <is>
          <t>23×1151</t>
        </is>
      </c>
      <c r="D3507" s="49" t="inlineStr">
        <is>
          <t>—</t>
        </is>
      </c>
      <c r="E3507" s="49" t="inlineStr"/>
      <c r="F3507" s="49" t="inlineStr"/>
    </row>
    <row r="3508" ht="13" customHeight="1">
      <c r="A3508" s="45" t="inlineStr">
        <is>
          <t>32693</t>
        </is>
      </c>
      <c r="B3508" s="45" t="inlineStr">
        <is>
          <t>940</t>
        </is>
      </c>
      <c r="C3508" s="45" t="inlineStr">
        <is>
          <t>2×2×5×47</t>
        </is>
      </c>
      <c r="D3508" s="45" t="inlineStr">
        <is>
          <t>2·5</t>
        </is>
      </c>
      <c r="E3508" s="45" t="inlineStr"/>
      <c r="F3508" s="45" t="inlineStr"/>
    </row>
    <row r="3509" ht="13" customHeight="1">
      <c r="A3509" s="49" t="inlineStr">
        <is>
          <t>32707</t>
        </is>
      </c>
      <c r="B3509" s="49" t="inlineStr">
        <is>
          <t>33669</t>
        </is>
      </c>
      <c r="C3509" s="49" t="inlineStr">
        <is>
          <t>3×3×3×29×43</t>
        </is>
      </c>
      <c r="D3509" s="49" t="inlineStr">
        <is>
          <t>3</t>
        </is>
      </c>
      <c r="E3509" s="49" t="inlineStr"/>
      <c r="F3509" s="49" t="inlineStr"/>
    </row>
    <row r="3510" ht="13" customHeight="1">
      <c r="A3510" s="50" t="inlineStr">
        <is>
          <t>32713</t>
        </is>
      </c>
      <c r="B3510" s="50" t="inlineStr">
        <is>
          <t>34483</t>
        </is>
      </c>
      <c r="C3510" s="50" t="inlineStr">
        <is>
          <t>34483</t>
        </is>
      </c>
      <c r="D3510" s="50" t="inlineStr">
        <is>
          <t>—</t>
        </is>
      </c>
      <c r="E3510" s="50" t="inlineStr"/>
      <c r="F3510" s="50" t="inlineStr"/>
    </row>
    <row r="3511" ht="13" customHeight="1">
      <c r="A3511" s="49" t="inlineStr">
        <is>
          <t>32717</t>
        </is>
      </c>
      <c r="B3511" s="49" t="inlineStr">
        <is>
          <t>3632</t>
        </is>
      </c>
      <c r="C3511" s="49" t="inlineStr">
        <is>
          <t>2×2×2×2×227</t>
        </is>
      </c>
      <c r="D3511" s="49" t="inlineStr">
        <is>
          <t>2</t>
        </is>
      </c>
      <c r="E3511" s="49" t="inlineStr"/>
      <c r="F3511" s="49" t="inlineStr"/>
    </row>
    <row r="3512" ht="13" customHeight="1">
      <c r="A3512" s="45" t="inlineStr">
        <is>
          <t>32719</t>
        </is>
      </c>
      <c r="B3512" s="45" t="inlineStr">
        <is>
          <t>24367</t>
        </is>
      </c>
      <c r="C3512" s="45" t="inlineStr">
        <is>
          <t>7×59×59</t>
        </is>
      </c>
      <c r="D3512" s="45" t="inlineStr">
        <is>
          <t>7</t>
        </is>
      </c>
      <c r="E3512" s="45" t="inlineStr"/>
      <c r="F3512" s="45" t="inlineStr"/>
    </row>
    <row r="3513" ht="13" customHeight="1">
      <c r="A3513" s="49" t="inlineStr">
        <is>
          <t>32749</t>
        </is>
      </c>
      <c r="B3513" s="49" t="inlineStr">
        <is>
          <t>24784</t>
        </is>
      </c>
      <c r="C3513" s="49" t="inlineStr">
        <is>
          <t>2×2×2×2×1549</t>
        </is>
      </c>
      <c r="D3513" s="49" t="inlineStr">
        <is>
          <t>2</t>
        </is>
      </c>
      <c r="E3513" s="49" t="inlineStr"/>
      <c r="F3513" s="49" t="inlineStr"/>
    </row>
    <row r="3514" ht="13" customHeight="1">
      <c r="A3514" s="45" t="inlineStr">
        <is>
          <t>32771</t>
        </is>
      </c>
      <c r="B3514" s="45" t="inlineStr">
        <is>
          <t>3678</t>
        </is>
      </c>
      <c r="C3514" s="45" t="inlineStr">
        <is>
          <t>2×3×613</t>
        </is>
      </c>
      <c r="D3514" s="45" t="inlineStr">
        <is>
          <t>2·3</t>
        </is>
      </c>
      <c r="E3514" s="45" t="inlineStr"/>
      <c r="F3514" s="45" t="inlineStr"/>
    </row>
    <row r="3515" ht="13" customHeight="1">
      <c r="A3515" s="49" t="inlineStr">
        <is>
          <t>32779</t>
        </is>
      </c>
      <c r="B3515" s="49" t="inlineStr">
        <is>
          <t>40449</t>
        </is>
      </c>
      <c r="C3515" s="49" t="inlineStr">
        <is>
          <t>3×97×139</t>
        </is>
      </c>
      <c r="D3515" s="49" t="inlineStr">
        <is>
          <t>3</t>
        </is>
      </c>
      <c r="E3515" s="49" t="inlineStr"/>
      <c r="F3515" s="49" t="inlineStr"/>
    </row>
    <row r="3516" ht="13" customHeight="1">
      <c r="A3516" s="43" t="inlineStr">
        <is>
          <t>32783</t>
        </is>
      </c>
      <c r="B3516" s="43" t="inlineStr">
        <is>
          <t>32120</t>
        </is>
      </c>
      <c r="C3516" s="43" t="inlineStr">
        <is>
          <t>2×2×2×5×11×73</t>
        </is>
      </c>
      <c r="D3516" s="43" t="inlineStr">
        <is>
          <t>2·5·11</t>
        </is>
      </c>
      <c r="E3516" s="43" t="inlineStr"/>
      <c r="F3516" s="43" t="inlineStr"/>
    </row>
    <row r="3517" ht="13" customHeight="1">
      <c r="A3517" s="49" t="inlineStr">
        <is>
          <t>32789</t>
        </is>
      </c>
      <c r="B3517" s="49" t="inlineStr">
        <is>
          <t>24496</t>
        </is>
      </c>
      <c r="C3517" s="49" t="inlineStr">
        <is>
          <t>2×2×2×2×1531</t>
        </is>
      </c>
      <c r="D3517" s="49" t="inlineStr">
        <is>
          <t>2</t>
        </is>
      </c>
      <c r="E3517" s="49" t="inlineStr"/>
      <c r="F3517" s="49" t="inlineStr"/>
    </row>
    <row r="3518" ht="13" customHeight="1">
      <c r="A3518" s="41" t="inlineStr">
        <is>
          <t>32797</t>
        </is>
      </c>
      <c r="B3518" s="41" t="inlineStr">
        <is>
          <t>2743</t>
        </is>
      </c>
      <c r="C3518" s="41" t="inlineStr">
        <is>
          <t>13×211</t>
        </is>
      </c>
      <c r="D3518" s="41" t="inlineStr">
        <is>
          <t>13</t>
        </is>
      </c>
      <c r="E3518" s="41" t="inlineStr"/>
      <c r="F3518" s="41" t="inlineStr"/>
    </row>
    <row r="3519" ht="13" customHeight="1">
      <c r="A3519" s="50" t="inlineStr">
        <is>
          <t>32801</t>
        </is>
      </c>
      <c r="B3519" s="50" t="inlineStr">
        <is>
          <t>17837</t>
        </is>
      </c>
      <c r="C3519" s="50" t="inlineStr">
        <is>
          <t>17837</t>
        </is>
      </c>
      <c r="D3519" s="50" t="inlineStr">
        <is>
          <t>—</t>
        </is>
      </c>
      <c r="E3519" s="50" t="inlineStr"/>
      <c r="F3519" s="50" t="inlineStr"/>
    </row>
    <row r="3520" ht="13" customHeight="1">
      <c r="A3520" s="41" t="inlineStr">
        <is>
          <t>32803</t>
        </is>
      </c>
      <c r="B3520" s="41" t="inlineStr">
        <is>
          <t>26689</t>
        </is>
      </c>
      <c r="C3520" s="41" t="inlineStr">
        <is>
          <t>13×2053</t>
        </is>
      </c>
      <c r="D3520" s="41" t="inlineStr">
        <is>
          <t>13</t>
        </is>
      </c>
      <c r="E3520" s="41" t="inlineStr"/>
      <c r="F3520" s="41" t="inlineStr"/>
    </row>
    <row r="3521" ht="13" customHeight="1">
      <c r="A3521" s="41" t="inlineStr">
        <is>
          <t>32831</t>
        </is>
      </c>
      <c r="B3521" s="41" t="inlineStr">
        <is>
          <t>10491</t>
        </is>
      </c>
      <c r="C3521" s="41" t="inlineStr">
        <is>
          <t>3×13×269</t>
        </is>
      </c>
      <c r="D3521" s="41" t="inlineStr">
        <is>
          <t>3·13</t>
        </is>
      </c>
      <c r="E3521" s="41" t="inlineStr"/>
      <c r="F3521" s="41" t="inlineStr"/>
    </row>
    <row r="3522" ht="13" customHeight="1">
      <c r="A3522" s="43" t="inlineStr">
        <is>
          <t>32833</t>
        </is>
      </c>
      <c r="B3522" s="43" t="inlineStr">
        <is>
          <t>23870</t>
        </is>
      </c>
      <c r="C3522" s="43" t="inlineStr">
        <is>
          <t>2×5×7×11×31</t>
        </is>
      </c>
      <c r="D3522" s="43" t="inlineStr">
        <is>
          <t>2·5·7·11</t>
        </is>
      </c>
      <c r="E3522" s="43" t="inlineStr"/>
      <c r="F3522" s="43" t="inlineStr"/>
    </row>
    <row r="3523" ht="13" customHeight="1">
      <c r="A3523" s="51" t="inlineStr">
        <is>
          <t>32839</t>
        </is>
      </c>
      <c r="B3523" s="51" t="inlineStr">
        <is>
          <t>13851</t>
        </is>
      </c>
      <c r="C3523" s="51" t="inlineStr">
        <is>
          <t>3×3×3×3×3×3×19</t>
        </is>
      </c>
      <c r="D3523" s="51" t="inlineStr">
        <is>
          <t>3·19</t>
        </is>
      </c>
      <c r="E3523" s="51" t="inlineStr"/>
      <c r="F3523" s="51" t="inlineStr"/>
    </row>
    <row r="3524" ht="13" customHeight="1">
      <c r="A3524" s="45" t="inlineStr">
        <is>
          <t>32843</t>
        </is>
      </c>
      <c r="B3524" s="45" t="inlineStr">
        <is>
          <t>36417</t>
        </is>
      </c>
      <c r="C3524" s="45" t="inlineStr">
        <is>
          <t>3×61×199</t>
        </is>
      </c>
      <c r="D3524" s="45" t="inlineStr">
        <is>
          <t>3</t>
        </is>
      </c>
      <c r="E3524" s="45" t="inlineStr"/>
      <c r="F3524" s="45" t="inlineStr"/>
    </row>
    <row r="3525" ht="13" customHeight="1">
      <c r="A3525" s="50" t="inlineStr">
        <is>
          <t>32869</t>
        </is>
      </c>
      <c r="B3525" s="50" t="inlineStr">
        <is>
          <t>21577</t>
        </is>
      </c>
      <c r="C3525" s="50" t="inlineStr">
        <is>
          <t>21577</t>
        </is>
      </c>
      <c r="D3525" s="50" t="inlineStr">
        <is>
          <t>—</t>
        </is>
      </c>
      <c r="E3525" s="50" t="inlineStr"/>
      <c r="F3525" s="50" t="inlineStr"/>
    </row>
    <row r="3526" ht="13" customHeight="1">
      <c r="A3526" s="45" t="inlineStr">
        <is>
          <t>32887</t>
        </is>
      </c>
      <c r="B3526" s="45" t="inlineStr">
        <is>
          <t>38949</t>
        </is>
      </c>
      <c r="C3526" s="45" t="inlineStr">
        <is>
          <t>3×12983</t>
        </is>
      </c>
      <c r="D3526" s="45" t="inlineStr">
        <is>
          <t>3</t>
        </is>
      </c>
      <c r="E3526" s="45" t="inlineStr"/>
      <c r="F3526" s="45" t="inlineStr"/>
    </row>
    <row r="3527" ht="13" customHeight="1">
      <c r="A3527" s="50" t="inlineStr">
        <is>
          <t>32909</t>
        </is>
      </c>
      <c r="B3527" s="50" t="inlineStr">
        <is>
          <t>17047</t>
        </is>
      </c>
      <c r="C3527" s="50" t="inlineStr">
        <is>
          <t>17047</t>
        </is>
      </c>
      <c r="D3527" s="50" t="inlineStr">
        <is>
          <t>—</t>
        </is>
      </c>
      <c r="E3527" s="50" t="inlineStr"/>
      <c r="F3527" s="50" t="inlineStr"/>
    </row>
    <row r="3528" ht="13" customHeight="1">
      <c r="A3528" s="45" t="inlineStr">
        <is>
          <t>32911</t>
        </is>
      </c>
      <c r="B3528" s="45" t="inlineStr">
        <is>
          <t>21672</t>
        </is>
      </c>
      <c r="C3528" s="45" t="inlineStr">
        <is>
          <t>2×2×2×3×3×7×43</t>
        </is>
      </c>
      <c r="D3528" s="45" t="inlineStr">
        <is>
          <t>2·3·7</t>
        </is>
      </c>
      <c r="E3528" s="45" t="inlineStr"/>
      <c r="F3528" s="45" t="inlineStr"/>
    </row>
    <row r="3529" ht="13" customHeight="1">
      <c r="A3529" s="41" t="inlineStr">
        <is>
          <t>32917</t>
        </is>
      </c>
      <c r="B3529" s="41" t="inlineStr">
        <is>
          <t>29523</t>
        </is>
      </c>
      <c r="C3529" s="41" t="inlineStr">
        <is>
          <t>3×13×757</t>
        </is>
      </c>
      <c r="D3529" s="41" t="inlineStr">
        <is>
          <t>3·13</t>
        </is>
      </c>
      <c r="E3529" s="41" t="inlineStr"/>
      <c r="F3529" s="41" t="inlineStr"/>
    </row>
    <row r="3530" ht="13" customHeight="1">
      <c r="A3530" s="45" t="inlineStr">
        <is>
          <t>32933</t>
        </is>
      </c>
      <c r="B3530" s="45" t="inlineStr">
        <is>
          <t>41198</t>
        </is>
      </c>
      <c r="C3530" s="45" t="inlineStr">
        <is>
          <t>2×20599</t>
        </is>
      </c>
      <c r="D3530" s="45" t="inlineStr">
        <is>
          <t>2</t>
        </is>
      </c>
      <c r="E3530" s="45" t="inlineStr"/>
      <c r="F3530" s="45" t="inlineStr"/>
    </row>
    <row r="3531" ht="13" customHeight="1">
      <c r="A3531" s="49" t="inlineStr">
        <is>
          <t>32939</t>
        </is>
      </c>
      <c r="B3531" s="49" t="inlineStr">
        <is>
          <t>13094</t>
        </is>
      </c>
      <c r="C3531" s="49" t="inlineStr">
        <is>
          <t>2×6547</t>
        </is>
      </c>
      <c r="D3531" s="49" t="inlineStr">
        <is>
          <t>2</t>
        </is>
      </c>
      <c r="E3531" s="49" t="inlineStr"/>
      <c r="F3531" s="49" t="inlineStr"/>
    </row>
    <row r="3532" ht="13" customHeight="1">
      <c r="A3532" s="45" t="inlineStr">
        <is>
          <t>32941</t>
        </is>
      </c>
      <c r="B3532" s="45" t="inlineStr">
        <is>
          <t>41889</t>
        </is>
      </c>
      <c r="C3532" s="45" t="inlineStr">
        <is>
          <t>3×13963</t>
        </is>
      </c>
      <c r="D3532" s="45" t="inlineStr">
        <is>
          <t>3</t>
        </is>
      </c>
      <c r="E3532" s="45" t="inlineStr"/>
      <c r="F3532" s="45" t="inlineStr"/>
    </row>
    <row r="3533" ht="13" customHeight="1">
      <c r="A3533" s="51" t="inlineStr">
        <is>
          <t>32957</t>
        </is>
      </c>
      <c r="B3533" s="51" t="inlineStr">
        <is>
          <t>11172</t>
        </is>
      </c>
      <c r="C3533" s="51" t="inlineStr">
        <is>
          <t>2×2×3×7×7×19</t>
        </is>
      </c>
      <c r="D3533" s="51" t="inlineStr">
        <is>
          <t>2·3·7·19</t>
        </is>
      </c>
      <c r="E3533" s="51" t="inlineStr"/>
      <c r="F3533" s="51" t="inlineStr"/>
    </row>
    <row r="3534" ht="13" customHeight="1">
      <c r="A3534" s="45" t="inlineStr">
        <is>
          <t>32969</t>
        </is>
      </c>
      <c r="B3534" s="45" t="inlineStr">
        <is>
          <t>36678</t>
        </is>
      </c>
      <c r="C3534" s="45" t="inlineStr">
        <is>
          <t>2×3×6113</t>
        </is>
      </c>
      <c r="D3534" s="45" t="inlineStr">
        <is>
          <t>2·3</t>
        </is>
      </c>
      <c r="E3534" s="45" t="inlineStr"/>
      <c r="F3534" s="45" t="inlineStr"/>
    </row>
    <row r="3535" ht="13" customHeight="1">
      <c r="A3535" s="43" t="inlineStr">
        <is>
          <t>32971</t>
        </is>
      </c>
      <c r="B3535" s="43" t="inlineStr">
        <is>
          <t>28468</t>
        </is>
      </c>
      <c r="C3535" s="43" t="inlineStr">
        <is>
          <t>2×2×11×647</t>
        </is>
      </c>
      <c r="D3535" s="43" t="inlineStr">
        <is>
          <t>2·11</t>
        </is>
      </c>
      <c r="E3535" s="43" t="inlineStr"/>
      <c r="F3535" s="43" t="inlineStr"/>
    </row>
    <row r="3536" ht="13" customHeight="1">
      <c r="A3536" s="51" t="inlineStr">
        <is>
          <t>32983</t>
        </is>
      </c>
      <c r="B3536" s="51" t="inlineStr">
        <is>
          <t>32053</t>
        </is>
      </c>
      <c r="C3536" s="51" t="inlineStr">
        <is>
          <t>7×19×241</t>
        </is>
      </c>
      <c r="D3536" s="51" t="inlineStr">
        <is>
          <t>7·19</t>
        </is>
      </c>
      <c r="E3536" s="51" t="inlineStr"/>
      <c r="F3536" s="51" t="inlineStr"/>
    </row>
    <row r="3537" ht="13" customHeight="1">
      <c r="A3537" s="50" t="inlineStr">
        <is>
          <t>32987</t>
        </is>
      </c>
      <c r="B3537" s="50" t="inlineStr">
        <is>
          <t>7757</t>
        </is>
      </c>
      <c r="C3537" s="50" t="inlineStr">
        <is>
          <t>7757</t>
        </is>
      </c>
      <c r="D3537" s="50" t="inlineStr">
        <is>
          <t>—</t>
        </is>
      </c>
      <c r="E3537" s="50" t="inlineStr"/>
      <c r="F3537" s="50" t="inlineStr"/>
    </row>
    <row r="3538" ht="13" customHeight="1">
      <c r="A3538" s="43" t="inlineStr">
        <is>
          <t>32993</t>
        </is>
      </c>
      <c r="B3538" s="43" t="inlineStr">
        <is>
          <t>29876</t>
        </is>
      </c>
      <c r="C3538" s="43" t="inlineStr">
        <is>
          <t>2×2×7×11×97</t>
        </is>
      </c>
      <c r="D3538" s="43" t="inlineStr">
        <is>
          <t>2·7·11</t>
        </is>
      </c>
      <c r="E3538" s="43" t="inlineStr"/>
      <c r="F3538" s="43" t="inlineStr"/>
    </row>
    <row r="3539" ht="13" customHeight="1">
      <c r="A3539" s="49" t="inlineStr">
        <is>
          <t>32999</t>
        </is>
      </c>
      <c r="B3539" s="49" t="inlineStr">
        <is>
          <t>5228</t>
        </is>
      </c>
      <c r="C3539" s="49" t="inlineStr">
        <is>
          <t>2×2×1307</t>
        </is>
      </c>
      <c r="D3539" s="49" t="inlineStr">
        <is>
          <t>2</t>
        </is>
      </c>
      <c r="E3539" s="49" t="inlineStr"/>
      <c r="F3539" s="49" t="inlineStr"/>
    </row>
    <row r="3540" ht="13" customHeight="1">
      <c r="A3540" s="43" t="inlineStr">
        <is>
          <t>33013</t>
        </is>
      </c>
      <c r="B3540" s="43" t="inlineStr">
        <is>
          <t>9845</t>
        </is>
      </c>
      <c r="C3540" s="43" t="inlineStr">
        <is>
          <t>5×11×179</t>
        </is>
      </c>
      <c r="D3540" s="43" t="inlineStr">
        <is>
          <t>5·11</t>
        </is>
      </c>
      <c r="E3540" s="43" t="inlineStr"/>
      <c r="F3540" s="43" t="inlineStr"/>
    </row>
    <row r="3541" ht="13" customHeight="1">
      <c r="A3541" s="43" t="inlineStr">
        <is>
          <t>33023</t>
        </is>
      </c>
      <c r="B3541" s="43" t="inlineStr">
        <is>
          <t>35783</t>
        </is>
      </c>
      <c r="C3541" s="43" t="inlineStr">
        <is>
          <t>11×3253</t>
        </is>
      </c>
      <c r="D3541" s="43" t="inlineStr">
        <is>
          <t>11</t>
        </is>
      </c>
      <c r="E3541" s="43" t="inlineStr"/>
      <c r="F3541" s="43" t="inlineStr"/>
    </row>
    <row r="3542" ht="13" customHeight="1">
      <c r="A3542" s="41" t="inlineStr">
        <is>
          <t>33029</t>
        </is>
      </c>
      <c r="B3542" s="41" t="inlineStr">
        <is>
          <t>136</t>
        </is>
      </c>
      <c r="C3542" s="41" t="inlineStr">
        <is>
          <t>2×2×2×17</t>
        </is>
      </c>
      <c r="D3542" s="41" t="inlineStr">
        <is>
          <t>2·17</t>
        </is>
      </c>
      <c r="E3542" s="41" t="inlineStr"/>
      <c r="F3542" s="41" t="inlineStr"/>
    </row>
    <row r="3543" ht="13" customHeight="1">
      <c r="A3543" s="49" t="inlineStr">
        <is>
          <t>33037</t>
        </is>
      </c>
      <c r="B3543" s="49" t="inlineStr">
        <is>
          <t>31455</t>
        </is>
      </c>
      <c r="C3543" s="49" t="inlineStr">
        <is>
          <t>3×3×3×5×233</t>
        </is>
      </c>
      <c r="D3543" s="49" t="inlineStr">
        <is>
          <t>3·5</t>
        </is>
      </c>
      <c r="E3543" s="49" t="inlineStr"/>
      <c r="F3543" s="49" t="inlineStr"/>
    </row>
    <row r="3544" ht="13" customHeight="1">
      <c r="A3544" s="45" t="inlineStr">
        <is>
          <t>33049</t>
        </is>
      </c>
      <c r="B3544" s="45" t="inlineStr">
        <is>
          <t>38254</t>
        </is>
      </c>
      <c r="C3544" s="45" t="inlineStr">
        <is>
          <t>2×31×617</t>
        </is>
      </c>
      <c r="D3544" s="45" t="inlineStr">
        <is>
          <t>2</t>
        </is>
      </c>
      <c r="E3544" s="45" t="inlineStr"/>
      <c r="F3544" s="45" t="inlineStr"/>
    </row>
    <row r="3545" ht="13" customHeight="1">
      <c r="A3545" s="49" t="inlineStr">
        <is>
          <t>33053</t>
        </is>
      </c>
      <c r="B3545" s="49" t="inlineStr">
        <is>
          <t>28343</t>
        </is>
      </c>
      <c r="C3545" s="49" t="inlineStr">
        <is>
          <t>7×4049</t>
        </is>
      </c>
      <c r="D3545" s="49" t="inlineStr">
        <is>
          <t>7</t>
        </is>
      </c>
      <c r="E3545" s="49" t="inlineStr"/>
      <c r="F3545" s="49" t="inlineStr"/>
    </row>
    <row r="3546" ht="13" customHeight="1">
      <c r="A3546" s="51" t="inlineStr">
        <is>
          <t>33071</t>
        </is>
      </c>
      <c r="B3546" s="51" t="inlineStr">
        <is>
          <t>9158</t>
        </is>
      </c>
      <c r="C3546" s="51" t="inlineStr">
        <is>
          <t>2×19×241</t>
        </is>
      </c>
      <c r="D3546" s="51" t="inlineStr">
        <is>
          <t>2·19</t>
        </is>
      </c>
      <c r="E3546" s="51" t="inlineStr"/>
      <c r="F3546" s="51" t="inlineStr"/>
    </row>
    <row r="3547" ht="13" customHeight="1">
      <c r="A3547" s="41" t="inlineStr">
        <is>
          <t>33073</t>
        </is>
      </c>
      <c r="B3547" s="41" t="inlineStr">
        <is>
          <t>40052</t>
        </is>
      </c>
      <c r="C3547" s="41" t="inlineStr">
        <is>
          <t>2×2×17×19×31</t>
        </is>
      </c>
      <c r="D3547" s="41" t="inlineStr">
        <is>
          <t>2·17·19</t>
        </is>
      </c>
      <c r="E3547" s="41" t="inlineStr"/>
      <c r="F3547" s="41" t="inlineStr"/>
    </row>
    <row r="3548" ht="13" customHeight="1">
      <c r="A3548" s="45" t="inlineStr">
        <is>
          <t>33083</t>
        </is>
      </c>
      <c r="B3548" s="45" t="inlineStr">
        <is>
          <t>39246</t>
        </is>
      </c>
      <c r="C3548" s="45" t="inlineStr">
        <is>
          <t>2×3×31×211</t>
        </is>
      </c>
      <c r="D3548" s="45" t="inlineStr">
        <is>
          <t>2·3</t>
        </is>
      </c>
      <c r="E3548" s="45" t="inlineStr"/>
      <c r="F3548" s="45" t="inlineStr"/>
    </row>
    <row r="3549" ht="13" customHeight="1">
      <c r="A3549" s="49" t="inlineStr">
        <is>
          <t>33091</t>
        </is>
      </c>
      <c r="B3549" s="49" t="inlineStr">
        <is>
          <t>25644</t>
        </is>
      </c>
      <c r="C3549" s="49" t="inlineStr">
        <is>
          <t>2×2×3×2137</t>
        </is>
      </c>
      <c r="D3549" s="49" t="inlineStr">
        <is>
          <t>2·3</t>
        </is>
      </c>
      <c r="E3549" s="49" t="inlineStr"/>
      <c r="F3549" s="49" t="inlineStr"/>
    </row>
    <row r="3550" ht="13" customHeight="1">
      <c r="A3550" s="45" t="inlineStr">
        <is>
          <t>33107</t>
        </is>
      </c>
      <c r="B3550" s="45" t="inlineStr">
        <is>
          <t>31378</t>
        </is>
      </c>
      <c r="C3550" s="45" t="inlineStr">
        <is>
          <t>2×29×541</t>
        </is>
      </c>
      <c r="D3550" s="45" t="inlineStr">
        <is>
          <t>2</t>
        </is>
      </c>
      <c r="E3550" s="45" t="inlineStr"/>
      <c r="F3550" s="45" t="inlineStr"/>
    </row>
    <row r="3551" ht="13" customHeight="1">
      <c r="A3551" s="49" t="inlineStr">
        <is>
          <t>33113</t>
        </is>
      </c>
      <c r="B3551" s="49" t="inlineStr">
        <is>
          <t>3725</t>
        </is>
      </c>
      <c r="C3551" s="49" t="inlineStr">
        <is>
          <t>5×5×149</t>
        </is>
      </c>
      <c r="D3551" s="49" t="inlineStr">
        <is>
          <t>5</t>
        </is>
      </c>
      <c r="E3551" s="49" t="inlineStr"/>
      <c r="F3551" s="49" t="inlineStr"/>
    </row>
    <row r="3552" ht="13" customHeight="1">
      <c r="A3552" s="45" t="inlineStr">
        <is>
          <t>33119</t>
        </is>
      </c>
      <c r="B3552" s="45" t="inlineStr">
        <is>
          <t>21253</t>
        </is>
      </c>
      <c r="C3552" s="45" t="inlineStr">
        <is>
          <t>53×401</t>
        </is>
      </c>
      <c r="D3552" s="45" t="inlineStr">
        <is>
          <t>—</t>
        </is>
      </c>
      <c r="E3552" s="45" t="inlineStr"/>
      <c r="F3552" s="45" t="inlineStr"/>
    </row>
    <row r="3553" ht="13" customHeight="1">
      <c r="A3553" s="41" t="inlineStr">
        <is>
          <t>33149</t>
        </is>
      </c>
      <c r="B3553" s="41" t="inlineStr">
        <is>
          <t>39988</t>
        </is>
      </c>
      <c r="C3553" s="41" t="inlineStr">
        <is>
          <t>2×2×13×769</t>
        </is>
      </c>
      <c r="D3553" s="41" t="inlineStr">
        <is>
          <t>2·13</t>
        </is>
      </c>
      <c r="E3553" s="41" t="inlineStr"/>
      <c r="F3553" s="41" t="inlineStr"/>
    </row>
    <row r="3554" ht="13" customHeight="1">
      <c r="A3554" s="41" t="inlineStr">
        <is>
          <t>33151</t>
        </is>
      </c>
      <c r="B3554" s="41" t="inlineStr">
        <is>
          <t>8151</t>
        </is>
      </c>
      <c r="C3554" s="41" t="inlineStr">
        <is>
          <t>3×11×13×19</t>
        </is>
      </c>
      <c r="D3554" s="41" t="inlineStr">
        <is>
          <t>3·11·13·19</t>
        </is>
      </c>
      <c r="E3554" s="41" t="inlineStr"/>
      <c r="F3554" s="41" t="inlineStr"/>
    </row>
    <row r="3555" ht="13" customHeight="1">
      <c r="A3555" s="49" t="inlineStr">
        <is>
          <t>33161</t>
        </is>
      </c>
      <c r="B3555" s="49" t="inlineStr">
        <is>
          <t>25297</t>
        </is>
      </c>
      <c r="C3555" s="49" t="inlineStr">
        <is>
          <t>41×617</t>
        </is>
      </c>
      <c r="D3555" s="49" t="inlineStr">
        <is>
          <t>—</t>
        </is>
      </c>
      <c r="E3555" s="49" t="inlineStr"/>
      <c r="F3555" s="49" t="inlineStr"/>
    </row>
    <row r="3556" ht="13" customHeight="1">
      <c r="A3556" s="43" t="inlineStr">
        <is>
          <t>33179</t>
        </is>
      </c>
      <c r="B3556" s="43" t="inlineStr">
        <is>
          <t>32065</t>
        </is>
      </c>
      <c r="C3556" s="43" t="inlineStr">
        <is>
          <t>5×11×11×53</t>
        </is>
      </c>
      <c r="D3556" s="43" t="inlineStr">
        <is>
          <t>5·11</t>
        </is>
      </c>
      <c r="E3556" s="43" t="inlineStr"/>
      <c r="F3556" s="43" t="inlineStr"/>
    </row>
    <row r="3557" ht="13" customHeight="1">
      <c r="A3557" s="49" t="inlineStr">
        <is>
          <t>33181</t>
        </is>
      </c>
      <c r="B3557" s="49" t="inlineStr">
        <is>
          <t>12460</t>
        </is>
      </c>
      <c r="C3557" s="49" t="inlineStr">
        <is>
          <t>2×2×5×7×89</t>
        </is>
      </c>
      <c r="D3557" s="49" t="inlineStr">
        <is>
          <t>2·5·7</t>
        </is>
      </c>
      <c r="E3557" s="49" t="inlineStr"/>
      <c r="F3557" s="49" t="inlineStr"/>
    </row>
    <row r="3558" ht="13" customHeight="1">
      <c r="A3558" s="41" t="inlineStr">
        <is>
          <t>33191</t>
        </is>
      </c>
      <c r="B3558" s="41" t="inlineStr">
        <is>
          <t>25619</t>
        </is>
      </c>
      <c r="C3558" s="41" t="inlineStr">
        <is>
          <t>11×17×137</t>
        </is>
      </c>
      <c r="D3558" s="41" t="inlineStr">
        <is>
          <t>11·17</t>
        </is>
      </c>
      <c r="E3558" s="41" t="inlineStr"/>
      <c r="F3558" s="41" t="inlineStr"/>
    </row>
    <row r="3559" ht="13" customHeight="1">
      <c r="A3559" s="50" t="inlineStr">
        <is>
          <t>33199</t>
        </is>
      </c>
      <c r="B3559" s="50" t="inlineStr">
        <is>
          <t>14551</t>
        </is>
      </c>
      <c r="C3559" s="50" t="inlineStr">
        <is>
          <t>14551</t>
        </is>
      </c>
      <c r="D3559" s="50" t="inlineStr">
        <is>
          <t>—</t>
        </is>
      </c>
      <c r="E3559" s="50" t="inlineStr"/>
      <c r="F3559" s="50" t="inlineStr"/>
    </row>
    <row r="3560" ht="13" customHeight="1">
      <c r="A3560" s="41" t="inlineStr">
        <is>
          <t>33203</t>
        </is>
      </c>
      <c r="B3560" s="41" t="inlineStr">
        <is>
          <t>29920</t>
        </is>
      </c>
      <c r="C3560" s="41" t="inlineStr">
        <is>
          <t>2×2×2×2×2×5×11×17</t>
        </is>
      </c>
      <c r="D3560" s="41" t="inlineStr">
        <is>
          <t>2·5·11·17</t>
        </is>
      </c>
      <c r="E3560" s="41" t="inlineStr"/>
      <c r="F3560" s="41" t="inlineStr"/>
    </row>
    <row r="3561" ht="13" customHeight="1">
      <c r="A3561" s="49" t="inlineStr">
        <is>
          <t>33211</t>
        </is>
      </c>
      <c r="B3561" s="49" t="inlineStr">
        <is>
          <t>11984</t>
        </is>
      </c>
      <c r="C3561" s="49" t="inlineStr">
        <is>
          <t>2×2×2×2×7×107</t>
        </is>
      </c>
      <c r="D3561" s="49" t="inlineStr">
        <is>
          <t>2·7</t>
        </is>
      </c>
      <c r="E3561" s="49" t="inlineStr"/>
      <c r="F3561" s="49" t="inlineStr"/>
    </row>
    <row r="3562" ht="13" customHeight="1">
      <c r="A3562" s="45" t="inlineStr">
        <is>
          <t>33223</t>
        </is>
      </c>
      <c r="B3562" s="45" t="inlineStr">
        <is>
          <t>20734</t>
        </is>
      </c>
      <c r="C3562" s="45" t="inlineStr">
        <is>
          <t>2×7×1481</t>
        </is>
      </c>
      <c r="D3562" s="45" t="inlineStr">
        <is>
          <t>2·7</t>
        </is>
      </c>
      <c r="E3562" s="45" t="inlineStr"/>
      <c r="F3562" s="45" t="inlineStr"/>
    </row>
    <row r="3563" ht="13" customHeight="1">
      <c r="A3563" s="49" t="inlineStr">
        <is>
          <t>33247</t>
        </is>
      </c>
      <c r="B3563" s="49" t="inlineStr">
        <is>
          <t>27207</t>
        </is>
      </c>
      <c r="C3563" s="49" t="inlineStr">
        <is>
          <t>3×3×3023</t>
        </is>
      </c>
      <c r="D3563" s="49" t="inlineStr">
        <is>
          <t>3</t>
        </is>
      </c>
      <c r="E3563" s="49" t="inlineStr"/>
      <c r="F3563" s="49" t="inlineStr"/>
    </row>
    <row r="3564" ht="13" customHeight="1">
      <c r="A3564" s="41" t="inlineStr">
        <is>
          <t>33287</t>
        </is>
      </c>
      <c r="B3564" s="41" t="inlineStr">
        <is>
          <t>6734</t>
        </is>
      </c>
      <c r="C3564" s="41" t="inlineStr">
        <is>
          <t>2×7×13×37</t>
        </is>
      </c>
      <c r="D3564" s="41" t="inlineStr">
        <is>
          <t>2·7·13</t>
        </is>
      </c>
      <c r="E3564" s="41" t="inlineStr"/>
      <c r="F3564" s="41" t="inlineStr"/>
    </row>
    <row r="3565" ht="13" customHeight="1">
      <c r="A3565" s="51" t="inlineStr">
        <is>
          <t>33289</t>
        </is>
      </c>
      <c r="B3565" s="51" t="inlineStr">
        <is>
          <t>10355</t>
        </is>
      </c>
      <c r="C3565" s="51" t="inlineStr">
        <is>
          <t>5×19×109</t>
        </is>
      </c>
      <c r="D3565" s="51" t="inlineStr">
        <is>
          <t>5·19</t>
        </is>
      </c>
      <c r="E3565" s="51" t="inlineStr"/>
      <c r="F3565" s="51" t="inlineStr"/>
    </row>
    <row r="3566" ht="13" customHeight="1">
      <c r="A3566" s="41" t="inlineStr">
        <is>
          <t>33301</t>
        </is>
      </c>
      <c r="B3566" s="41" t="inlineStr">
        <is>
          <t>11730</t>
        </is>
      </c>
      <c r="C3566" s="41" t="inlineStr">
        <is>
          <t>2×3×5×17×23</t>
        </is>
      </c>
      <c r="D3566" s="41" t="inlineStr">
        <is>
          <t>2·3·5·17</t>
        </is>
      </c>
      <c r="E3566" s="41" t="inlineStr"/>
      <c r="F3566" s="41" t="inlineStr"/>
    </row>
    <row r="3567" ht="13" customHeight="1">
      <c r="A3567" s="49" t="inlineStr">
        <is>
          <t>33311</t>
        </is>
      </c>
      <c r="B3567" s="49" t="inlineStr">
        <is>
          <t>29779</t>
        </is>
      </c>
      <c r="C3567" s="49" t="inlineStr">
        <is>
          <t>97×307</t>
        </is>
      </c>
      <c r="D3567" s="49" t="inlineStr">
        <is>
          <t>—</t>
        </is>
      </c>
      <c r="E3567" s="49" t="inlineStr"/>
      <c r="F3567" s="49" t="inlineStr"/>
    </row>
    <row r="3568" ht="13" customHeight="1">
      <c r="A3568" s="45" t="inlineStr">
        <is>
          <t>33317</t>
        </is>
      </c>
      <c r="B3568" s="45" t="inlineStr">
        <is>
          <t>43796</t>
        </is>
      </c>
      <c r="C3568" s="45" t="inlineStr">
        <is>
          <t>2×2×10949</t>
        </is>
      </c>
      <c r="D3568" s="45" t="inlineStr">
        <is>
          <t>2</t>
        </is>
      </c>
      <c r="E3568" s="45" t="inlineStr"/>
      <c r="F3568" s="45" t="inlineStr"/>
    </row>
    <row r="3569" ht="13" customHeight="1">
      <c r="A3569" s="49" t="inlineStr">
        <is>
          <t>33329</t>
        </is>
      </c>
      <c r="B3569" s="49" t="inlineStr">
        <is>
          <t>43280</t>
        </is>
      </c>
      <c r="C3569" s="49" t="inlineStr">
        <is>
          <t>2×2×2×2×5×541</t>
        </is>
      </c>
      <c r="D3569" s="49" t="inlineStr">
        <is>
          <t>2·5</t>
        </is>
      </c>
      <c r="E3569" s="49" t="inlineStr"/>
      <c r="F3569" s="49" t="inlineStr"/>
    </row>
    <row r="3570" ht="13" customHeight="1">
      <c r="A3570" s="43" t="inlineStr">
        <is>
          <t>33331</t>
        </is>
      </c>
      <c r="B3570" s="43" t="inlineStr">
        <is>
          <t>35475</t>
        </is>
      </c>
      <c r="C3570" s="43" t="inlineStr">
        <is>
          <t>3×5×5×11×43</t>
        </is>
      </c>
      <c r="D3570" s="43" t="inlineStr">
        <is>
          <t>3·5·11</t>
        </is>
      </c>
      <c r="E3570" s="43" t="inlineStr"/>
      <c r="F3570" s="43" t="inlineStr"/>
    </row>
    <row r="3571" ht="13" customHeight="1">
      <c r="A3571" s="49" t="inlineStr">
        <is>
          <t>33343</t>
        </is>
      </c>
      <c r="B3571" s="49" t="inlineStr">
        <is>
          <t>16503</t>
        </is>
      </c>
      <c r="C3571" s="49" t="inlineStr">
        <is>
          <t>3×5501</t>
        </is>
      </c>
      <c r="D3571" s="49" t="inlineStr">
        <is>
          <t>3</t>
        </is>
      </c>
      <c r="E3571" s="49" t="inlineStr"/>
      <c r="F3571" s="49" t="inlineStr"/>
    </row>
    <row r="3572" ht="13" customHeight="1">
      <c r="A3572" s="41" t="inlineStr">
        <is>
          <t>33347</t>
        </is>
      </c>
      <c r="B3572" s="41" t="inlineStr">
        <is>
          <t>30651</t>
        </is>
      </c>
      <c r="C3572" s="41" t="inlineStr">
        <is>
          <t>3×17×601</t>
        </is>
      </c>
      <c r="D3572" s="41" t="inlineStr">
        <is>
          <t>3·17</t>
        </is>
      </c>
      <c r="E3572" s="41" t="inlineStr"/>
      <c r="F3572" s="41" t="inlineStr"/>
    </row>
    <row r="3573" ht="13" customHeight="1">
      <c r="A3573" s="49" t="inlineStr">
        <is>
          <t>33349</t>
        </is>
      </c>
      <c r="B3573" s="49" t="inlineStr">
        <is>
          <t>14799</t>
        </is>
      </c>
      <c r="C3573" s="49" t="inlineStr">
        <is>
          <t>3×4933</t>
        </is>
      </c>
      <c r="D3573" s="49" t="inlineStr">
        <is>
          <t>3</t>
        </is>
      </c>
      <c r="E3573" s="49" t="inlineStr"/>
      <c r="F3573" s="49" t="inlineStr"/>
    </row>
    <row r="3574" ht="13" customHeight="1">
      <c r="A3574" s="41" t="inlineStr">
        <is>
          <t>33353</t>
        </is>
      </c>
      <c r="B3574" s="41" t="inlineStr">
        <is>
          <t>43212</t>
        </is>
      </c>
      <c r="C3574" s="41" t="inlineStr">
        <is>
          <t>2×2×3×13×277</t>
        </is>
      </c>
      <c r="D3574" s="41" t="inlineStr">
        <is>
          <t>2·3·13</t>
        </is>
      </c>
      <c r="E3574" s="41" t="inlineStr"/>
      <c r="F3574" s="41" t="inlineStr"/>
    </row>
    <row r="3575" ht="13" customHeight="1">
      <c r="A3575" s="41" t="inlineStr">
        <is>
          <t>33359</t>
        </is>
      </c>
      <c r="B3575" s="41" t="inlineStr">
        <is>
          <t>3107</t>
        </is>
      </c>
      <c r="C3575" s="41" t="inlineStr">
        <is>
          <t>13×239</t>
        </is>
      </c>
      <c r="D3575" s="41" t="inlineStr">
        <is>
          <t>13</t>
        </is>
      </c>
      <c r="E3575" s="41" t="inlineStr"/>
      <c r="F3575" s="41" t="inlineStr"/>
    </row>
    <row r="3576" ht="13" customHeight="1">
      <c r="A3576" s="45" t="inlineStr">
        <is>
          <t>33377</t>
        </is>
      </c>
      <c r="B3576" s="45" t="inlineStr">
        <is>
          <t>32328</t>
        </is>
      </c>
      <c r="C3576" s="45" t="inlineStr">
        <is>
          <t>2×2×2×3×3×449</t>
        </is>
      </c>
      <c r="D3576" s="45" t="inlineStr">
        <is>
          <t>2·3</t>
        </is>
      </c>
      <c r="E3576" s="45" t="inlineStr"/>
      <c r="F3576" s="45" t="inlineStr"/>
    </row>
    <row r="3577" ht="13" customHeight="1">
      <c r="A3577" s="49" t="inlineStr">
        <is>
          <t>33391</t>
        </is>
      </c>
      <c r="B3577" s="49" t="inlineStr">
        <is>
          <t>26281</t>
        </is>
      </c>
      <c r="C3577" s="49" t="inlineStr">
        <is>
          <t>41×641</t>
        </is>
      </c>
      <c r="D3577" s="49" t="inlineStr">
        <is>
          <t>—</t>
        </is>
      </c>
      <c r="E3577" s="49" t="inlineStr"/>
      <c r="F3577" s="49" t="inlineStr"/>
    </row>
    <row r="3578" ht="13" customHeight="1">
      <c r="A3578" s="45" t="inlineStr">
        <is>
          <t>33403</t>
        </is>
      </c>
      <c r="B3578" s="45" t="inlineStr">
        <is>
          <t>6888</t>
        </is>
      </c>
      <c r="C3578" s="45" t="inlineStr">
        <is>
          <t>2×2×2×3×7×41</t>
        </is>
      </c>
      <c r="D3578" s="45" t="inlineStr">
        <is>
          <t>2·3·7</t>
        </is>
      </c>
      <c r="E3578" s="45" t="inlineStr"/>
      <c r="F3578" s="45" t="inlineStr"/>
    </row>
    <row r="3579" ht="13" customHeight="1">
      <c r="A3579" s="49" t="inlineStr">
        <is>
          <t>33409</t>
        </is>
      </c>
      <c r="B3579" s="49" t="inlineStr">
        <is>
          <t>28738</t>
        </is>
      </c>
      <c r="C3579" s="49" t="inlineStr">
        <is>
          <t>2×14369</t>
        </is>
      </c>
      <c r="D3579" s="49" t="inlineStr">
        <is>
          <t>2</t>
        </is>
      </c>
      <c r="E3579" s="49" t="inlineStr"/>
      <c r="F3579" s="49" t="inlineStr"/>
    </row>
    <row r="3580" ht="13" customHeight="1">
      <c r="A3580" s="39" t="inlineStr">
        <is>
          <t>33413</t>
        </is>
      </c>
      <c r="B3580" s="39" t="inlineStr">
        <is>
          <t>17280</t>
        </is>
      </c>
      <c r="C3580" s="39" t="inlineStr">
        <is>
          <t>2×2×2×2×2×2×2×3×3×3×5</t>
        </is>
      </c>
      <c r="D3580" s="39" t="inlineStr">
        <is>
          <t>2·3·5</t>
        </is>
      </c>
      <c r="E3580" s="39" t="inlineStr"/>
      <c r="F3580" s="39" t="inlineStr"/>
    </row>
    <row r="3581" ht="13" customHeight="1">
      <c r="A3581" s="43" t="inlineStr">
        <is>
          <t>33427</t>
        </is>
      </c>
      <c r="B3581" s="43" t="inlineStr">
        <is>
          <t>39171</t>
        </is>
      </c>
      <c r="C3581" s="43" t="inlineStr">
        <is>
          <t>3×11×1187</t>
        </is>
      </c>
      <c r="D3581" s="43" t="inlineStr">
        <is>
          <t>3·11</t>
        </is>
      </c>
      <c r="E3581" s="43" t="inlineStr"/>
      <c r="F3581" s="43" t="inlineStr"/>
    </row>
    <row r="3582" ht="13" customHeight="1">
      <c r="A3582" s="50" t="inlineStr">
        <is>
          <t>33457</t>
        </is>
      </c>
      <c r="B3582" s="50" t="inlineStr">
        <is>
          <t>27943</t>
        </is>
      </c>
      <c r="C3582" s="50" t="inlineStr">
        <is>
          <t>27943</t>
        </is>
      </c>
      <c r="D3582" s="50" t="inlineStr">
        <is>
          <t>—</t>
        </is>
      </c>
      <c r="E3582" s="50" t="inlineStr"/>
      <c r="F3582" s="50" t="inlineStr"/>
    </row>
    <row r="3583" ht="13" customHeight="1">
      <c r="A3583" s="51" t="inlineStr">
        <is>
          <t>33461</t>
        </is>
      </c>
      <c r="B3583" s="51" t="inlineStr">
        <is>
          <t>43453</t>
        </is>
      </c>
      <c r="C3583" s="51" t="inlineStr">
        <is>
          <t>19×2287</t>
        </is>
      </c>
      <c r="D3583" s="51" t="inlineStr">
        <is>
          <t>19</t>
        </is>
      </c>
      <c r="E3583" s="51" t="inlineStr"/>
      <c r="F3583" s="51" t="inlineStr"/>
    </row>
    <row r="3584" ht="13" customHeight="1">
      <c r="A3584" s="45" t="inlineStr">
        <is>
          <t>33469</t>
        </is>
      </c>
      <c r="B3584" s="45" t="inlineStr">
        <is>
          <t>27108</t>
        </is>
      </c>
      <c r="C3584" s="45" t="inlineStr">
        <is>
          <t>2×2×3×3×3×251</t>
        </is>
      </c>
      <c r="D3584" s="45" t="inlineStr">
        <is>
          <t>2·3</t>
        </is>
      </c>
      <c r="E3584" s="45" t="inlineStr"/>
      <c r="F3584" s="45" t="inlineStr"/>
    </row>
    <row r="3585" ht="13" customHeight="1">
      <c r="A3585" s="49" t="inlineStr">
        <is>
          <t>33479</t>
        </is>
      </c>
      <c r="B3585" s="49" t="inlineStr">
        <is>
          <t>3381</t>
        </is>
      </c>
      <c r="C3585" s="49" t="inlineStr">
        <is>
          <t>3×7×7×23</t>
        </is>
      </c>
      <c r="D3585" s="49" t="inlineStr">
        <is>
          <t>3·7</t>
        </is>
      </c>
      <c r="E3585" s="49" t="inlineStr"/>
      <c r="F3585" s="49" t="inlineStr"/>
    </row>
    <row r="3586" ht="13" customHeight="1">
      <c r="A3586" s="43" t="inlineStr">
        <is>
          <t>33487</t>
        </is>
      </c>
      <c r="B3586" s="43" t="inlineStr">
        <is>
          <t>7425</t>
        </is>
      </c>
      <c r="C3586" s="43" t="inlineStr">
        <is>
          <t>3×3×3×5×5×11</t>
        </is>
      </c>
      <c r="D3586" s="43" t="inlineStr">
        <is>
          <t>3·5·11</t>
        </is>
      </c>
      <c r="E3586" s="43" t="inlineStr"/>
      <c r="F3586" s="43" t="inlineStr"/>
    </row>
    <row r="3587" ht="13" customHeight="1">
      <c r="A3587" s="41" t="inlineStr">
        <is>
          <t>33493</t>
        </is>
      </c>
      <c r="B3587" s="41" t="inlineStr">
        <is>
          <t>12961</t>
        </is>
      </c>
      <c r="C3587" s="41" t="inlineStr">
        <is>
          <t>13×997</t>
        </is>
      </c>
      <c r="D3587" s="41" t="inlineStr">
        <is>
          <t>13</t>
        </is>
      </c>
      <c r="E3587" s="41" t="inlineStr"/>
      <c r="F3587" s="41" t="inlineStr"/>
    </row>
    <row r="3588" ht="13" customHeight="1">
      <c r="A3588" s="50" t="inlineStr">
        <is>
          <t>33503</t>
        </is>
      </c>
      <c r="B3588" s="50" t="inlineStr">
        <is>
          <t>42023</t>
        </is>
      </c>
      <c r="C3588" s="50" t="inlineStr">
        <is>
          <t>42023</t>
        </is>
      </c>
      <c r="D3588" s="50" t="inlineStr">
        <is>
          <t>—</t>
        </is>
      </c>
      <c r="E3588" s="50" t="inlineStr"/>
      <c r="F3588" s="50" t="inlineStr"/>
    </row>
    <row r="3589" ht="13" customHeight="1">
      <c r="A3589" s="49" t="inlineStr">
        <is>
          <t>33521</t>
        </is>
      </c>
      <c r="B3589" s="49" t="inlineStr">
        <is>
          <t>17274</t>
        </is>
      </c>
      <c r="C3589" s="49" t="inlineStr">
        <is>
          <t>2×3×2879</t>
        </is>
      </c>
      <c r="D3589" s="49" t="inlineStr">
        <is>
          <t>2·3</t>
        </is>
      </c>
      <c r="E3589" s="49" t="inlineStr"/>
      <c r="F3589" s="49" t="inlineStr"/>
    </row>
    <row r="3590" ht="13" customHeight="1">
      <c r="A3590" s="45" t="inlineStr">
        <is>
          <t>33529</t>
        </is>
      </c>
      <c r="B3590" s="45" t="inlineStr">
        <is>
          <t>25497</t>
        </is>
      </c>
      <c r="C3590" s="45" t="inlineStr">
        <is>
          <t>3×3×2833</t>
        </is>
      </c>
      <c r="D3590" s="45" t="inlineStr">
        <is>
          <t>3</t>
        </is>
      </c>
      <c r="E3590" s="45" t="inlineStr"/>
      <c r="F3590" s="45" t="inlineStr"/>
    </row>
    <row r="3591" ht="13" customHeight="1">
      <c r="A3591" s="39" t="inlineStr">
        <is>
          <t>33533</t>
        </is>
      </c>
      <c r="B3591" s="39" t="inlineStr">
        <is>
          <t>1260</t>
        </is>
      </c>
      <c r="C3591" s="39" t="inlineStr">
        <is>
          <t>2×2×3×3×5×7</t>
        </is>
      </c>
      <c r="D3591" s="39" t="inlineStr">
        <is>
          <t>2·3·5·7</t>
        </is>
      </c>
      <c r="E3591" s="39" t="inlineStr"/>
      <c r="F3591" s="39" t="inlineStr"/>
    </row>
    <row r="3592" ht="13" customHeight="1">
      <c r="A3592" s="41" t="inlineStr">
        <is>
          <t>33547</t>
        </is>
      </c>
      <c r="B3592" s="41" t="inlineStr">
        <is>
          <t>5096</t>
        </is>
      </c>
      <c r="C3592" s="41" t="inlineStr">
        <is>
          <t>2×2×2×7×7×13</t>
        </is>
      </c>
      <c r="D3592" s="41" t="inlineStr">
        <is>
          <t>2·7·13</t>
        </is>
      </c>
      <c r="E3592" s="41" t="inlineStr"/>
      <c r="F3592" s="41" t="inlineStr"/>
    </row>
    <row r="3593" ht="13" customHeight="1">
      <c r="A3593" s="43" t="inlineStr">
        <is>
          <t>33563</t>
        </is>
      </c>
      <c r="B3593" s="43" t="inlineStr">
        <is>
          <t>13937</t>
        </is>
      </c>
      <c r="C3593" s="43" t="inlineStr">
        <is>
          <t>7×11×181</t>
        </is>
      </c>
      <c r="D3593" s="43" t="inlineStr">
        <is>
          <t>7·11</t>
        </is>
      </c>
      <c r="E3593" s="43" t="inlineStr"/>
      <c r="F3593" s="43" t="inlineStr"/>
    </row>
    <row r="3594" ht="13" customHeight="1">
      <c r="A3594" s="45" t="inlineStr">
        <is>
          <t>33569</t>
        </is>
      </c>
      <c r="B3594" s="45" t="inlineStr">
        <is>
          <t>31056</t>
        </is>
      </c>
      <c r="C3594" s="45" t="inlineStr">
        <is>
          <t>2×2×2×2×3×647</t>
        </is>
      </c>
      <c r="D3594" s="45" t="inlineStr">
        <is>
          <t>2·3</t>
        </is>
      </c>
      <c r="E3594" s="45" t="inlineStr"/>
      <c r="F3594" s="45" t="inlineStr"/>
    </row>
    <row r="3595" ht="13" customHeight="1">
      <c r="A3595" s="50" t="inlineStr">
        <is>
          <t>33577</t>
        </is>
      </c>
      <c r="B3595" s="50" t="inlineStr">
        <is>
          <t>38261</t>
        </is>
      </c>
      <c r="C3595" s="50" t="inlineStr">
        <is>
          <t>38261</t>
        </is>
      </c>
      <c r="D3595" s="50" t="inlineStr">
        <is>
          <t>—</t>
        </is>
      </c>
      <c r="E3595" s="50" t="inlineStr"/>
      <c r="F3595" s="50" t="inlineStr"/>
    </row>
    <row r="3596" ht="13" customHeight="1">
      <c r="A3596" s="51" t="inlineStr">
        <is>
          <t>33581</t>
        </is>
      </c>
      <c r="B3596" s="51" t="inlineStr">
        <is>
          <t>34409</t>
        </is>
      </c>
      <c r="C3596" s="51" t="inlineStr">
        <is>
          <t>19×1811</t>
        </is>
      </c>
      <c r="D3596" s="51" t="inlineStr">
        <is>
          <t>19</t>
        </is>
      </c>
      <c r="E3596" s="51" t="inlineStr"/>
      <c r="F3596" s="51" t="inlineStr"/>
    </row>
    <row r="3597" ht="13" customHeight="1">
      <c r="A3597" s="49" t="inlineStr">
        <is>
          <t>33587</t>
        </is>
      </c>
      <c r="B3597" s="49" t="inlineStr">
        <is>
          <t>9404</t>
        </is>
      </c>
      <c r="C3597" s="49" t="inlineStr">
        <is>
          <t>2×2×2351</t>
        </is>
      </c>
      <c r="D3597" s="49" t="inlineStr">
        <is>
          <t>2</t>
        </is>
      </c>
      <c r="E3597" s="49" t="inlineStr"/>
      <c r="F3597" s="49" t="inlineStr"/>
    </row>
    <row r="3598" ht="13" customHeight="1">
      <c r="A3598" s="45" t="inlineStr">
        <is>
          <t>33589</t>
        </is>
      </c>
      <c r="B3598" s="45" t="inlineStr">
        <is>
          <t>27655</t>
        </is>
      </c>
      <c r="C3598" s="45" t="inlineStr">
        <is>
          <t>5×5531</t>
        </is>
      </c>
      <c r="D3598" s="45" t="inlineStr">
        <is>
          <t>5</t>
        </is>
      </c>
      <c r="E3598" s="45" t="inlineStr"/>
      <c r="F3598" s="45" t="inlineStr"/>
    </row>
    <row r="3599" ht="13" customHeight="1">
      <c r="A3599" s="41" t="inlineStr">
        <is>
          <t>33599</t>
        </is>
      </c>
      <c r="B3599" s="41" t="inlineStr">
        <is>
          <t>32903</t>
        </is>
      </c>
      <c r="C3599" s="41" t="inlineStr">
        <is>
          <t>13×2531</t>
        </is>
      </c>
      <c r="D3599" s="41" t="inlineStr">
        <is>
          <t>13</t>
        </is>
      </c>
      <c r="E3599" s="41" t="inlineStr"/>
      <c r="F3599" s="41" t="inlineStr"/>
    </row>
    <row r="3600" ht="13" customHeight="1">
      <c r="A3600" s="45" t="inlineStr">
        <is>
          <t>33601</t>
        </is>
      </c>
      <c r="B3600" s="45" t="inlineStr">
        <is>
          <t>15382</t>
        </is>
      </c>
      <c r="C3600" s="45" t="inlineStr">
        <is>
          <t>2×7691</t>
        </is>
      </c>
      <c r="D3600" s="45" t="inlineStr">
        <is>
          <t>2</t>
        </is>
      </c>
      <c r="E3600" s="45" t="inlineStr"/>
      <c r="F3600" s="45" t="inlineStr"/>
    </row>
    <row r="3601" ht="13" customHeight="1">
      <c r="A3601" s="49" t="inlineStr">
        <is>
          <t>33613</t>
        </is>
      </c>
      <c r="B3601" s="49" t="inlineStr">
        <is>
          <t>15369</t>
        </is>
      </c>
      <c r="C3601" s="49" t="inlineStr">
        <is>
          <t>3×47×109</t>
        </is>
      </c>
      <c r="D3601" s="49" t="inlineStr">
        <is>
          <t>3</t>
        </is>
      </c>
      <c r="E3601" s="49" t="inlineStr"/>
      <c r="F3601" s="49" t="inlineStr"/>
    </row>
    <row r="3602" ht="13" customHeight="1">
      <c r="A3602" s="41" t="inlineStr">
        <is>
          <t>33617</t>
        </is>
      </c>
      <c r="B3602" s="41" t="inlineStr">
        <is>
          <t>28197</t>
        </is>
      </c>
      <c r="C3602" s="41" t="inlineStr">
        <is>
          <t>3×3×13×241</t>
        </is>
      </c>
      <c r="D3602" s="41" t="inlineStr">
        <is>
          <t>3·13</t>
        </is>
      </c>
      <c r="E3602" s="41" t="inlineStr"/>
      <c r="F3602" s="41" t="inlineStr"/>
    </row>
    <row r="3603" ht="13" customHeight="1">
      <c r="A3603" s="43" t="inlineStr">
        <is>
          <t>33619</t>
        </is>
      </c>
      <c r="B3603" s="43" t="inlineStr">
        <is>
          <t>22869</t>
        </is>
      </c>
      <c r="C3603" s="43" t="inlineStr">
        <is>
          <t>3×3×3×7×11×11</t>
        </is>
      </c>
      <c r="D3603" s="43" t="inlineStr">
        <is>
          <t>3·7·11</t>
        </is>
      </c>
      <c r="E3603" s="43" t="inlineStr"/>
      <c r="F3603" s="43" t="inlineStr"/>
    </row>
    <row r="3604" ht="13" customHeight="1">
      <c r="A3604" s="41" t="inlineStr">
        <is>
          <t>33623</t>
        </is>
      </c>
      <c r="B3604" s="41" t="inlineStr">
        <is>
          <t>4134</t>
        </is>
      </c>
      <c r="C3604" s="41" t="inlineStr">
        <is>
          <t>2×3×13×53</t>
        </is>
      </c>
      <c r="D3604" s="41" t="inlineStr">
        <is>
          <t>2·3·13</t>
        </is>
      </c>
      <c r="E3604" s="41" t="inlineStr"/>
      <c r="F3604" s="41" t="inlineStr"/>
    </row>
    <row r="3605" ht="13" customHeight="1">
      <c r="A3605" s="49" t="inlineStr">
        <is>
          <t>33629</t>
        </is>
      </c>
      <c r="B3605" s="49" t="inlineStr">
        <is>
          <t>1347</t>
        </is>
      </c>
      <c r="C3605" s="49" t="inlineStr">
        <is>
          <t>3×449</t>
        </is>
      </c>
      <c r="D3605" s="49" t="inlineStr">
        <is>
          <t>3</t>
        </is>
      </c>
      <c r="E3605" s="49" t="inlineStr"/>
      <c r="F3605" s="49" t="inlineStr"/>
    </row>
    <row r="3606" ht="13" customHeight="1">
      <c r="A3606" s="45" t="inlineStr">
        <is>
          <t>33637</t>
        </is>
      </c>
      <c r="B3606" s="45" t="inlineStr">
        <is>
          <t>41942</t>
        </is>
      </c>
      <c r="C3606" s="45" t="inlineStr">
        <is>
          <t>2×67×313</t>
        </is>
      </c>
      <c r="D3606" s="45" t="inlineStr">
        <is>
          <t>2</t>
        </is>
      </c>
      <c r="E3606" s="45" t="inlineStr"/>
      <c r="F3606" s="45" t="inlineStr"/>
    </row>
    <row r="3607" ht="13" customHeight="1">
      <c r="A3607" s="49" t="inlineStr">
        <is>
          <t>33641</t>
        </is>
      </c>
      <c r="B3607" s="49" t="inlineStr">
        <is>
          <t>27320</t>
        </is>
      </c>
      <c r="C3607" s="49" t="inlineStr">
        <is>
          <t>2×2×2×5×683</t>
        </is>
      </c>
      <c r="D3607" s="49" t="inlineStr">
        <is>
          <t>2·5</t>
        </is>
      </c>
      <c r="E3607" s="49" t="inlineStr"/>
      <c r="F3607" s="49" t="inlineStr"/>
    </row>
    <row r="3608" ht="13" customHeight="1">
      <c r="A3608" s="41" t="inlineStr">
        <is>
          <t>33647</t>
        </is>
      </c>
      <c r="B3608" s="41" t="inlineStr">
        <is>
          <t>39865</t>
        </is>
      </c>
      <c r="C3608" s="41" t="inlineStr">
        <is>
          <t>5×7×17×67</t>
        </is>
      </c>
      <c r="D3608" s="41" t="inlineStr">
        <is>
          <t>5·7·17</t>
        </is>
      </c>
      <c r="E3608" s="41" t="inlineStr"/>
      <c r="F3608" s="41" t="inlineStr"/>
    </row>
    <row r="3609" ht="13" customHeight="1">
      <c r="A3609" s="43" t="inlineStr">
        <is>
          <t>33679</t>
        </is>
      </c>
      <c r="B3609" s="43" t="inlineStr">
        <is>
          <t>36256</t>
        </is>
      </c>
      <c r="C3609" s="43" t="inlineStr">
        <is>
          <t>2×2×2×2×2×11×103</t>
        </is>
      </c>
      <c r="D3609" s="43" t="inlineStr">
        <is>
          <t>2·11</t>
        </is>
      </c>
      <c r="E3609" s="43" t="inlineStr"/>
      <c r="F3609" s="43" t="inlineStr"/>
    </row>
    <row r="3610" ht="13" customHeight="1">
      <c r="A3610" s="50" t="inlineStr">
        <is>
          <t>33703</t>
        </is>
      </c>
      <c r="B3610" s="50" t="inlineStr">
        <is>
          <t>443</t>
        </is>
      </c>
      <c r="C3610" s="50" t="inlineStr">
        <is>
          <t>443</t>
        </is>
      </c>
      <c r="D3610" s="50" t="inlineStr">
        <is>
          <t>—</t>
        </is>
      </c>
      <c r="E3610" s="50" t="inlineStr"/>
      <c r="F3610" s="50" t="inlineStr"/>
    </row>
    <row r="3611" ht="13" customHeight="1">
      <c r="A3611" s="41" t="inlineStr">
        <is>
          <t>33713</t>
        </is>
      </c>
      <c r="B3611" s="41" t="inlineStr">
        <is>
          <t>8619</t>
        </is>
      </c>
      <c r="C3611" s="41" t="inlineStr">
        <is>
          <t>3×13×13×17</t>
        </is>
      </c>
      <c r="D3611" s="41" t="inlineStr">
        <is>
          <t>3·13·17</t>
        </is>
      </c>
      <c r="E3611" s="41" t="inlineStr"/>
      <c r="F3611" s="41" t="inlineStr"/>
    </row>
    <row r="3612" ht="13" customHeight="1">
      <c r="A3612" s="45" t="inlineStr">
        <is>
          <t>33721</t>
        </is>
      </c>
      <c r="B3612" s="45" t="inlineStr">
        <is>
          <t>26175</t>
        </is>
      </c>
      <c r="C3612" s="45" t="inlineStr">
        <is>
          <t>3×5×5×349</t>
        </is>
      </c>
      <c r="D3612" s="45" t="inlineStr">
        <is>
          <t>3·5</t>
        </is>
      </c>
      <c r="E3612" s="45" t="inlineStr"/>
      <c r="F3612" s="45" t="inlineStr"/>
    </row>
    <row r="3613" ht="13" customHeight="1">
      <c r="A3613" s="50" t="inlineStr">
        <is>
          <t>33739</t>
        </is>
      </c>
      <c r="B3613" s="50" t="inlineStr">
        <is>
          <t>32843</t>
        </is>
      </c>
      <c r="C3613" s="50" t="inlineStr">
        <is>
          <t>32843</t>
        </is>
      </c>
      <c r="D3613" s="50" t="inlineStr">
        <is>
          <t>—</t>
        </is>
      </c>
      <c r="E3613" s="50" t="inlineStr"/>
      <c r="F3613" s="50" t="inlineStr"/>
    </row>
    <row r="3614" ht="13" customHeight="1">
      <c r="A3614" s="41" t="inlineStr">
        <is>
          <t>33749</t>
        </is>
      </c>
      <c r="B3614" s="41" t="inlineStr">
        <is>
          <t>6885</t>
        </is>
      </c>
      <c r="C3614" s="41" t="inlineStr">
        <is>
          <t>3×3×3×3×5×17</t>
        </is>
      </c>
      <c r="D3614" s="41" t="inlineStr">
        <is>
          <t>3·5·17</t>
        </is>
      </c>
      <c r="E3614" s="41" t="inlineStr"/>
      <c r="F3614" s="41" t="inlineStr"/>
    </row>
    <row r="3615" ht="13" customHeight="1">
      <c r="A3615" s="43" t="inlineStr">
        <is>
          <t>33751</t>
        </is>
      </c>
      <c r="B3615" s="43" t="inlineStr">
        <is>
          <t>27940</t>
        </is>
      </c>
      <c r="C3615" s="43" t="inlineStr">
        <is>
          <t>2×2×5×11×127</t>
        </is>
      </c>
      <c r="D3615" s="43" t="inlineStr">
        <is>
          <t>2·5·11</t>
        </is>
      </c>
      <c r="E3615" s="43" t="inlineStr"/>
      <c r="F3615" s="43" t="inlineStr"/>
    </row>
    <row r="3616" ht="13" customHeight="1">
      <c r="A3616" s="45" t="inlineStr">
        <is>
          <t>33757</t>
        </is>
      </c>
      <c r="B3616" s="45" t="inlineStr">
        <is>
          <t>22866</t>
        </is>
      </c>
      <c r="C3616" s="45" t="inlineStr">
        <is>
          <t>2×3×37×103</t>
        </is>
      </c>
      <c r="D3616" s="45" t="inlineStr">
        <is>
          <t>2·3</t>
        </is>
      </c>
      <c r="E3616" s="45" t="inlineStr"/>
      <c r="F3616" s="45" t="inlineStr"/>
    </row>
    <row r="3617" ht="13" customHeight="1">
      <c r="A3617" s="50" t="inlineStr">
        <is>
          <t>33767</t>
        </is>
      </c>
      <c r="B3617" s="50" t="inlineStr">
        <is>
          <t>17749</t>
        </is>
      </c>
      <c r="C3617" s="50" t="inlineStr">
        <is>
          <t>17749</t>
        </is>
      </c>
      <c r="D3617" s="50" t="inlineStr">
        <is>
          <t>—</t>
        </is>
      </c>
      <c r="E3617" s="50" t="inlineStr"/>
      <c r="F3617" s="50" t="inlineStr"/>
    </row>
    <row r="3618" ht="13" customHeight="1">
      <c r="A3618" s="45" t="inlineStr">
        <is>
          <t>33769</t>
        </is>
      </c>
      <c r="B3618" s="45" t="inlineStr">
        <is>
          <t>38680</t>
        </is>
      </c>
      <c r="C3618" s="45" t="inlineStr">
        <is>
          <t>2×2×2×5×967</t>
        </is>
      </c>
      <c r="D3618" s="45" t="inlineStr">
        <is>
          <t>2·5</t>
        </is>
      </c>
      <c r="E3618" s="45" t="inlineStr"/>
      <c r="F3618" s="45" t="inlineStr"/>
    </row>
    <row r="3619" ht="13" customHeight="1">
      <c r="A3619" s="51" t="inlineStr">
        <is>
          <t>33773</t>
        </is>
      </c>
      <c r="B3619" s="51" t="inlineStr">
        <is>
          <t>24567</t>
        </is>
      </c>
      <c r="C3619" s="51" t="inlineStr">
        <is>
          <t>3×19×431</t>
        </is>
      </c>
      <c r="D3619" s="51" t="inlineStr">
        <is>
          <t>3·19</t>
        </is>
      </c>
      <c r="E3619" s="51" t="inlineStr"/>
      <c r="F3619" s="51" t="inlineStr"/>
    </row>
    <row r="3620" ht="13" customHeight="1">
      <c r="A3620" s="45" t="inlineStr">
        <is>
          <t>33791</t>
        </is>
      </c>
      <c r="B3620" s="45" t="inlineStr">
        <is>
          <t>41476</t>
        </is>
      </c>
      <c r="C3620" s="45" t="inlineStr">
        <is>
          <t>2×2×10369</t>
        </is>
      </c>
      <c r="D3620" s="45" t="inlineStr">
        <is>
          <t>2</t>
        </is>
      </c>
      <c r="E3620" s="45" t="inlineStr"/>
      <c r="F3620" s="45" t="inlineStr"/>
    </row>
    <row r="3621" ht="13" customHeight="1">
      <c r="A3621" s="50" t="inlineStr">
        <is>
          <t>33797</t>
        </is>
      </c>
      <c r="B3621" s="50" t="inlineStr">
        <is>
          <t>18979</t>
        </is>
      </c>
      <c r="C3621" s="50" t="inlineStr">
        <is>
          <t>18979</t>
        </is>
      </c>
      <c r="D3621" s="50" t="inlineStr">
        <is>
          <t>—</t>
        </is>
      </c>
      <c r="E3621" s="50" t="inlineStr"/>
      <c r="F3621" s="50" t="inlineStr"/>
    </row>
    <row r="3622" ht="13" customHeight="1">
      <c r="A3622" s="41" t="inlineStr">
        <is>
          <t>33809</t>
        </is>
      </c>
      <c r="B3622" s="41" t="inlineStr">
        <is>
          <t>35750</t>
        </is>
      </c>
      <c r="C3622" s="41" t="inlineStr">
        <is>
          <t>2×5×5×5×11×13</t>
        </is>
      </c>
      <c r="D3622" s="41" t="inlineStr">
        <is>
          <t>2·5·11·13</t>
        </is>
      </c>
      <c r="E3622" s="41" t="inlineStr"/>
      <c r="F3622" s="41" t="inlineStr"/>
    </row>
    <row r="3623" ht="13" customHeight="1">
      <c r="A3623" s="50" t="inlineStr">
        <is>
          <t>33811</t>
        </is>
      </c>
      <c r="B3623" s="50" t="inlineStr">
        <is>
          <t>23531</t>
        </is>
      </c>
      <c r="C3623" s="50" t="inlineStr">
        <is>
          <t>23531</t>
        </is>
      </c>
      <c r="D3623" s="50" t="inlineStr">
        <is>
          <t>—</t>
        </is>
      </c>
      <c r="E3623" s="50" t="inlineStr"/>
      <c r="F3623" s="50" t="inlineStr"/>
    </row>
    <row r="3624" ht="13" customHeight="1">
      <c r="A3624" s="43" t="inlineStr">
        <is>
          <t>33827</t>
        </is>
      </c>
      <c r="B3624" s="43" t="inlineStr">
        <is>
          <t>13596</t>
        </is>
      </c>
      <c r="C3624" s="43" t="inlineStr">
        <is>
          <t>2×2×3×11×103</t>
        </is>
      </c>
      <c r="D3624" s="43" t="inlineStr">
        <is>
          <t>2·3·11</t>
        </is>
      </c>
      <c r="E3624" s="43" t="inlineStr"/>
      <c r="F3624" s="43" t="inlineStr"/>
    </row>
    <row r="3625" ht="13" customHeight="1">
      <c r="A3625" s="50" t="inlineStr">
        <is>
          <t>33829</t>
        </is>
      </c>
      <c r="B3625" s="50" t="inlineStr">
        <is>
          <t>30161</t>
        </is>
      </c>
      <c r="C3625" s="50" t="inlineStr">
        <is>
          <t>30161</t>
        </is>
      </c>
      <c r="D3625" s="50" t="inlineStr">
        <is>
          <t>—</t>
        </is>
      </c>
      <c r="E3625" s="50" t="inlineStr"/>
      <c r="F3625" s="50" t="inlineStr"/>
    </row>
    <row r="3626" ht="13" customHeight="1">
      <c r="A3626" s="45" t="inlineStr">
        <is>
          <t>33851</t>
        </is>
      </c>
      <c r="B3626" s="45" t="inlineStr">
        <is>
          <t>23585</t>
        </is>
      </c>
      <c r="C3626" s="45" t="inlineStr">
        <is>
          <t>5×53×89</t>
        </is>
      </c>
      <c r="D3626" s="45" t="inlineStr">
        <is>
          <t>5</t>
        </is>
      </c>
      <c r="E3626" s="45" t="inlineStr"/>
      <c r="F3626" s="45" t="inlineStr"/>
    </row>
    <row r="3627" ht="13" customHeight="1">
      <c r="A3627" s="49" t="inlineStr">
        <is>
          <t>33857</t>
        </is>
      </c>
      <c r="B3627" s="49" t="inlineStr">
        <is>
          <t>37305</t>
        </is>
      </c>
      <c r="C3627" s="49" t="inlineStr">
        <is>
          <t>3×3×5×829</t>
        </is>
      </c>
      <c r="D3627" s="49" t="inlineStr">
        <is>
          <t>3·5</t>
        </is>
      </c>
      <c r="E3627" s="49" t="inlineStr"/>
      <c r="F3627" s="49" t="inlineStr"/>
    </row>
    <row r="3628" ht="13" customHeight="1">
      <c r="A3628" s="45" t="inlineStr">
        <is>
          <t>33863</t>
        </is>
      </c>
      <c r="B3628" s="45" t="inlineStr">
        <is>
          <t>13543</t>
        </is>
      </c>
      <c r="C3628" s="45" t="inlineStr">
        <is>
          <t>29×467</t>
        </is>
      </c>
      <c r="D3628" s="45" t="inlineStr">
        <is>
          <t>—</t>
        </is>
      </c>
      <c r="E3628" s="45" t="inlineStr"/>
      <c r="F3628" s="45" t="inlineStr"/>
    </row>
    <row r="3629" ht="13" customHeight="1">
      <c r="A3629" s="49" t="inlineStr">
        <is>
          <t>33871</t>
        </is>
      </c>
      <c r="B3629" s="49" t="inlineStr">
        <is>
          <t>18419</t>
        </is>
      </c>
      <c r="C3629" s="49" t="inlineStr">
        <is>
          <t>113×163</t>
        </is>
      </c>
      <c r="D3629" s="49" t="inlineStr">
        <is>
          <t>—</t>
        </is>
      </c>
      <c r="E3629" s="49" t="inlineStr"/>
      <c r="F3629" s="49" t="inlineStr"/>
    </row>
    <row r="3630" ht="13" customHeight="1">
      <c r="A3630" s="45" t="inlineStr">
        <is>
          <t>33889</t>
        </is>
      </c>
      <c r="B3630" s="45" t="inlineStr">
        <is>
          <t>17752</t>
        </is>
      </c>
      <c r="C3630" s="45" t="inlineStr">
        <is>
          <t>2×2×2×7×317</t>
        </is>
      </c>
      <c r="D3630" s="45" t="inlineStr">
        <is>
          <t>2·7</t>
        </is>
      </c>
      <c r="E3630" s="45" t="inlineStr"/>
      <c r="F3630" s="45" t="inlineStr"/>
    </row>
    <row r="3631" ht="13" customHeight="1">
      <c r="A3631" s="49" t="inlineStr">
        <is>
          <t>33893</t>
        </is>
      </c>
      <c r="B3631" s="49" t="inlineStr">
        <is>
          <t>11565</t>
        </is>
      </c>
      <c r="C3631" s="49" t="inlineStr">
        <is>
          <t>3×3×5×257</t>
        </is>
      </c>
      <c r="D3631" s="49" t="inlineStr">
        <is>
          <t>3·5</t>
        </is>
      </c>
      <c r="E3631" s="49" t="inlineStr"/>
      <c r="F3631" s="49" t="inlineStr"/>
    </row>
    <row r="3632" ht="13" customHeight="1">
      <c r="A3632" s="45" t="inlineStr">
        <is>
          <t>33911</t>
        </is>
      </c>
      <c r="B3632" s="45" t="inlineStr">
        <is>
          <t>36659</t>
        </is>
      </c>
      <c r="C3632" s="45" t="inlineStr">
        <is>
          <t>7×5237</t>
        </is>
      </c>
      <c r="D3632" s="45" t="inlineStr">
        <is>
          <t>7</t>
        </is>
      </c>
      <c r="E3632" s="45" t="inlineStr"/>
      <c r="F3632" s="45" t="inlineStr"/>
    </row>
    <row r="3633" ht="13" customHeight="1">
      <c r="A3633" s="50" t="inlineStr">
        <is>
          <t>33923</t>
        </is>
      </c>
      <c r="B3633" s="50" t="inlineStr">
        <is>
          <t>9871</t>
        </is>
      </c>
      <c r="C3633" s="50" t="inlineStr">
        <is>
          <t>9871</t>
        </is>
      </c>
      <c r="D3633" s="50" t="inlineStr">
        <is>
          <t>—</t>
        </is>
      </c>
      <c r="E3633" s="50" t="inlineStr"/>
      <c r="F3633" s="50" t="inlineStr"/>
    </row>
    <row r="3634" ht="13" customHeight="1">
      <c r="A3634" s="41" t="inlineStr">
        <is>
          <t>33931</t>
        </is>
      </c>
      <c r="B3634" s="41" t="inlineStr">
        <is>
          <t>43563</t>
        </is>
      </c>
      <c r="C3634" s="41" t="inlineStr">
        <is>
          <t>3×13×1117</t>
        </is>
      </c>
      <c r="D3634" s="41" t="inlineStr">
        <is>
          <t>3·13</t>
        </is>
      </c>
      <c r="E3634" s="41" t="inlineStr"/>
      <c r="F3634" s="41" t="inlineStr"/>
    </row>
    <row r="3635" ht="13" customHeight="1">
      <c r="A3635" s="49" t="inlineStr">
        <is>
          <t>33937</t>
        </is>
      </c>
      <c r="B3635" s="49" t="inlineStr">
        <is>
          <t>40130</t>
        </is>
      </c>
      <c r="C3635" s="49" t="inlineStr">
        <is>
          <t>2×5×4013</t>
        </is>
      </c>
      <c r="D3635" s="49" t="inlineStr">
        <is>
          <t>2·5</t>
        </is>
      </c>
      <c r="E3635" s="49" t="inlineStr"/>
      <c r="F3635" s="49" t="inlineStr"/>
    </row>
    <row r="3636" ht="13" customHeight="1">
      <c r="A3636" s="45" t="inlineStr">
        <is>
          <t>33941</t>
        </is>
      </c>
      <c r="B3636" s="45" t="inlineStr">
        <is>
          <t>35835</t>
        </is>
      </c>
      <c r="C3636" s="45" t="inlineStr">
        <is>
          <t>3×5×2389</t>
        </is>
      </c>
      <c r="D3636" s="45" t="inlineStr">
        <is>
          <t>3·5</t>
        </is>
      </c>
      <c r="E3636" s="45" t="inlineStr"/>
      <c r="F3636" s="45" t="inlineStr"/>
    </row>
    <row r="3637" ht="13" customHeight="1">
      <c r="A3637" s="49" t="inlineStr">
        <is>
          <t>33961</t>
        </is>
      </c>
      <c r="B3637" s="49" t="inlineStr">
        <is>
          <t>38521</t>
        </is>
      </c>
      <c r="C3637" s="49" t="inlineStr">
        <is>
          <t>7×5503</t>
        </is>
      </c>
      <c r="D3637" s="49" t="inlineStr">
        <is>
          <t>7</t>
        </is>
      </c>
      <c r="E3637" s="49" t="inlineStr"/>
      <c r="F3637" s="49" t="inlineStr"/>
    </row>
    <row r="3638" ht="13" customHeight="1">
      <c r="A3638" s="45" t="inlineStr">
        <is>
          <t>33967</t>
        </is>
      </c>
      <c r="B3638" s="45" t="inlineStr">
        <is>
          <t>6054</t>
        </is>
      </c>
      <c r="C3638" s="45" t="inlineStr">
        <is>
          <t>2×3×1009</t>
        </is>
      </c>
      <c r="D3638" s="45" t="inlineStr">
        <is>
          <t>2·3</t>
        </is>
      </c>
      <c r="E3638" s="45" t="inlineStr"/>
      <c r="F3638" s="45" t="inlineStr"/>
    </row>
    <row r="3639" ht="13" customHeight="1">
      <c r="A3639" s="49" t="inlineStr">
        <is>
          <t>33997</t>
        </is>
      </c>
      <c r="B3639" s="49" t="inlineStr">
        <is>
          <t>9850</t>
        </is>
      </c>
      <c r="C3639" s="49" t="inlineStr">
        <is>
          <t>2×5×5×197</t>
        </is>
      </c>
      <c r="D3639" s="49" t="inlineStr">
        <is>
          <t>2·5</t>
        </is>
      </c>
      <c r="E3639" s="49" t="inlineStr"/>
      <c r="F3639" s="49" t="inlineStr"/>
    </row>
    <row r="3640" ht="13" customHeight="1">
      <c r="A3640" s="45" t="inlineStr">
        <is>
          <t>34019</t>
        </is>
      </c>
      <c r="B3640" s="45" t="inlineStr">
        <is>
          <t>15252</t>
        </is>
      </c>
      <c r="C3640" s="45" t="inlineStr">
        <is>
          <t>2×2×3×31×41</t>
        </is>
      </c>
      <c r="D3640" s="45" t="inlineStr">
        <is>
          <t>2·3</t>
        </is>
      </c>
      <c r="E3640" s="45" t="inlineStr"/>
      <c r="F3640" s="45" t="inlineStr"/>
    </row>
    <row r="3641" ht="13" customHeight="1">
      <c r="A3641" s="50" t="inlineStr">
        <is>
          <t>34031</t>
        </is>
      </c>
      <c r="B3641" s="50" t="inlineStr">
        <is>
          <t>25799</t>
        </is>
      </c>
      <c r="C3641" s="50" t="inlineStr">
        <is>
          <t>25799</t>
        </is>
      </c>
      <c r="D3641" s="50" t="inlineStr">
        <is>
          <t>—</t>
        </is>
      </c>
      <c r="E3641" s="50" t="inlineStr"/>
      <c r="F3641" s="50" t="inlineStr"/>
    </row>
    <row r="3642" ht="13" customHeight="1">
      <c r="A3642" s="45" t="inlineStr">
        <is>
          <t>34033</t>
        </is>
      </c>
      <c r="B3642" s="45" t="inlineStr">
        <is>
          <t>28011</t>
        </is>
      </c>
      <c r="C3642" s="45" t="inlineStr">
        <is>
          <t>3×9337</t>
        </is>
      </c>
      <c r="D3642" s="45" t="inlineStr">
        <is>
          <t>3</t>
        </is>
      </c>
      <c r="E3642" s="45" t="inlineStr"/>
      <c r="F3642" s="45" t="inlineStr"/>
    </row>
    <row r="3643" ht="13" customHeight="1">
      <c r="A3643" s="43" t="inlineStr">
        <is>
          <t>34039</t>
        </is>
      </c>
      <c r="B3643" s="43" t="inlineStr">
        <is>
          <t>28754</t>
        </is>
      </c>
      <c r="C3643" s="43" t="inlineStr">
        <is>
          <t>2×11×1307</t>
        </is>
      </c>
      <c r="D3643" s="43" t="inlineStr">
        <is>
          <t>2·11</t>
        </is>
      </c>
      <c r="E3643" s="43" t="inlineStr"/>
      <c r="F3643" s="43" t="inlineStr"/>
    </row>
    <row r="3644" ht="13" customHeight="1">
      <c r="A3644" s="45" t="inlineStr">
        <is>
          <t>34057</t>
        </is>
      </c>
      <c r="B3644" s="45" t="inlineStr">
        <is>
          <t>41146</t>
        </is>
      </c>
      <c r="C3644" s="45" t="inlineStr">
        <is>
          <t>2×7×2939</t>
        </is>
      </c>
      <c r="D3644" s="45" t="inlineStr">
        <is>
          <t>2·7</t>
        </is>
      </c>
      <c r="E3644" s="45" t="inlineStr"/>
      <c r="F3644" s="45" t="inlineStr"/>
    </row>
    <row r="3645" ht="13" customHeight="1">
      <c r="A3645" s="49" t="inlineStr">
        <is>
          <t>34061</t>
        </is>
      </c>
      <c r="B3645" s="49" t="inlineStr">
        <is>
          <t>12814</t>
        </is>
      </c>
      <c r="C3645" s="49" t="inlineStr">
        <is>
          <t>2×43×149</t>
        </is>
      </c>
      <c r="D3645" s="49" t="inlineStr">
        <is>
          <t>2</t>
        </is>
      </c>
      <c r="E3645" s="49" t="inlineStr"/>
      <c r="F3645" s="49" t="inlineStr"/>
    </row>
    <row r="3646" ht="13" customHeight="1">
      <c r="A3646" s="43" t="inlineStr">
        <is>
          <t>34123</t>
        </is>
      </c>
      <c r="B3646" s="43" t="inlineStr">
        <is>
          <t>16324</t>
        </is>
      </c>
      <c r="C3646" s="43" t="inlineStr">
        <is>
          <t>2×2×7×11×53</t>
        </is>
      </c>
      <c r="D3646" s="43" t="inlineStr">
        <is>
          <t>2·7·11</t>
        </is>
      </c>
      <c r="E3646" s="43" t="inlineStr"/>
      <c r="F3646" s="43" t="inlineStr"/>
    </row>
    <row r="3647" ht="13" customHeight="1">
      <c r="A3647" s="49" t="inlineStr">
        <is>
          <t>34127</t>
        </is>
      </c>
      <c r="B3647" s="49" t="inlineStr">
        <is>
          <t>13758</t>
        </is>
      </c>
      <c r="C3647" s="49" t="inlineStr">
        <is>
          <t>2×3×2293</t>
        </is>
      </c>
      <c r="D3647" s="49" t="inlineStr">
        <is>
          <t>2·3</t>
        </is>
      </c>
      <c r="E3647" s="49" t="inlineStr"/>
      <c r="F3647" s="49" t="inlineStr"/>
    </row>
    <row r="3648" ht="13" customHeight="1">
      <c r="A3648" s="45" t="inlineStr">
        <is>
          <t>34129</t>
        </is>
      </c>
      <c r="B3648" s="45" t="inlineStr">
        <is>
          <t>38242</t>
        </is>
      </c>
      <c r="C3648" s="45" t="inlineStr">
        <is>
          <t>2×19121</t>
        </is>
      </c>
      <c r="D3648" s="45" t="inlineStr">
        <is>
          <t>2</t>
        </is>
      </c>
      <c r="E3648" s="45" t="inlineStr"/>
      <c r="F3648" s="45" t="inlineStr"/>
    </row>
    <row r="3649" ht="13" customHeight="1">
      <c r="A3649" s="41" t="inlineStr">
        <is>
          <t>34141</t>
        </is>
      </c>
      <c r="B3649" s="41" t="inlineStr">
        <is>
          <t>25753</t>
        </is>
      </c>
      <c r="C3649" s="41" t="inlineStr">
        <is>
          <t>7×13×283</t>
        </is>
      </c>
      <c r="D3649" s="41" t="inlineStr">
        <is>
          <t>7·13</t>
        </is>
      </c>
      <c r="E3649" s="41" t="inlineStr"/>
      <c r="F3649" s="41" t="inlineStr"/>
    </row>
    <row r="3650" ht="13" customHeight="1">
      <c r="A3650" s="41" t="inlineStr">
        <is>
          <t>34147</t>
        </is>
      </c>
      <c r="B3650" s="41" t="inlineStr">
        <is>
          <t>28084</t>
        </is>
      </c>
      <c r="C3650" s="41" t="inlineStr">
        <is>
          <t>2×2×7×17×59</t>
        </is>
      </c>
      <c r="D3650" s="41" t="inlineStr">
        <is>
          <t>2·7·17</t>
        </is>
      </c>
      <c r="E3650" s="41" t="inlineStr"/>
      <c r="F3650" s="41" t="inlineStr"/>
    </row>
    <row r="3651" ht="13" customHeight="1">
      <c r="A3651" s="41" t="inlineStr">
        <is>
          <t>34157</t>
        </is>
      </c>
      <c r="B3651" s="41" t="inlineStr">
        <is>
          <t>11679</t>
        </is>
      </c>
      <c r="C3651" s="41" t="inlineStr">
        <is>
          <t>3×17×229</t>
        </is>
      </c>
      <c r="D3651" s="41" t="inlineStr">
        <is>
          <t>3·17</t>
        </is>
      </c>
      <c r="E3651" s="41" t="inlineStr"/>
      <c r="F3651" s="41" t="inlineStr"/>
    </row>
    <row r="3652" ht="13" customHeight="1">
      <c r="A3652" s="50" t="inlineStr">
        <is>
          <t>34159</t>
        </is>
      </c>
      <c r="B3652" s="50" t="inlineStr">
        <is>
          <t>4703</t>
        </is>
      </c>
      <c r="C3652" s="50" t="inlineStr">
        <is>
          <t>4703</t>
        </is>
      </c>
      <c r="D3652" s="50" t="inlineStr">
        <is>
          <t>—</t>
        </is>
      </c>
      <c r="E3652" s="50" t="inlineStr"/>
      <c r="F3652" s="50" t="inlineStr"/>
    </row>
    <row r="3653" ht="13" customHeight="1">
      <c r="A3653" s="50" t="inlineStr">
        <is>
          <t>34171</t>
        </is>
      </c>
      <c r="B3653" s="50" t="inlineStr">
        <is>
          <t>11393</t>
        </is>
      </c>
      <c r="C3653" s="50" t="inlineStr">
        <is>
          <t>11393</t>
        </is>
      </c>
      <c r="D3653" s="50" t="inlineStr">
        <is>
          <t>—</t>
        </is>
      </c>
      <c r="E3653" s="50" t="inlineStr"/>
      <c r="F3653" s="50" t="inlineStr"/>
    </row>
    <row r="3654" ht="13" customHeight="1">
      <c r="A3654" s="45" t="inlineStr">
        <is>
          <t>34183</t>
        </is>
      </c>
      <c r="B3654" s="45" t="inlineStr">
        <is>
          <t>39837</t>
        </is>
      </c>
      <c r="C3654" s="45" t="inlineStr">
        <is>
          <t>3×7×7×271</t>
        </is>
      </c>
      <c r="D3654" s="45" t="inlineStr">
        <is>
          <t>3·7</t>
        </is>
      </c>
      <c r="E3654" s="45" t="inlineStr"/>
      <c r="F3654" s="45" t="inlineStr"/>
    </row>
    <row r="3655" ht="13" customHeight="1">
      <c r="A3655" s="49" t="inlineStr">
        <is>
          <t>34211</t>
        </is>
      </c>
      <c r="B3655" s="49" t="inlineStr">
        <is>
          <t>33805</t>
        </is>
      </c>
      <c r="C3655" s="49" t="inlineStr">
        <is>
          <t>5×6761</t>
        </is>
      </c>
      <c r="D3655" s="49" t="inlineStr">
        <is>
          <t>5</t>
        </is>
      </c>
      <c r="E3655" s="49" t="inlineStr"/>
      <c r="F3655" s="49" t="inlineStr"/>
    </row>
    <row r="3656" ht="13" customHeight="1">
      <c r="A3656" s="51" t="inlineStr">
        <is>
          <t>34213</t>
        </is>
      </c>
      <c r="B3656" s="51" t="inlineStr">
        <is>
          <t>16530</t>
        </is>
      </c>
      <c r="C3656" s="51" t="inlineStr">
        <is>
          <t>2×3×5×19×29</t>
        </is>
      </c>
      <c r="D3656" s="51" t="inlineStr">
        <is>
          <t>2·3·5·19</t>
        </is>
      </c>
      <c r="E3656" s="51" t="inlineStr"/>
      <c r="F3656" s="51" t="inlineStr"/>
    </row>
    <row r="3657" ht="13" customHeight="1">
      <c r="A3657" s="49" t="inlineStr">
        <is>
          <t>34217</t>
        </is>
      </c>
      <c r="B3657" s="49" t="inlineStr">
        <is>
          <t>3435</t>
        </is>
      </c>
      <c r="C3657" s="49" t="inlineStr">
        <is>
          <t>3×5×229</t>
        </is>
      </c>
      <c r="D3657" s="49" t="inlineStr">
        <is>
          <t>3·5</t>
        </is>
      </c>
      <c r="E3657" s="49" t="inlineStr"/>
      <c r="F3657" s="49" t="inlineStr"/>
    </row>
    <row r="3658" ht="13" customHeight="1">
      <c r="A3658" s="45" t="inlineStr">
        <is>
          <t>34231</t>
        </is>
      </c>
      <c r="B3658" s="45" t="inlineStr">
        <is>
          <t>41793</t>
        </is>
      </c>
      <c r="C3658" s="45" t="inlineStr">
        <is>
          <t>3×13931</t>
        </is>
      </c>
      <c r="D3658" s="45" t="inlineStr">
        <is>
          <t>3</t>
        </is>
      </c>
      <c r="E3658" s="45" t="inlineStr"/>
      <c r="F3658" s="45" t="inlineStr"/>
    </row>
    <row r="3659" ht="13" customHeight="1">
      <c r="A3659" s="41" t="inlineStr">
        <is>
          <t>34253</t>
        </is>
      </c>
      <c r="B3659" s="41" t="inlineStr">
        <is>
          <t>1054</t>
        </is>
      </c>
      <c r="C3659" s="41" t="inlineStr">
        <is>
          <t>2×17×31</t>
        </is>
      </c>
      <c r="D3659" s="41" t="inlineStr">
        <is>
          <t>2·17</t>
        </is>
      </c>
      <c r="E3659" s="41" t="inlineStr"/>
      <c r="F3659" s="41" t="inlineStr"/>
    </row>
    <row r="3660" ht="13" customHeight="1">
      <c r="A3660" s="41" t="inlineStr">
        <is>
          <t>34259</t>
        </is>
      </c>
      <c r="B3660" s="41" t="inlineStr">
        <is>
          <t>37362</t>
        </is>
      </c>
      <c r="C3660" s="41" t="inlineStr">
        <is>
          <t>2×3×13×479</t>
        </is>
      </c>
      <c r="D3660" s="41" t="inlineStr">
        <is>
          <t>2·3·13</t>
        </is>
      </c>
      <c r="E3660" s="41" t="inlineStr"/>
      <c r="F3660" s="41" t="inlineStr"/>
    </row>
    <row r="3661" ht="13" customHeight="1">
      <c r="A3661" s="49" t="inlineStr">
        <is>
          <t>34261</t>
        </is>
      </c>
      <c r="B3661" s="49" t="inlineStr">
        <is>
          <t>11368</t>
        </is>
      </c>
      <c r="C3661" s="49" t="inlineStr">
        <is>
          <t>2×2×2×7×7×29</t>
        </is>
      </c>
      <c r="D3661" s="49" t="inlineStr">
        <is>
          <t>2·7</t>
        </is>
      </c>
      <c r="E3661" s="49" t="inlineStr"/>
      <c r="F3661" s="49" t="inlineStr"/>
    </row>
    <row r="3662" ht="13" customHeight="1">
      <c r="A3662" s="45" t="inlineStr">
        <is>
          <t>34267</t>
        </is>
      </c>
      <c r="B3662" s="45" t="inlineStr">
        <is>
          <t>19880</t>
        </is>
      </c>
      <c r="C3662" s="45" t="inlineStr">
        <is>
          <t>2×2×2×5×7×71</t>
        </is>
      </c>
      <c r="D3662" s="45" t="inlineStr">
        <is>
          <t>2·5·7</t>
        </is>
      </c>
      <c r="E3662" s="45" t="inlineStr"/>
      <c r="F3662" s="45" t="inlineStr"/>
    </row>
    <row r="3663" ht="13" customHeight="1">
      <c r="A3663" s="50" t="inlineStr">
        <is>
          <t>34273</t>
        </is>
      </c>
      <c r="B3663" s="50" t="inlineStr">
        <is>
          <t>43613</t>
        </is>
      </c>
      <c r="C3663" s="50" t="inlineStr">
        <is>
          <t>43613</t>
        </is>
      </c>
      <c r="D3663" s="50" t="inlineStr">
        <is>
          <t>—</t>
        </is>
      </c>
      <c r="E3663" s="50" t="inlineStr"/>
      <c r="F3663" s="50" t="inlineStr"/>
    </row>
    <row r="3664" ht="13" customHeight="1">
      <c r="A3664" s="45" t="inlineStr">
        <is>
          <t>34283</t>
        </is>
      </c>
      <c r="B3664" s="45" t="inlineStr">
        <is>
          <t>19113</t>
        </is>
      </c>
      <c r="C3664" s="45" t="inlineStr">
        <is>
          <t>3×23×277</t>
        </is>
      </c>
      <c r="D3664" s="45" t="inlineStr">
        <is>
          <t>3</t>
        </is>
      </c>
      <c r="E3664" s="45" t="inlineStr"/>
      <c r="F3664" s="45" t="inlineStr"/>
    </row>
    <row r="3665" ht="13" customHeight="1">
      <c r="A3665" s="49" t="inlineStr">
        <is>
          <t>34297</t>
        </is>
      </c>
      <c r="B3665" s="49" t="inlineStr">
        <is>
          <t>15256</t>
        </is>
      </c>
      <c r="C3665" s="49" t="inlineStr">
        <is>
          <t>2×2×2×1907</t>
        </is>
      </c>
      <c r="D3665" s="49" t="inlineStr">
        <is>
          <t>2</t>
        </is>
      </c>
      <c r="E3665" s="49" t="inlineStr"/>
      <c r="F3665" s="49" t="inlineStr"/>
    </row>
    <row r="3666" ht="13" customHeight="1">
      <c r="A3666" s="45" t="inlineStr">
        <is>
          <t>34301</t>
        </is>
      </c>
      <c r="B3666" s="45" t="inlineStr">
        <is>
          <t>38286</t>
        </is>
      </c>
      <c r="C3666" s="45" t="inlineStr">
        <is>
          <t>2×3×3×3×709</t>
        </is>
      </c>
      <c r="D3666" s="45" t="inlineStr">
        <is>
          <t>2·3</t>
        </is>
      </c>
      <c r="E3666" s="45" t="inlineStr"/>
      <c r="F3666" s="45" t="inlineStr"/>
    </row>
    <row r="3667" ht="13" customHeight="1">
      <c r="A3667" s="49" t="inlineStr">
        <is>
          <t>34303</t>
        </is>
      </c>
      <c r="B3667" s="49" t="inlineStr">
        <is>
          <t>28445</t>
        </is>
      </c>
      <c r="C3667" s="49" t="inlineStr">
        <is>
          <t>5×5689</t>
        </is>
      </c>
      <c r="D3667" s="49" t="inlineStr">
        <is>
          <t>5</t>
        </is>
      </c>
      <c r="E3667" s="49" t="inlineStr"/>
      <c r="F3667" s="49" t="inlineStr"/>
    </row>
    <row r="3668" ht="13" customHeight="1">
      <c r="A3668" s="50" t="inlineStr">
        <is>
          <t>34313</t>
        </is>
      </c>
      <c r="B3668" s="50" t="inlineStr">
        <is>
          <t>39373</t>
        </is>
      </c>
      <c r="C3668" s="50" t="inlineStr">
        <is>
          <t>39373</t>
        </is>
      </c>
      <c r="D3668" s="50" t="inlineStr">
        <is>
          <t>—</t>
        </is>
      </c>
      <c r="E3668" s="50" t="inlineStr"/>
      <c r="F3668" s="50" t="inlineStr"/>
    </row>
    <row r="3669" ht="13" customHeight="1">
      <c r="A3669" s="50" t="inlineStr">
        <is>
          <t>34319</t>
        </is>
      </c>
      <c r="B3669" s="50" t="inlineStr">
        <is>
          <t>25303</t>
        </is>
      </c>
      <c r="C3669" s="50" t="inlineStr">
        <is>
          <t>25303</t>
        </is>
      </c>
      <c r="D3669" s="50" t="inlineStr">
        <is>
          <t>—</t>
        </is>
      </c>
      <c r="E3669" s="50" t="inlineStr"/>
      <c r="F3669" s="50" t="inlineStr"/>
    </row>
    <row r="3670" ht="13" customHeight="1">
      <c r="A3670" s="45" t="inlineStr">
        <is>
          <t>34327</t>
        </is>
      </c>
      <c r="B3670" s="45" t="inlineStr">
        <is>
          <t>18638</t>
        </is>
      </c>
      <c r="C3670" s="45" t="inlineStr">
        <is>
          <t>2×9319</t>
        </is>
      </c>
      <c r="D3670" s="45" t="inlineStr">
        <is>
          <t>2</t>
        </is>
      </c>
      <c r="E3670" s="45" t="inlineStr"/>
      <c r="F3670" s="45" t="inlineStr"/>
    </row>
    <row r="3671" ht="13" customHeight="1">
      <c r="A3671" s="49" t="inlineStr">
        <is>
          <t>34337</t>
        </is>
      </c>
      <c r="B3671" s="49" t="inlineStr">
        <is>
          <t>15654</t>
        </is>
      </c>
      <c r="C3671" s="49" t="inlineStr">
        <is>
          <t>2×3×2609</t>
        </is>
      </c>
      <c r="D3671" s="49" t="inlineStr">
        <is>
          <t>2·3</t>
        </is>
      </c>
      <c r="E3671" s="49" t="inlineStr"/>
      <c r="F3671" s="49" t="inlineStr"/>
    </row>
    <row r="3672" ht="13" customHeight="1">
      <c r="A3672" s="50" t="inlineStr">
        <is>
          <t>34351</t>
        </is>
      </c>
      <c r="B3672" s="50" t="inlineStr">
        <is>
          <t>38671</t>
        </is>
      </c>
      <c r="C3672" s="50" t="inlineStr">
        <is>
          <t>38671</t>
        </is>
      </c>
      <c r="D3672" s="50" t="inlineStr">
        <is>
          <t>—</t>
        </is>
      </c>
      <c r="E3672" s="50" t="inlineStr"/>
      <c r="F3672" s="50" t="inlineStr"/>
    </row>
    <row r="3673" ht="13" customHeight="1">
      <c r="A3673" s="49" t="inlineStr">
        <is>
          <t>34361</t>
        </is>
      </c>
      <c r="B3673" s="49" t="inlineStr">
        <is>
          <t>16596</t>
        </is>
      </c>
      <c r="C3673" s="49" t="inlineStr">
        <is>
          <t>2×2×3×3×461</t>
        </is>
      </c>
      <c r="D3673" s="49" t="inlineStr">
        <is>
          <t>2·3</t>
        </is>
      </c>
      <c r="E3673" s="49" t="inlineStr"/>
      <c r="F3673" s="49" t="inlineStr"/>
    </row>
    <row r="3674" ht="13" customHeight="1">
      <c r="A3674" s="45" t="inlineStr">
        <is>
          <t>34367</t>
        </is>
      </c>
      <c r="B3674" s="45" t="inlineStr">
        <is>
          <t>2674</t>
        </is>
      </c>
      <c r="C3674" s="45" t="inlineStr">
        <is>
          <t>2×7×191</t>
        </is>
      </c>
      <c r="D3674" s="45" t="inlineStr">
        <is>
          <t>2·7</t>
        </is>
      </c>
      <c r="E3674" s="45" t="inlineStr"/>
      <c r="F3674" s="45" t="inlineStr"/>
    </row>
    <row r="3675" ht="13" customHeight="1">
      <c r="A3675" s="49" t="inlineStr">
        <is>
          <t>34369</t>
        </is>
      </c>
      <c r="B3675" s="49" t="inlineStr">
        <is>
          <t>15528</t>
        </is>
      </c>
      <c r="C3675" s="49" t="inlineStr">
        <is>
          <t>2×2×2×3×647</t>
        </is>
      </c>
      <c r="D3675" s="49" t="inlineStr">
        <is>
          <t>2·3</t>
        </is>
      </c>
      <c r="E3675" s="49" t="inlineStr"/>
      <c r="F3675" s="49" t="inlineStr"/>
    </row>
    <row r="3676" ht="13" customHeight="1">
      <c r="A3676" s="45" t="inlineStr">
        <is>
          <t>34381</t>
        </is>
      </c>
      <c r="B3676" s="45" t="inlineStr">
        <is>
          <t>3295</t>
        </is>
      </c>
      <c r="C3676" s="45" t="inlineStr">
        <is>
          <t>5×659</t>
        </is>
      </c>
      <c r="D3676" s="45" t="inlineStr">
        <is>
          <t>5</t>
        </is>
      </c>
      <c r="E3676" s="45" t="inlineStr"/>
      <c r="F3676" s="45" t="inlineStr"/>
    </row>
    <row r="3677" ht="13" customHeight="1">
      <c r="A3677" s="51" t="inlineStr">
        <is>
          <t>34403</t>
        </is>
      </c>
      <c r="B3677" s="51" t="inlineStr">
        <is>
          <t>36385</t>
        </is>
      </c>
      <c r="C3677" s="51" t="inlineStr">
        <is>
          <t>5×19×383</t>
        </is>
      </c>
      <c r="D3677" s="51" t="inlineStr">
        <is>
          <t>5·19</t>
        </is>
      </c>
      <c r="E3677" s="51" t="inlineStr"/>
      <c r="F3677" s="51" t="inlineStr"/>
    </row>
    <row r="3678" ht="13" customHeight="1">
      <c r="A3678" s="41" t="inlineStr">
        <is>
          <t>34421</t>
        </is>
      </c>
      <c r="B3678" s="41" t="inlineStr">
        <is>
          <t>42891</t>
        </is>
      </c>
      <c r="C3678" s="41" t="inlineStr">
        <is>
          <t>3×17×29×29</t>
        </is>
      </c>
      <c r="D3678" s="41" t="inlineStr">
        <is>
          <t>3·17</t>
        </is>
      </c>
      <c r="E3678" s="41" t="inlineStr"/>
      <c r="F3678" s="41" t="inlineStr"/>
    </row>
    <row r="3679" ht="13" customHeight="1">
      <c r="A3679" s="49" t="inlineStr">
        <is>
          <t>34429</t>
        </is>
      </c>
      <c r="B3679" s="49" t="inlineStr">
        <is>
          <t>38934</t>
        </is>
      </c>
      <c r="C3679" s="49" t="inlineStr">
        <is>
          <t>2×3×3×3×7×103</t>
        </is>
      </c>
      <c r="D3679" s="49" t="inlineStr">
        <is>
          <t>2·3·7</t>
        </is>
      </c>
      <c r="E3679" s="49" t="inlineStr"/>
      <c r="F3679" s="49" t="inlineStr"/>
    </row>
    <row r="3680" ht="13" customHeight="1">
      <c r="A3680" s="43" t="inlineStr">
        <is>
          <t>34439</t>
        </is>
      </c>
      <c r="B3680" s="43" t="inlineStr">
        <is>
          <t>28919</t>
        </is>
      </c>
      <c r="C3680" s="43" t="inlineStr">
        <is>
          <t>11×11×239</t>
        </is>
      </c>
      <c r="D3680" s="43" t="inlineStr">
        <is>
          <t>11</t>
        </is>
      </c>
      <c r="E3680" s="43" t="inlineStr"/>
      <c r="F3680" s="43" t="inlineStr"/>
    </row>
    <row r="3681" ht="13" customHeight="1">
      <c r="A3681" s="49" t="inlineStr">
        <is>
          <t>34457</t>
        </is>
      </c>
      <c r="B3681" s="49" t="inlineStr">
        <is>
          <t>25011</t>
        </is>
      </c>
      <c r="C3681" s="49" t="inlineStr">
        <is>
          <t>3×3×7×397</t>
        </is>
      </c>
      <c r="D3681" s="49" t="inlineStr">
        <is>
          <t>3·7</t>
        </is>
      </c>
      <c r="E3681" s="49" t="inlineStr"/>
      <c r="F3681" s="49" t="inlineStr"/>
    </row>
    <row r="3682" ht="13" customHeight="1">
      <c r="A3682" s="50" t="inlineStr">
        <is>
          <t>34469</t>
        </is>
      </c>
      <c r="B3682" s="50" t="inlineStr">
        <is>
          <t>28277</t>
        </is>
      </c>
      <c r="C3682" s="50" t="inlineStr">
        <is>
          <t>28277</t>
        </is>
      </c>
      <c r="D3682" s="50" t="inlineStr">
        <is>
          <t>—</t>
        </is>
      </c>
      <c r="E3682" s="50" t="inlineStr"/>
      <c r="F3682" s="50" t="inlineStr"/>
    </row>
    <row r="3683" ht="13" customHeight="1">
      <c r="A3683" s="49" t="inlineStr">
        <is>
          <t>34471</t>
        </is>
      </c>
      <c r="B3683" s="49" t="inlineStr">
        <is>
          <t>22339</t>
        </is>
      </c>
      <c r="C3683" s="49" t="inlineStr">
        <is>
          <t>89×251</t>
        </is>
      </c>
      <c r="D3683" s="49" t="inlineStr">
        <is>
          <t>—</t>
        </is>
      </c>
      <c r="E3683" s="49" t="inlineStr"/>
      <c r="F3683" s="49" t="inlineStr"/>
    </row>
    <row r="3684" ht="13" customHeight="1">
      <c r="A3684" s="45" t="inlineStr">
        <is>
          <t>34483</t>
        </is>
      </c>
      <c r="B3684" s="45" t="inlineStr">
        <is>
          <t>21418</t>
        </is>
      </c>
      <c r="C3684" s="45" t="inlineStr">
        <is>
          <t>2×10709</t>
        </is>
      </c>
      <c r="D3684" s="45" t="inlineStr">
        <is>
          <t>2</t>
        </is>
      </c>
      <c r="E3684" s="45" t="inlineStr"/>
      <c r="F3684" s="45" t="inlineStr"/>
    </row>
    <row r="3685" ht="13" customHeight="1">
      <c r="A3685" s="50" t="inlineStr">
        <is>
          <t>34487</t>
        </is>
      </c>
      <c r="B3685" s="50" t="inlineStr">
        <is>
          <t>2543</t>
        </is>
      </c>
      <c r="C3685" s="50" t="inlineStr">
        <is>
          <t>2543</t>
        </is>
      </c>
      <c r="D3685" s="50" t="inlineStr">
        <is>
          <t>—</t>
        </is>
      </c>
      <c r="E3685" s="50" t="inlineStr"/>
      <c r="F3685" s="50" t="inlineStr"/>
    </row>
    <row r="3686" ht="13" customHeight="1">
      <c r="A3686" s="45" t="inlineStr">
        <is>
          <t>34499</t>
        </is>
      </c>
      <c r="B3686" s="45" t="inlineStr">
        <is>
          <t>16294</t>
        </is>
      </c>
      <c r="C3686" s="45" t="inlineStr">
        <is>
          <t>2×8147</t>
        </is>
      </c>
      <c r="D3686" s="45" t="inlineStr">
        <is>
          <t>2</t>
        </is>
      </c>
      <c r="E3686" s="45" t="inlineStr"/>
      <c r="F3686" s="45" t="inlineStr"/>
    </row>
    <row r="3687" ht="13" customHeight="1">
      <c r="A3687" s="43" t="inlineStr">
        <is>
          <t>34501</t>
        </is>
      </c>
      <c r="B3687" s="43" t="inlineStr">
        <is>
          <t>10505</t>
        </is>
      </c>
      <c r="C3687" s="43" t="inlineStr">
        <is>
          <t>5×11×191</t>
        </is>
      </c>
      <c r="D3687" s="43" t="inlineStr">
        <is>
          <t>5·11</t>
        </is>
      </c>
      <c r="E3687" s="43" t="inlineStr"/>
      <c r="F3687" s="43" t="inlineStr"/>
    </row>
    <row r="3688" ht="13" customHeight="1">
      <c r="A3688" s="45" t="inlineStr">
        <is>
          <t>34511</t>
        </is>
      </c>
      <c r="B3688" s="45" t="inlineStr">
        <is>
          <t>38765</t>
        </is>
      </c>
      <c r="C3688" s="45" t="inlineStr">
        <is>
          <t>5×7753</t>
        </is>
      </c>
      <c r="D3688" s="45" t="inlineStr">
        <is>
          <t>5</t>
        </is>
      </c>
      <c r="E3688" s="45" t="inlineStr"/>
      <c r="F3688" s="45" t="inlineStr"/>
    </row>
    <row r="3689" ht="13" customHeight="1">
      <c r="A3689" s="49" t="inlineStr">
        <is>
          <t>34513</t>
        </is>
      </c>
      <c r="B3689" s="49" t="inlineStr">
        <is>
          <t>5992</t>
        </is>
      </c>
      <c r="C3689" s="49" t="inlineStr">
        <is>
          <t>2×2×2×7×107</t>
        </is>
      </c>
      <c r="D3689" s="49" t="inlineStr">
        <is>
          <t>2·7</t>
        </is>
      </c>
      <c r="E3689" s="49" t="inlineStr"/>
      <c r="F3689" s="49" t="inlineStr"/>
    </row>
    <row r="3690" ht="13" customHeight="1">
      <c r="A3690" s="41" t="inlineStr">
        <is>
          <t>34519</t>
        </is>
      </c>
      <c r="B3690" s="41" t="inlineStr">
        <is>
          <t>5707</t>
        </is>
      </c>
      <c r="C3690" s="41" t="inlineStr">
        <is>
          <t>13×439</t>
        </is>
      </c>
      <c r="D3690" s="41" t="inlineStr">
        <is>
          <t>13</t>
        </is>
      </c>
      <c r="E3690" s="41" t="inlineStr"/>
      <c r="F3690" s="41" t="inlineStr"/>
    </row>
    <row r="3691" ht="13" customHeight="1">
      <c r="A3691" s="50" t="inlineStr">
        <is>
          <t>34537</t>
        </is>
      </c>
      <c r="B3691" s="50" t="inlineStr">
        <is>
          <t>41479</t>
        </is>
      </c>
      <c r="C3691" s="50" t="inlineStr">
        <is>
          <t>41479</t>
        </is>
      </c>
      <c r="D3691" s="50" t="inlineStr">
        <is>
          <t>—</t>
        </is>
      </c>
      <c r="E3691" s="50" t="inlineStr"/>
      <c r="F3691" s="50" t="inlineStr"/>
    </row>
    <row r="3692" ht="13" customHeight="1">
      <c r="A3692" s="41" t="inlineStr">
        <is>
          <t>34543</t>
        </is>
      </c>
      <c r="B3692" s="41" t="inlineStr">
        <is>
          <t>19941</t>
        </is>
      </c>
      <c r="C3692" s="41" t="inlineStr">
        <is>
          <t>3×17×17×23</t>
        </is>
      </c>
      <c r="D3692" s="41" t="inlineStr">
        <is>
          <t>3·17</t>
        </is>
      </c>
      <c r="E3692" s="41" t="inlineStr"/>
      <c r="F3692" s="41" t="inlineStr"/>
    </row>
    <row r="3693" ht="13" customHeight="1">
      <c r="A3693" s="49" t="inlineStr">
        <is>
          <t>34549</t>
        </is>
      </c>
      <c r="B3693" s="49" t="inlineStr">
        <is>
          <t>18501</t>
        </is>
      </c>
      <c r="C3693" s="49" t="inlineStr">
        <is>
          <t>3×7×881</t>
        </is>
      </c>
      <c r="D3693" s="49" t="inlineStr">
        <is>
          <t>3·7</t>
        </is>
      </c>
      <c r="E3693" s="49" t="inlineStr"/>
      <c r="F3693" s="49" t="inlineStr"/>
    </row>
    <row r="3694" ht="13" customHeight="1">
      <c r="A3694" s="51" t="inlineStr">
        <is>
          <t>34583</t>
        </is>
      </c>
      <c r="B3694" s="51" t="inlineStr">
        <is>
          <t>5510</t>
        </is>
      </c>
      <c r="C3694" s="51" t="inlineStr">
        <is>
          <t>2×5×19×29</t>
        </is>
      </c>
      <c r="D3694" s="51" t="inlineStr">
        <is>
          <t>2·5·19</t>
        </is>
      </c>
      <c r="E3694" s="51" t="inlineStr"/>
      <c r="F3694" s="51" t="inlineStr"/>
    </row>
    <row r="3695" ht="13" customHeight="1">
      <c r="A3695" s="49" t="inlineStr">
        <is>
          <t>34589</t>
        </is>
      </c>
      <c r="B3695" s="49" t="inlineStr">
        <is>
          <t>12400</t>
        </is>
      </c>
      <c r="C3695" s="49" t="inlineStr">
        <is>
          <t>2×2×2×2×5×5×31</t>
        </is>
      </c>
      <c r="D3695" s="49" t="inlineStr">
        <is>
          <t>2·5</t>
        </is>
      </c>
      <c r="E3695" s="49" t="inlineStr"/>
      <c r="F3695" s="49" t="inlineStr"/>
    </row>
    <row r="3696" ht="13" customHeight="1">
      <c r="A3696" s="45" t="inlineStr">
        <is>
          <t>34591</t>
        </is>
      </c>
      <c r="B3696" s="45" t="inlineStr">
        <is>
          <t>10156</t>
        </is>
      </c>
      <c r="C3696" s="45" t="inlineStr">
        <is>
          <t>2×2×2539</t>
        </is>
      </c>
      <c r="D3696" s="45" t="inlineStr">
        <is>
          <t>2</t>
        </is>
      </c>
      <c r="E3696" s="45" t="inlineStr"/>
      <c r="F3696" s="45" t="inlineStr"/>
    </row>
    <row r="3697" ht="13" customHeight="1">
      <c r="A3697" s="49" t="inlineStr">
        <is>
          <t>34603</t>
        </is>
      </c>
      <c r="B3697" s="49" t="inlineStr">
        <is>
          <t>25224</t>
        </is>
      </c>
      <c r="C3697" s="49" t="inlineStr">
        <is>
          <t>2×2×2×3×1051</t>
        </is>
      </c>
      <c r="D3697" s="49" t="inlineStr">
        <is>
          <t>2·3</t>
        </is>
      </c>
      <c r="E3697" s="49" t="inlineStr"/>
      <c r="F3697" s="49" t="inlineStr"/>
    </row>
    <row r="3698" ht="13" customHeight="1">
      <c r="A3698" s="45" t="inlineStr">
        <is>
          <t>34607</t>
        </is>
      </c>
      <c r="B3698" s="45" t="inlineStr">
        <is>
          <t>18204</t>
        </is>
      </c>
      <c r="C3698" s="45" t="inlineStr">
        <is>
          <t>2×2×3×37×41</t>
        </is>
      </c>
      <c r="D3698" s="45" t="inlineStr">
        <is>
          <t>2·3</t>
        </is>
      </c>
      <c r="E3698" s="45" t="inlineStr"/>
      <c r="F3698" s="45" t="inlineStr"/>
    </row>
    <row r="3699" ht="13" customHeight="1">
      <c r="A3699" s="49" t="inlineStr">
        <is>
          <t>34613</t>
        </is>
      </c>
      <c r="B3699" s="49" t="inlineStr">
        <is>
          <t>8499</t>
        </is>
      </c>
      <c r="C3699" s="49" t="inlineStr">
        <is>
          <t>3×2833</t>
        </is>
      </c>
      <c r="D3699" s="49" t="inlineStr">
        <is>
          <t>3</t>
        </is>
      </c>
      <c r="E3699" s="49" t="inlineStr"/>
      <c r="F3699" s="49" t="inlineStr"/>
    </row>
    <row r="3700" ht="13" customHeight="1">
      <c r="A3700" s="45" t="inlineStr">
        <is>
          <t>34631</t>
        </is>
      </c>
      <c r="B3700" s="45" t="inlineStr">
        <is>
          <t>35621</t>
        </is>
      </c>
      <c r="C3700" s="45" t="inlineStr">
        <is>
          <t>179×199</t>
        </is>
      </c>
      <c r="D3700" s="45" t="inlineStr">
        <is>
          <t>—</t>
        </is>
      </c>
      <c r="E3700" s="45" t="inlineStr"/>
      <c r="F3700" s="45" t="inlineStr"/>
    </row>
    <row r="3701" ht="13" customHeight="1">
      <c r="A3701" s="49" t="inlineStr">
        <is>
          <t>34649</t>
        </is>
      </c>
      <c r="B3701" s="49" t="inlineStr">
        <is>
          <t>39410</t>
        </is>
      </c>
      <c r="C3701" s="49" t="inlineStr">
        <is>
          <t>2×5×7×563</t>
        </is>
      </c>
      <c r="D3701" s="49" t="inlineStr">
        <is>
          <t>2·5·7</t>
        </is>
      </c>
      <c r="E3701" s="49" t="inlineStr"/>
      <c r="F3701" s="49" t="inlineStr"/>
    </row>
    <row r="3702" ht="13" customHeight="1">
      <c r="A3702" s="45" t="inlineStr">
        <is>
          <t>34651</t>
        </is>
      </c>
      <c r="B3702" s="45" t="inlineStr">
        <is>
          <t>21861</t>
        </is>
      </c>
      <c r="C3702" s="45" t="inlineStr">
        <is>
          <t>3×3×7×347</t>
        </is>
      </c>
      <c r="D3702" s="45" t="inlineStr">
        <is>
          <t>3·7</t>
        </is>
      </c>
      <c r="E3702" s="45" t="inlineStr"/>
      <c r="F3702" s="45" t="inlineStr"/>
    </row>
    <row r="3703" ht="13" customHeight="1">
      <c r="A3703" s="49" t="inlineStr">
        <is>
          <t>34667</t>
        </is>
      </c>
      <c r="B3703" s="49" t="inlineStr">
        <is>
          <t>32333</t>
        </is>
      </c>
      <c r="C3703" s="49" t="inlineStr">
        <is>
          <t>7×31×149</t>
        </is>
      </c>
      <c r="D3703" s="49" t="inlineStr">
        <is>
          <t>7</t>
        </is>
      </c>
      <c r="E3703" s="49" t="inlineStr"/>
      <c r="F3703" s="49" t="inlineStr"/>
    </row>
    <row r="3704" ht="13" customHeight="1">
      <c r="A3704" s="51" t="inlineStr">
        <is>
          <t>34673</t>
        </is>
      </c>
      <c r="B3704" s="51" t="inlineStr">
        <is>
          <t>37924</t>
        </is>
      </c>
      <c r="C3704" s="51" t="inlineStr">
        <is>
          <t>2×2×19×499</t>
        </is>
      </c>
      <c r="D3704" s="51" t="inlineStr">
        <is>
          <t>2·19</t>
        </is>
      </c>
      <c r="E3704" s="51" t="inlineStr"/>
      <c r="F3704" s="51" t="inlineStr"/>
    </row>
    <row r="3705" ht="13" customHeight="1">
      <c r="A3705" s="49" t="inlineStr">
        <is>
          <t>34679</t>
        </is>
      </c>
      <c r="B3705" s="49" t="inlineStr">
        <is>
          <t>31367</t>
        </is>
      </c>
      <c r="C3705" s="49" t="inlineStr">
        <is>
          <t>7×4481</t>
        </is>
      </c>
      <c r="D3705" s="49" t="inlineStr">
        <is>
          <t>7</t>
        </is>
      </c>
      <c r="E3705" s="49" t="inlineStr"/>
      <c r="F3705" s="49" t="inlineStr"/>
    </row>
    <row r="3706" ht="13" customHeight="1">
      <c r="A3706" s="45" t="inlineStr">
        <is>
          <t>34687</t>
        </is>
      </c>
      <c r="B3706" s="45" t="inlineStr">
        <is>
          <t>37542</t>
        </is>
      </c>
      <c r="C3706" s="45" t="inlineStr">
        <is>
          <t>2×3×6257</t>
        </is>
      </c>
      <c r="D3706" s="45" t="inlineStr">
        <is>
          <t>2·3</t>
        </is>
      </c>
      <c r="E3706" s="45" t="inlineStr"/>
      <c r="F3706" s="45" t="inlineStr"/>
    </row>
    <row r="3707" ht="13" customHeight="1">
      <c r="A3707" s="49" t="inlineStr">
        <is>
          <t>34693</t>
        </is>
      </c>
      <c r="B3707" s="49" t="inlineStr">
        <is>
          <t>25525</t>
        </is>
      </c>
      <c r="C3707" s="49" t="inlineStr">
        <is>
          <t>5×5×1021</t>
        </is>
      </c>
      <c r="D3707" s="49" t="inlineStr">
        <is>
          <t>5</t>
        </is>
      </c>
      <c r="E3707" s="49" t="inlineStr"/>
      <c r="F3707" s="49" t="inlineStr"/>
    </row>
    <row r="3708" ht="13" customHeight="1">
      <c r="A3708" s="41" t="inlineStr">
        <is>
          <t>34703</t>
        </is>
      </c>
      <c r="B3708" s="41" t="inlineStr">
        <is>
          <t>32130</t>
        </is>
      </c>
      <c r="C3708" s="41" t="inlineStr">
        <is>
          <t>2×3×3×3×5×7×17</t>
        </is>
      </c>
      <c r="D3708" s="41" t="inlineStr">
        <is>
          <t>2·3·5·7·17</t>
        </is>
      </c>
      <c r="E3708" s="41" t="inlineStr"/>
      <c r="F3708" s="41" t="inlineStr"/>
    </row>
    <row r="3709" ht="13" customHeight="1">
      <c r="A3709" s="49" t="inlineStr">
        <is>
          <t>34721</t>
        </is>
      </c>
      <c r="B3709" s="49" t="inlineStr">
        <is>
          <t>34121</t>
        </is>
      </c>
      <c r="C3709" s="49" t="inlineStr">
        <is>
          <t>149×229</t>
        </is>
      </c>
      <c r="D3709" s="49" t="inlineStr">
        <is>
          <t>—</t>
        </is>
      </c>
      <c r="E3709" s="49" t="inlineStr"/>
      <c r="F3709" s="49" t="inlineStr"/>
    </row>
    <row r="3710" ht="13" customHeight="1">
      <c r="A3710" s="41" t="inlineStr">
        <is>
          <t>34729</t>
        </is>
      </c>
      <c r="B3710" s="41" t="inlineStr">
        <is>
          <t>27421</t>
        </is>
      </c>
      <c r="C3710" s="41" t="inlineStr">
        <is>
          <t>17×1613</t>
        </is>
      </c>
      <c r="D3710" s="41" t="inlineStr">
        <is>
          <t>17</t>
        </is>
      </c>
      <c r="E3710" s="41" t="inlineStr"/>
      <c r="F3710" s="41" t="inlineStr"/>
    </row>
    <row r="3711" ht="13" customHeight="1">
      <c r="A3711" s="49" t="inlineStr">
        <is>
          <t>34739</t>
        </is>
      </c>
      <c r="B3711" s="49" t="inlineStr">
        <is>
          <t>32834</t>
        </is>
      </c>
      <c r="C3711" s="49" t="inlineStr">
        <is>
          <t>2×16417</t>
        </is>
      </c>
      <c r="D3711" s="49" t="inlineStr">
        <is>
          <t>2</t>
        </is>
      </c>
      <c r="E3711" s="49" t="inlineStr"/>
      <c r="F3711" s="49" t="inlineStr"/>
    </row>
    <row r="3712" ht="13" customHeight="1">
      <c r="A3712" s="50" t="inlineStr">
        <is>
          <t>34747</t>
        </is>
      </c>
      <c r="B3712" s="50" t="inlineStr">
        <is>
          <t>15269</t>
        </is>
      </c>
      <c r="C3712" s="50" t="inlineStr">
        <is>
          <t>15269</t>
        </is>
      </c>
      <c r="D3712" s="50" t="inlineStr">
        <is>
          <t>—</t>
        </is>
      </c>
      <c r="E3712" s="50" t="inlineStr"/>
      <c r="F3712" s="50" t="inlineStr"/>
    </row>
    <row r="3713" ht="13" customHeight="1">
      <c r="A3713" s="49" t="inlineStr">
        <is>
          <t>34757</t>
        </is>
      </c>
      <c r="B3713" s="49" t="inlineStr">
        <is>
          <t>15458</t>
        </is>
      </c>
      <c r="C3713" s="49" t="inlineStr">
        <is>
          <t>2×59×131</t>
        </is>
      </c>
      <c r="D3713" s="49" t="inlineStr">
        <is>
          <t>2</t>
        </is>
      </c>
      <c r="E3713" s="49" t="inlineStr"/>
      <c r="F3713" s="49" t="inlineStr"/>
    </row>
    <row r="3714" ht="13" customHeight="1">
      <c r="A3714" s="50" t="inlineStr">
        <is>
          <t>34759</t>
        </is>
      </c>
      <c r="B3714" s="50" t="inlineStr">
        <is>
          <t>11971</t>
        </is>
      </c>
      <c r="C3714" s="50" t="inlineStr">
        <is>
          <t>11971</t>
        </is>
      </c>
      <c r="D3714" s="50" t="inlineStr">
        <is>
          <t>—</t>
        </is>
      </c>
      <c r="E3714" s="50" t="inlineStr"/>
      <c r="F3714" s="50" t="inlineStr"/>
    </row>
    <row r="3715" ht="13" customHeight="1">
      <c r="A3715" s="49" t="inlineStr">
        <is>
          <t>34763</t>
        </is>
      </c>
      <c r="B3715" s="49" t="inlineStr">
        <is>
          <t>27575</t>
        </is>
      </c>
      <c r="C3715" s="49" t="inlineStr">
        <is>
          <t>5×5×1103</t>
        </is>
      </c>
      <c r="D3715" s="49" t="inlineStr">
        <is>
          <t>5</t>
        </is>
      </c>
      <c r="E3715" s="49" t="inlineStr"/>
      <c r="F3715" s="49" t="inlineStr"/>
    </row>
    <row r="3716" ht="13" customHeight="1">
      <c r="A3716" s="45" t="inlineStr">
        <is>
          <t>34781</t>
        </is>
      </c>
      <c r="B3716" s="45" t="inlineStr">
        <is>
          <t>25876</t>
        </is>
      </c>
      <c r="C3716" s="45" t="inlineStr">
        <is>
          <t>2×2×6469</t>
        </is>
      </c>
      <c r="D3716" s="45" t="inlineStr">
        <is>
          <t>2</t>
        </is>
      </c>
      <c r="E3716" s="45" t="inlineStr"/>
      <c r="F3716" s="45" t="inlineStr"/>
    </row>
    <row r="3717" ht="13" customHeight="1">
      <c r="A3717" s="50" t="inlineStr">
        <is>
          <t>34807</t>
        </is>
      </c>
      <c r="B3717" s="50" t="inlineStr">
        <is>
          <t>17393</t>
        </is>
      </c>
      <c r="C3717" s="50" t="inlineStr">
        <is>
          <t>17393</t>
        </is>
      </c>
      <c r="D3717" s="50" t="inlineStr">
        <is>
          <t>—</t>
        </is>
      </c>
      <c r="E3717" s="50" t="inlineStr"/>
      <c r="F3717" s="50" t="inlineStr"/>
    </row>
    <row r="3718" ht="13" customHeight="1">
      <c r="A3718" s="45" t="inlineStr">
        <is>
          <t>34819</t>
        </is>
      </c>
      <c r="B3718" s="45" t="inlineStr">
        <is>
          <t>9280</t>
        </is>
      </c>
      <c r="C3718" s="45" t="inlineStr">
        <is>
          <t>2×2×2×2×2×2×5×29</t>
        </is>
      </c>
      <c r="D3718" s="45" t="inlineStr">
        <is>
          <t>2·5</t>
        </is>
      </c>
      <c r="E3718" s="45" t="inlineStr"/>
      <c r="F3718" s="45" t="inlineStr"/>
    </row>
    <row r="3719" ht="13" customHeight="1">
      <c r="A3719" s="49" t="inlineStr">
        <is>
          <t>34841</t>
        </is>
      </c>
      <c r="B3719" s="49" t="inlineStr">
        <is>
          <t>19089</t>
        </is>
      </c>
      <c r="C3719" s="49" t="inlineStr">
        <is>
          <t>3×3×3×7×101</t>
        </is>
      </c>
      <c r="D3719" s="49" t="inlineStr">
        <is>
          <t>3·7</t>
        </is>
      </c>
      <c r="E3719" s="49" t="inlineStr"/>
      <c r="F3719" s="49" t="inlineStr"/>
    </row>
    <row r="3720" ht="13" customHeight="1">
      <c r="A3720" s="45" t="inlineStr">
        <is>
          <t>34843</t>
        </is>
      </c>
      <c r="B3720" s="45" t="inlineStr">
        <is>
          <t>27556</t>
        </is>
      </c>
      <c r="C3720" s="45" t="inlineStr">
        <is>
          <t>2×2×83×83</t>
        </is>
      </c>
      <c r="D3720" s="45" t="inlineStr">
        <is>
          <t>2</t>
        </is>
      </c>
      <c r="E3720" s="45" t="inlineStr"/>
      <c r="F3720" s="45" t="inlineStr"/>
    </row>
    <row r="3721" ht="13" customHeight="1">
      <c r="A3721" s="49" t="inlineStr">
        <is>
          <t>34847</t>
        </is>
      </c>
      <c r="B3721" s="49" t="inlineStr">
        <is>
          <t>14504</t>
        </is>
      </c>
      <c r="C3721" s="49" t="inlineStr">
        <is>
          <t>2×2×2×7×7×37</t>
        </is>
      </c>
      <c r="D3721" s="49" t="inlineStr">
        <is>
          <t>2·7</t>
        </is>
      </c>
      <c r="E3721" s="49" t="inlineStr"/>
      <c r="F3721" s="49" t="inlineStr"/>
    </row>
    <row r="3722" ht="13" customHeight="1">
      <c r="A3722" s="45" t="inlineStr">
        <is>
          <t>34849</t>
        </is>
      </c>
      <c r="B3722" s="45" t="inlineStr">
        <is>
          <t>35979</t>
        </is>
      </c>
      <c r="C3722" s="45" t="inlineStr">
        <is>
          <t>3×67×179</t>
        </is>
      </c>
      <c r="D3722" s="45" t="inlineStr">
        <is>
          <t>3</t>
        </is>
      </c>
      <c r="E3722" s="45" t="inlineStr"/>
      <c r="F3722" s="45" t="inlineStr"/>
    </row>
    <row r="3723" ht="13" customHeight="1">
      <c r="A3723" s="49" t="inlineStr">
        <is>
          <t>34871</t>
        </is>
      </c>
      <c r="B3723" s="49" t="inlineStr">
        <is>
          <t>22900</t>
        </is>
      </c>
      <c r="C3723" s="49" t="inlineStr">
        <is>
          <t>2×2×5×5×229</t>
        </is>
      </c>
      <c r="D3723" s="49" t="inlineStr">
        <is>
          <t>2·5</t>
        </is>
      </c>
      <c r="E3723" s="49" t="inlineStr"/>
      <c r="F3723" s="49" t="inlineStr"/>
    </row>
    <row r="3724" ht="13" customHeight="1">
      <c r="A3724" s="50" t="inlineStr">
        <is>
          <t>34877</t>
        </is>
      </c>
      <c r="B3724" s="50" t="inlineStr">
        <is>
          <t>151</t>
        </is>
      </c>
      <c r="C3724" s="50" t="inlineStr">
        <is>
          <t>151</t>
        </is>
      </c>
      <c r="D3724" s="50" t="inlineStr">
        <is>
          <t>—</t>
        </is>
      </c>
      <c r="E3724" s="50" t="inlineStr"/>
      <c r="F3724" s="50" t="inlineStr"/>
    </row>
    <row r="3725" ht="13" customHeight="1">
      <c r="A3725" s="49" t="inlineStr">
        <is>
          <t>34883</t>
        </is>
      </c>
      <c r="B3725" s="49" t="inlineStr">
        <is>
          <t>29539</t>
        </is>
      </c>
      <c r="C3725" s="49" t="inlineStr">
        <is>
          <t>109×271</t>
        </is>
      </c>
      <c r="D3725" s="49" t="inlineStr">
        <is>
          <t>—</t>
        </is>
      </c>
      <c r="E3725" s="49" t="inlineStr"/>
      <c r="F3725" s="49" t="inlineStr"/>
    </row>
    <row r="3726" ht="13" customHeight="1">
      <c r="A3726" s="50" t="inlineStr">
        <is>
          <t>34897</t>
        </is>
      </c>
      <c r="B3726" s="50" t="inlineStr">
        <is>
          <t>7589</t>
        </is>
      </c>
      <c r="C3726" s="50" t="inlineStr">
        <is>
          <t>7589</t>
        </is>
      </c>
      <c r="D3726" s="50" t="inlineStr">
        <is>
          <t>—</t>
        </is>
      </c>
      <c r="E3726" s="50" t="inlineStr"/>
      <c r="F3726" s="50" t="inlineStr"/>
    </row>
    <row r="3727" ht="13" customHeight="1">
      <c r="A3727" s="49" t="inlineStr">
        <is>
          <t>34913</t>
        </is>
      </c>
      <c r="B3727" s="49" t="inlineStr">
        <is>
          <t>9472</t>
        </is>
      </c>
      <c r="C3727" s="49" t="inlineStr">
        <is>
          <t>2×2×2×2×2×2×2×2×37</t>
        </is>
      </c>
      <c r="D3727" s="49" t="inlineStr">
        <is>
          <t>2</t>
        </is>
      </c>
      <c r="E3727" s="49" t="inlineStr"/>
      <c r="F3727" s="49" t="inlineStr"/>
    </row>
    <row r="3728" ht="13" customHeight="1">
      <c r="A3728" s="45" t="inlineStr">
        <is>
          <t>34919</t>
        </is>
      </c>
      <c r="B3728" s="45" t="inlineStr">
        <is>
          <t>19596</t>
        </is>
      </c>
      <c r="C3728" s="45" t="inlineStr">
        <is>
          <t>2×2×3×23×71</t>
        </is>
      </c>
      <c r="D3728" s="45" t="inlineStr">
        <is>
          <t>2·3</t>
        </is>
      </c>
      <c r="E3728" s="45" t="inlineStr"/>
      <c r="F3728" s="45" t="inlineStr"/>
    </row>
    <row r="3729" ht="13" customHeight="1">
      <c r="A3729" s="49" t="inlineStr">
        <is>
          <t>34939</t>
        </is>
      </c>
      <c r="B3729" s="49" t="inlineStr">
        <is>
          <t>6335</t>
        </is>
      </c>
      <c r="C3729" s="49" t="inlineStr">
        <is>
          <t>5×7×181</t>
        </is>
      </c>
      <c r="D3729" s="49" t="inlineStr">
        <is>
          <t>5·7</t>
        </is>
      </c>
      <c r="E3729" s="49" t="inlineStr"/>
      <c r="F3729" s="49" t="inlineStr"/>
    </row>
    <row r="3730" ht="13" customHeight="1">
      <c r="A3730" s="45" t="inlineStr">
        <is>
          <t>34949</t>
        </is>
      </c>
      <c r="B3730" s="45" t="inlineStr">
        <is>
          <t>12368</t>
        </is>
      </c>
      <c r="C3730" s="45" t="inlineStr">
        <is>
          <t>2×2×2×2×773</t>
        </is>
      </c>
      <c r="D3730" s="45" t="inlineStr">
        <is>
          <t>2</t>
        </is>
      </c>
      <c r="E3730" s="45" t="inlineStr"/>
      <c r="F3730" s="45" t="inlineStr"/>
    </row>
    <row r="3731" ht="13" customHeight="1">
      <c r="A3731" s="49" t="inlineStr">
        <is>
          <t>34961</t>
        </is>
      </c>
      <c r="B3731" s="49" t="inlineStr">
        <is>
          <t>37637</t>
        </is>
      </c>
      <c r="C3731" s="49" t="inlineStr">
        <is>
          <t>61×617</t>
        </is>
      </c>
      <c r="D3731" s="49" t="inlineStr">
        <is>
          <t>—</t>
        </is>
      </c>
      <c r="E3731" s="49" t="inlineStr"/>
      <c r="F3731" s="49" t="inlineStr"/>
    </row>
    <row r="3732" ht="13" customHeight="1">
      <c r="A3732" s="45" t="inlineStr">
        <is>
          <t>34963</t>
        </is>
      </c>
      <c r="B3732" s="45" t="inlineStr">
        <is>
          <t>7406</t>
        </is>
      </c>
      <c r="C3732" s="45" t="inlineStr">
        <is>
          <t>2×7×23×23</t>
        </is>
      </c>
      <c r="D3732" s="45" t="inlineStr">
        <is>
          <t>2·7</t>
        </is>
      </c>
      <c r="E3732" s="45" t="inlineStr"/>
      <c r="F3732" s="45" t="inlineStr"/>
    </row>
    <row r="3733" ht="13" customHeight="1">
      <c r="A3733" s="49" t="inlineStr">
        <is>
          <t>34981</t>
        </is>
      </c>
      <c r="B3733" s="49" t="inlineStr">
        <is>
          <t>9723</t>
        </is>
      </c>
      <c r="C3733" s="49" t="inlineStr">
        <is>
          <t>3×7×463</t>
        </is>
      </c>
      <c r="D3733" s="49" t="inlineStr">
        <is>
          <t>3·7</t>
        </is>
      </c>
      <c r="E3733" s="49" t="inlineStr"/>
      <c r="F3733" s="49" t="inlineStr"/>
    </row>
    <row r="3734" ht="13" customHeight="1">
      <c r="A3734" s="50" t="inlineStr">
        <is>
          <t>35023</t>
        </is>
      </c>
      <c r="B3734" s="50" t="inlineStr">
        <is>
          <t>35753</t>
        </is>
      </c>
      <c r="C3734" s="50" t="inlineStr">
        <is>
          <t>35753</t>
        </is>
      </c>
      <c r="D3734" s="50" t="inlineStr">
        <is>
          <t>—</t>
        </is>
      </c>
      <c r="E3734" s="50" t="inlineStr"/>
      <c r="F3734" s="50" t="inlineStr"/>
    </row>
    <row r="3735" ht="13" customHeight="1">
      <c r="A3735" s="49" t="inlineStr">
        <is>
          <t>35027</t>
        </is>
      </c>
      <c r="B3735" s="49" t="inlineStr">
        <is>
          <t>36717</t>
        </is>
      </c>
      <c r="C3735" s="49" t="inlineStr">
        <is>
          <t>3×12239</t>
        </is>
      </c>
      <c r="D3735" s="49" t="inlineStr">
        <is>
          <t>3</t>
        </is>
      </c>
      <c r="E3735" s="49" t="inlineStr"/>
      <c r="F3735" s="49" t="inlineStr"/>
    </row>
    <row r="3736" ht="13" customHeight="1">
      <c r="A3736" s="45" t="inlineStr">
        <is>
          <t>35051</t>
        </is>
      </c>
      <c r="B3736" s="45" t="inlineStr">
        <is>
          <t>18605</t>
        </is>
      </c>
      <c r="C3736" s="45" t="inlineStr">
        <is>
          <t>5×61×61</t>
        </is>
      </c>
      <c r="D3736" s="45" t="inlineStr">
        <is>
          <t>5</t>
        </is>
      </c>
      <c r="E3736" s="45" t="inlineStr"/>
      <c r="F3736" s="45" t="inlineStr"/>
    </row>
    <row r="3737" ht="13" customHeight="1">
      <c r="A3737" s="50" t="inlineStr">
        <is>
          <t>35053</t>
        </is>
      </c>
      <c r="B3737" s="50" t="inlineStr">
        <is>
          <t>353</t>
        </is>
      </c>
      <c r="C3737" s="50" t="inlineStr">
        <is>
          <t>353</t>
        </is>
      </c>
      <c r="D3737" s="50" t="inlineStr">
        <is>
          <t>—</t>
        </is>
      </c>
      <c r="E3737" s="50" t="inlineStr"/>
      <c r="F3737" s="50" t="inlineStr"/>
    </row>
    <row r="3738" ht="13" customHeight="1">
      <c r="A3738" s="41" t="inlineStr">
        <is>
          <t>35059</t>
        </is>
      </c>
      <c r="B3738" s="41" t="inlineStr">
        <is>
          <t>3939</t>
        </is>
      </c>
      <c r="C3738" s="41" t="inlineStr">
        <is>
          <t>3×13×101</t>
        </is>
      </c>
      <c r="D3738" s="41" t="inlineStr">
        <is>
          <t>3·13</t>
        </is>
      </c>
      <c r="E3738" s="41" t="inlineStr"/>
      <c r="F3738" s="41" t="inlineStr"/>
    </row>
    <row r="3739" ht="13" customHeight="1">
      <c r="A3739" s="49" t="inlineStr">
        <is>
          <t>35069</t>
        </is>
      </c>
      <c r="B3739" s="49" t="inlineStr">
        <is>
          <t>18210</t>
        </is>
      </c>
      <c r="C3739" s="49" t="inlineStr">
        <is>
          <t>2×3×5×607</t>
        </is>
      </c>
      <c r="D3739" s="49" t="inlineStr">
        <is>
          <t>2·3·5</t>
        </is>
      </c>
      <c r="E3739" s="49" t="inlineStr"/>
      <c r="F3739" s="49" t="inlineStr"/>
    </row>
    <row r="3740" ht="13" customHeight="1">
      <c r="A3740" s="43" t="inlineStr">
        <is>
          <t>35081</t>
        </is>
      </c>
      <c r="B3740" s="43" t="inlineStr">
        <is>
          <t>10164</t>
        </is>
      </c>
      <c r="C3740" s="43" t="inlineStr">
        <is>
          <t>2×2×3×7×11×11</t>
        </is>
      </c>
      <c r="D3740" s="43" t="inlineStr">
        <is>
          <t>2·3·7·11</t>
        </is>
      </c>
      <c r="E3740" s="43" t="inlineStr"/>
      <c r="F3740" s="43" t="inlineStr"/>
    </row>
    <row r="3741" ht="13" customHeight="1">
      <c r="A3741" s="51" t="inlineStr">
        <is>
          <t>35083</t>
        </is>
      </c>
      <c r="B3741" s="51" t="inlineStr">
        <is>
          <t>9481</t>
        </is>
      </c>
      <c r="C3741" s="51" t="inlineStr">
        <is>
          <t>19×499</t>
        </is>
      </c>
      <c r="D3741" s="51" t="inlineStr">
        <is>
          <t>19</t>
        </is>
      </c>
      <c r="E3741" s="51" t="inlineStr"/>
      <c r="F3741" s="51" t="inlineStr"/>
    </row>
    <row r="3742" ht="13" customHeight="1">
      <c r="A3742" s="45" t="inlineStr">
        <is>
          <t>35089</t>
        </is>
      </c>
      <c r="B3742" s="45" t="inlineStr">
        <is>
          <t>15437</t>
        </is>
      </c>
      <c r="C3742" s="45" t="inlineStr">
        <is>
          <t>43×359</t>
        </is>
      </c>
      <c r="D3742" s="45" t="inlineStr">
        <is>
          <t>—</t>
        </is>
      </c>
      <c r="E3742" s="45" t="inlineStr"/>
      <c r="F3742" s="45" t="inlineStr"/>
    </row>
    <row r="3743" ht="13" customHeight="1">
      <c r="A3743" s="49" t="inlineStr">
        <is>
          <t>35099</t>
        </is>
      </c>
      <c r="B3743" s="49" t="inlineStr">
        <is>
          <t>20226</t>
        </is>
      </c>
      <c r="C3743" s="49" t="inlineStr">
        <is>
          <t>2×3×3371</t>
        </is>
      </c>
      <c r="D3743" s="49" t="inlineStr">
        <is>
          <t>2·3</t>
        </is>
      </c>
      <c r="E3743" s="49" t="inlineStr"/>
      <c r="F3743" s="49" t="inlineStr"/>
    </row>
    <row r="3744" ht="13" customHeight="1">
      <c r="A3744" s="45" t="inlineStr">
        <is>
          <t>35107</t>
        </is>
      </c>
      <c r="B3744" s="45" t="inlineStr">
        <is>
          <t>14094</t>
        </is>
      </c>
      <c r="C3744" s="45" t="inlineStr">
        <is>
          <t>2×3×3×3×3×3×29</t>
        </is>
      </c>
      <c r="D3744" s="45" t="inlineStr">
        <is>
          <t>2·3</t>
        </is>
      </c>
      <c r="E3744" s="45" t="inlineStr"/>
      <c r="F3744" s="45" t="inlineStr"/>
    </row>
    <row r="3745" ht="13" customHeight="1">
      <c r="A3745" s="49" t="inlineStr">
        <is>
          <t>35111</t>
        </is>
      </c>
      <c r="B3745" s="49" t="inlineStr">
        <is>
          <t>39179</t>
        </is>
      </c>
      <c r="C3745" s="49" t="inlineStr">
        <is>
          <t>7×29×193</t>
        </is>
      </c>
      <c r="D3745" s="49" t="inlineStr">
        <is>
          <t>7</t>
        </is>
      </c>
      <c r="E3745" s="49" t="inlineStr"/>
      <c r="F3745" s="49" t="inlineStr"/>
    </row>
    <row r="3746" ht="13" customHeight="1">
      <c r="A3746" s="45" t="inlineStr">
        <is>
          <t>35117</t>
        </is>
      </c>
      <c r="B3746" s="45" t="inlineStr">
        <is>
          <t>10294</t>
        </is>
      </c>
      <c r="C3746" s="45" t="inlineStr">
        <is>
          <t>2×5147</t>
        </is>
      </c>
      <c r="D3746" s="45" t="inlineStr">
        <is>
          <t>2</t>
        </is>
      </c>
      <c r="E3746" s="45" t="inlineStr"/>
      <c r="F3746" s="45" t="inlineStr"/>
    </row>
    <row r="3747" ht="13" customHeight="1">
      <c r="A3747" s="49" t="inlineStr">
        <is>
          <t>35129</t>
        </is>
      </c>
      <c r="B3747" s="49" t="inlineStr">
        <is>
          <t>17236</t>
        </is>
      </c>
      <c r="C3747" s="49" t="inlineStr">
        <is>
          <t>2×2×31×139</t>
        </is>
      </c>
      <c r="D3747" s="49" t="inlineStr">
        <is>
          <t>2</t>
        </is>
      </c>
      <c r="E3747" s="49" t="inlineStr"/>
      <c r="F3747" s="49" t="inlineStr"/>
    </row>
    <row r="3748" ht="13" customHeight="1">
      <c r="A3748" s="45" t="inlineStr">
        <is>
          <t>35141</t>
        </is>
      </c>
      <c r="B3748" s="45" t="inlineStr">
        <is>
          <t>21453</t>
        </is>
      </c>
      <c r="C3748" s="45" t="inlineStr">
        <is>
          <t>3×7151</t>
        </is>
      </c>
      <c r="D3748" s="45" t="inlineStr">
        <is>
          <t>3</t>
        </is>
      </c>
      <c r="E3748" s="45" t="inlineStr"/>
      <c r="F3748" s="45" t="inlineStr"/>
    </row>
    <row r="3749" ht="13" customHeight="1">
      <c r="A3749" s="41" t="inlineStr">
        <is>
          <t>35149</t>
        </is>
      </c>
      <c r="B3749" s="41" t="inlineStr">
        <is>
          <t>17355</t>
        </is>
      </c>
      <c r="C3749" s="41" t="inlineStr">
        <is>
          <t>3×5×13×89</t>
        </is>
      </c>
      <c r="D3749" s="41" t="inlineStr">
        <is>
          <t>3·5·13</t>
        </is>
      </c>
      <c r="E3749" s="41" t="inlineStr"/>
      <c r="F3749" s="41" t="inlineStr"/>
    </row>
    <row r="3750" ht="13" customHeight="1">
      <c r="A3750" s="45" t="inlineStr">
        <is>
          <t>35153</t>
        </is>
      </c>
      <c r="B3750" s="45" t="inlineStr">
        <is>
          <t>39144</t>
        </is>
      </c>
      <c r="C3750" s="45" t="inlineStr">
        <is>
          <t>2×2×2×3×7×233</t>
        </is>
      </c>
      <c r="D3750" s="45" t="inlineStr">
        <is>
          <t>2·3·7</t>
        </is>
      </c>
      <c r="E3750" s="45" t="inlineStr"/>
      <c r="F3750" s="45" t="inlineStr"/>
    </row>
    <row r="3751" ht="13" customHeight="1">
      <c r="A3751" s="49" t="inlineStr">
        <is>
          <t>35159</t>
        </is>
      </c>
      <c r="B3751" s="49" t="inlineStr">
        <is>
          <t>27705</t>
        </is>
      </c>
      <c r="C3751" s="49" t="inlineStr">
        <is>
          <t>3×5×1847</t>
        </is>
      </c>
      <c r="D3751" s="49" t="inlineStr">
        <is>
          <t>3·5</t>
        </is>
      </c>
      <c r="E3751" s="49" t="inlineStr"/>
      <c r="F3751" s="49" t="inlineStr"/>
    </row>
    <row r="3752" ht="13" customHeight="1">
      <c r="A3752" s="45" t="inlineStr">
        <is>
          <t>35171</t>
        </is>
      </c>
      <c r="B3752" s="45" t="inlineStr">
        <is>
          <t>34343</t>
        </is>
      </c>
      <c r="C3752" s="45" t="inlineStr">
        <is>
          <t>61×563</t>
        </is>
      </c>
      <c r="D3752" s="45" t="inlineStr">
        <is>
          <t>—</t>
        </is>
      </c>
      <c r="E3752" s="45" t="inlineStr"/>
      <c r="F3752" s="45" t="inlineStr"/>
    </row>
    <row r="3753" ht="13" customHeight="1">
      <c r="A3753" s="49" t="inlineStr">
        <is>
          <t>35201</t>
        </is>
      </c>
      <c r="B3753" s="49" t="inlineStr">
        <is>
          <t>3356</t>
        </is>
      </c>
      <c r="C3753" s="49" t="inlineStr">
        <is>
          <t>2×2×839</t>
        </is>
      </c>
      <c r="D3753" s="49" t="inlineStr">
        <is>
          <t>2</t>
        </is>
      </c>
      <c r="E3753" s="49" t="inlineStr"/>
      <c r="F3753" s="49" t="inlineStr"/>
    </row>
    <row r="3754" ht="13" customHeight="1">
      <c r="A3754" s="45" t="inlineStr">
        <is>
          <t>35221</t>
        </is>
      </c>
      <c r="B3754" s="45" t="inlineStr">
        <is>
          <t>2597</t>
        </is>
      </c>
      <c r="C3754" s="45" t="inlineStr">
        <is>
          <t>7×7×53</t>
        </is>
      </c>
      <c r="D3754" s="45" t="inlineStr">
        <is>
          <t>7</t>
        </is>
      </c>
      <c r="E3754" s="45" t="inlineStr"/>
      <c r="F3754" s="45" t="inlineStr"/>
    </row>
    <row r="3755" ht="13" customHeight="1">
      <c r="A3755" s="50" t="inlineStr">
        <is>
          <t>35227</t>
        </is>
      </c>
      <c r="B3755" s="50" t="inlineStr">
        <is>
          <t>23059</t>
        </is>
      </c>
      <c r="C3755" s="50" t="inlineStr">
        <is>
          <t>23059</t>
        </is>
      </c>
      <c r="D3755" s="50" t="inlineStr">
        <is>
          <t>—</t>
        </is>
      </c>
      <c r="E3755" s="50" t="inlineStr"/>
      <c r="F3755" s="50" t="inlineStr"/>
    </row>
    <row r="3756" ht="13" customHeight="1">
      <c r="A3756" s="45" t="inlineStr">
        <is>
          <t>35251</t>
        </is>
      </c>
      <c r="B3756" s="45" t="inlineStr">
        <is>
          <t>18066</t>
        </is>
      </c>
      <c r="C3756" s="45" t="inlineStr">
        <is>
          <t>2×3×3011</t>
        </is>
      </c>
      <c r="D3756" s="45" t="inlineStr">
        <is>
          <t>2·3</t>
        </is>
      </c>
      <c r="E3756" s="45" t="inlineStr"/>
      <c r="F3756" s="45" t="inlineStr"/>
    </row>
    <row r="3757" ht="13" customHeight="1">
      <c r="A3757" s="49" t="inlineStr">
        <is>
          <t>35257</t>
        </is>
      </c>
      <c r="B3757" s="49" t="inlineStr">
        <is>
          <t>33610</t>
        </is>
      </c>
      <c r="C3757" s="49" t="inlineStr">
        <is>
          <t>2×5×3361</t>
        </is>
      </c>
      <c r="D3757" s="49" t="inlineStr">
        <is>
          <t>2·5</t>
        </is>
      </c>
      <c r="E3757" s="49" t="inlineStr"/>
      <c r="F3757" s="49" t="inlineStr"/>
    </row>
    <row r="3758" ht="13" customHeight="1">
      <c r="A3758" s="45" t="inlineStr">
        <is>
          <t>35267</t>
        </is>
      </c>
      <c r="B3758" s="45" t="inlineStr">
        <is>
          <t>19748</t>
        </is>
      </c>
      <c r="C3758" s="45" t="inlineStr">
        <is>
          <t>2×2×4937</t>
        </is>
      </c>
      <c r="D3758" s="45" t="inlineStr">
        <is>
          <t>2</t>
        </is>
      </c>
      <c r="E3758" s="45" t="inlineStr"/>
      <c r="F3758" s="45" t="inlineStr"/>
    </row>
    <row r="3759" ht="13" customHeight="1">
      <c r="A3759" s="39" t="inlineStr">
        <is>
          <t>35279</t>
        </is>
      </c>
      <c r="B3759" s="39" t="inlineStr">
        <is>
          <t>6250</t>
        </is>
      </c>
      <c r="C3759" s="39" t="inlineStr">
        <is>
          <t>2×5×5×5×5×5</t>
        </is>
      </c>
      <c r="D3759" s="39" t="inlineStr">
        <is>
          <t>2·5</t>
        </is>
      </c>
      <c r="E3759" s="39" t="inlineStr"/>
      <c r="F3759" s="39" t="inlineStr"/>
    </row>
    <row r="3760" ht="13" customHeight="1">
      <c r="A3760" s="43" t="inlineStr">
        <is>
          <t>35281</t>
        </is>
      </c>
      <c r="B3760" s="43" t="inlineStr">
        <is>
          <t>10956</t>
        </is>
      </c>
      <c r="C3760" s="43" t="inlineStr">
        <is>
          <t>2×2×3×11×83</t>
        </is>
      </c>
      <c r="D3760" s="43" t="inlineStr">
        <is>
          <t>2·3·11</t>
        </is>
      </c>
      <c r="E3760" s="43" t="inlineStr"/>
      <c r="F3760" s="43" t="inlineStr"/>
    </row>
    <row r="3761" ht="13" customHeight="1">
      <c r="A3761" s="49" t="inlineStr">
        <is>
          <t>35291</t>
        </is>
      </c>
      <c r="B3761" s="49" t="inlineStr">
        <is>
          <t>34647</t>
        </is>
      </c>
      <c r="C3761" s="49" t="inlineStr">
        <is>
          <t>3×11549</t>
        </is>
      </c>
      <c r="D3761" s="49" t="inlineStr">
        <is>
          <t>3</t>
        </is>
      </c>
      <c r="E3761" s="49" t="inlineStr"/>
      <c r="F3761" s="49" t="inlineStr"/>
    </row>
    <row r="3762" ht="13" customHeight="1">
      <c r="A3762" s="41" t="inlineStr">
        <is>
          <t>35311</t>
        </is>
      </c>
      <c r="B3762" s="41" t="inlineStr">
        <is>
          <t>21333</t>
        </is>
      </c>
      <c r="C3762" s="41" t="inlineStr">
        <is>
          <t>3×13×547</t>
        </is>
      </c>
      <c r="D3762" s="41" t="inlineStr">
        <is>
          <t>3·13</t>
        </is>
      </c>
      <c r="E3762" s="41" t="inlineStr"/>
      <c r="F3762" s="41" t="inlineStr"/>
    </row>
    <row r="3763" ht="13" customHeight="1">
      <c r="A3763" s="41" t="inlineStr">
        <is>
          <t>35317</t>
        </is>
      </c>
      <c r="B3763" s="41" t="inlineStr">
        <is>
          <t>39712</t>
        </is>
      </c>
      <c r="C3763" s="41" t="inlineStr">
        <is>
          <t>2×2×2×2×2×17×73</t>
        </is>
      </c>
      <c r="D3763" s="41" t="inlineStr">
        <is>
          <t>2·17</t>
        </is>
      </c>
      <c r="E3763" s="41" t="inlineStr"/>
      <c r="F3763" s="41" t="inlineStr"/>
    </row>
    <row r="3764" ht="13" customHeight="1">
      <c r="A3764" s="45" t="inlineStr">
        <is>
          <t>35323</t>
        </is>
      </c>
      <c r="B3764" s="45" t="inlineStr">
        <is>
          <t>4882</t>
        </is>
      </c>
      <c r="C3764" s="45" t="inlineStr">
        <is>
          <t>2×2441</t>
        </is>
      </c>
      <c r="D3764" s="45" t="inlineStr">
        <is>
          <t>2</t>
        </is>
      </c>
      <c r="E3764" s="45" t="inlineStr"/>
      <c r="F3764" s="45" t="inlineStr"/>
    </row>
    <row r="3765" ht="13" customHeight="1">
      <c r="A3765" s="49" t="inlineStr">
        <is>
          <t>35327</t>
        </is>
      </c>
      <c r="B3765" s="49" t="inlineStr">
        <is>
          <t>37384</t>
        </is>
      </c>
      <c r="C3765" s="49" t="inlineStr">
        <is>
          <t>2×2×2×4673</t>
        </is>
      </c>
      <c r="D3765" s="49" t="inlineStr">
        <is>
          <t>2</t>
        </is>
      </c>
      <c r="E3765" s="49" t="inlineStr"/>
      <c r="F3765" s="49" t="inlineStr"/>
    </row>
    <row r="3766" ht="13" customHeight="1">
      <c r="A3766" s="45" t="inlineStr">
        <is>
          <t>35339</t>
        </is>
      </c>
      <c r="B3766" s="45" t="inlineStr">
        <is>
          <t>16168</t>
        </is>
      </c>
      <c r="C3766" s="45" t="inlineStr">
        <is>
          <t>2×2×2×43×47</t>
        </is>
      </c>
      <c r="D3766" s="45" t="inlineStr">
        <is>
          <t>2</t>
        </is>
      </c>
      <c r="E3766" s="45" t="inlineStr"/>
      <c r="F3766" s="45" t="inlineStr"/>
    </row>
    <row r="3767" ht="13" customHeight="1">
      <c r="A3767" s="49" t="inlineStr">
        <is>
          <t>35353</t>
        </is>
      </c>
      <c r="B3767" s="49" t="inlineStr">
        <is>
          <t>7725</t>
        </is>
      </c>
      <c r="C3767" s="49" t="inlineStr">
        <is>
          <t>3×5×5×103</t>
        </is>
      </c>
      <c r="D3767" s="49" t="inlineStr">
        <is>
          <t>3·5</t>
        </is>
      </c>
      <c r="E3767" s="49" t="inlineStr"/>
      <c r="F3767" s="49" t="inlineStr"/>
    </row>
    <row r="3768" ht="13" customHeight="1">
      <c r="A3768" s="50" t="inlineStr">
        <is>
          <t>35363</t>
        </is>
      </c>
      <c r="B3768" s="50" t="inlineStr">
        <is>
          <t>21929</t>
        </is>
      </c>
      <c r="C3768" s="50" t="inlineStr">
        <is>
          <t>21929</t>
        </is>
      </c>
      <c r="D3768" s="50" t="inlineStr">
        <is>
          <t>—</t>
        </is>
      </c>
      <c r="E3768" s="50" t="inlineStr"/>
      <c r="F3768" s="50" t="inlineStr"/>
    </row>
    <row r="3769" ht="13" customHeight="1">
      <c r="A3769" s="49" t="inlineStr">
        <is>
          <t>35381</t>
        </is>
      </c>
      <c r="B3769" s="49" t="inlineStr">
        <is>
          <t>31428</t>
        </is>
      </c>
      <c r="C3769" s="49" t="inlineStr">
        <is>
          <t>2×2×3×3×3×3×97</t>
        </is>
      </c>
      <c r="D3769" s="49" t="inlineStr">
        <is>
          <t>2·3</t>
        </is>
      </c>
      <c r="E3769" s="49" t="inlineStr"/>
      <c r="F3769" s="49" t="inlineStr"/>
    </row>
    <row r="3770" ht="13" customHeight="1">
      <c r="A3770" s="41" t="inlineStr">
        <is>
          <t>35393</t>
        </is>
      </c>
      <c r="B3770" s="41" t="inlineStr">
        <is>
          <t>18479</t>
        </is>
      </c>
      <c r="C3770" s="41" t="inlineStr">
        <is>
          <t>17×1087</t>
        </is>
      </c>
      <c r="D3770" s="41" t="inlineStr">
        <is>
          <t>17</t>
        </is>
      </c>
      <c r="E3770" s="41" t="inlineStr"/>
      <c r="F3770" s="41" t="inlineStr"/>
    </row>
    <row r="3771" ht="13" customHeight="1">
      <c r="A3771" s="49" t="inlineStr">
        <is>
          <t>35401</t>
        </is>
      </c>
      <c r="B3771" s="49" t="inlineStr">
        <is>
          <t>39505</t>
        </is>
      </c>
      <c r="C3771" s="49" t="inlineStr">
        <is>
          <t>5×7901</t>
        </is>
      </c>
      <c r="D3771" s="49" t="inlineStr">
        <is>
          <t>5</t>
        </is>
      </c>
      <c r="E3771" s="49" t="inlineStr"/>
      <c r="F3771" s="49" t="inlineStr"/>
    </row>
    <row r="3772" ht="13" customHeight="1">
      <c r="A3772" s="45" t="inlineStr">
        <is>
          <t>35407</t>
        </is>
      </c>
      <c r="B3772" s="45" t="inlineStr">
        <is>
          <t>25112</t>
        </is>
      </c>
      <c r="C3772" s="45" t="inlineStr">
        <is>
          <t>2×2×2×43×73</t>
        </is>
      </c>
      <c r="D3772" s="45" t="inlineStr">
        <is>
          <t>2</t>
        </is>
      </c>
      <c r="E3772" s="45" t="inlineStr"/>
      <c r="F3772" s="45" t="inlineStr"/>
    </row>
    <row r="3773" ht="13" customHeight="1">
      <c r="A3773" s="49" t="inlineStr">
        <is>
          <t>35419</t>
        </is>
      </c>
      <c r="B3773" s="49" t="inlineStr">
        <is>
          <t>4152</t>
        </is>
      </c>
      <c r="C3773" s="49" t="inlineStr">
        <is>
          <t>2×2×2×3×173</t>
        </is>
      </c>
      <c r="D3773" s="49" t="inlineStr">
        <is>
          <t>2·3</t>
        </is>
      </c>
      <c r="E3773" s="49" t="inlineStr"/>
      <c r="F3773" s="49" t="inlineStr"/>
    </row>
    <row r="3774" ht="13" customHeight="1">
      <c r="A3774" s="45" t="inlineStr">
        <is>
          <t>35423</t>
        </is>
      </c>
      <c r="B3774" s="45" t="inlineStr">
        <is>
          <t>38864</t>
        </is>
      </c>
      <c r="C3774" s="45" t="inlineStr">
        <is>
          <t>2×2×2×2×7×347</t>
        </is>
      </c>
      <c r="D3774" s="45" t="inlineStr">
        <is>
          <t>2·7</t>
        </is>
      </c>
      <c r="E3774" s="45" t="inlineStr"/>
      <c r="F3774" s="45" t="inlineStr"/>
    </row>
    <row r="3775" ht="13" customHeight="1">
      <c r="A3775" s="49" t="inlineStr">
        <is>
          <t>35437</t>
        </is>
      </c>
      <c r="B3775" s="49" t="inlineStr">
        <is>
          <t>17958</t>
        </is>
      </c>
      <c r="C3775" s="49" t="inlineStr">
        <is>
          <t>2×3×41×73</t>
        </is>
      </c>
      <c r="D3775" s="49" t="inlineStr">
        <is>
          <t>2·3</t>
        </is>
      </c>
      <c r="E3775" s="49" t="inlineStr"/>
      <c r="F3775" s="49" t="inlineStr"/>
    </row>
    <row r="3776" ht="13" customHeight="1">
      <c r="A3776" s="45" t="inlineStr">
        <is>
          <t>35447</t>
        </is>
      </c>
      <c r="B3776" s="45" t="inlineStr">
        <is>
          <t>10927</t>
        </is>
      </c>
      <c r="C3776" s="45" t="inlineStr">
        <is>
          <t>7×7×223</t>
        </is>
      </c>
      <c r="D3776" s="45" t="inlineStr">
        <is>
          <t>7</t>
        </is>
      </c>
      <c r="E3776" s="45" t="inlineStr"/>
      <c r="F3776" s="45" t="inlineStr"/>
    </row>
    <row r="3777" ht="13" customHeight="1">
      <c r="A3777" s="41" t="inlineStr">
        <is>
          <t>35449</t>
        </is>
      </c>
      <c r="B3777" s="41" t="inlineStr">
        <is>
          <t>24514</t>
        </is>
      </c>
      <c r="C3777" s="41" t="inlineStr">
        <is>
          <t>2×7×17×103</t>
        </is>
      </c>
      <c r="D3777" s="41" t="inlineStr">
        <is>
          <t>2·7·17</t>
        </is>
      </c>
      <c r="E3777" s="41" t="inlineStr"/>
      <c r="F3777" s="41" t="inlineStr"/>
    </row>
    <row r="3778" ht="13" customHeight="1">
      <c r="A3778" s="43" t="inlineStr">
        <is>
          <t>35461</t>
        </is>
      </c>
      <c r="B3778" s="43" t="inlineStr">
        <is>
          <t>15224</t>
        </is>
      </c>
      <c r="C3778" s="43" t="inlineStr">
        <is>
          <t>2×2×2×11×173</t>
        </is>
      </c>
      <c r="D3778" s="43" t="inlineStr">
        <is>
          <t>2·11</t>
        </is>
      </c>
      <c r="E3778" s="43" t="inlineStr"/>
      <c r="F3778" s="43" t="inlineStr"/>
    </row>
    <row r="3779" ht="13" customHeight="1">
      <c r="A3779" s="49" t="inlineStr">
        <is>
          <t>35491</t>
        </is>
      </c>
      <c r="B3779" s="49" t="inlineStr">
        <is>
          <t>18703</t>
        </is>
      </c>
      <c r="C3779" s="49" t="inlineStr">
        <is>
          <t>59×317</t>
        </is>
      </c>
      <c r="D3779" s="49" t="inlineStr">
        <is>
          <t>—</t>
        </is>
      </c>
      <c r="E3779" s="49" t="inlineStr"/>
      <c r="F3779" s="49" t="inlineStr"/>
    </row>
    <row r="3780" ht="13" customHeight="1">
      <c r="A3780" s="41" t="inlineStr">
        <is>
          <t>35507</t>
        </is>
      </c>
      <c r="B3780" s="41" t="inlineStr">
        <is>
          <t>40157</t>
        </is>
      </c>
      <c r="C3780" s="41" t="inlineStr">
        <is>
          <t>13×3089</t>
        </is>
      </c>
      <c r="D3780" s="41" t="inlineStr">
        <is>
          <t>13</t>
        </is>
      </c>
      <c r="E3780" s="41" t="inlineStr"/>
      <c r="F3780" s="41" t="inlineStr"/>
    </row>
    <row r="3781" ht="13" customHeight="1">
      <c r="A3781" s="49" t="inlineStr">
        <is>
          <t>35509</t>
        </is>
      </c>
      <c r="B3781" s="49" t="inlineStr">
        <is>
          <t>13599</t>
        </is>
      </c>
      <c r="C3781" s="49" t="inlineStr">
        <is>
          <t>3×3×1511</t>
        </is>
      </c>
      <c r="D3781" s="49" t="inlineStr">
        <is>
          <t>3</t>
        </is>
      </c>
      <c r="E3781" s="49" t="inlineStr"/>
      <c r="F3781" s="49" t="inlineStr"/>
    </row>
    <row r="3782" ht="13" customHeight="1">
      <c r="A3782" s="45" t="inlineStr">
        <is>
          <t>35521</t>
        </is>
      </c>
      <c r="B3782" s="45" t="inlineStr">
        <is>
          <t>39795</t>
        </is>
      </c>
      <c r="C3782" s="45" t="inlineStr">
        <is>
          <t>3×5×7×379</t>
        </is>
      </c>
      <c r="D3782" s="45" t="inlineStr">
        <is>
          <t>3·5·7</t>
        </is>
      </c>
      <c r="E3782" s="45" t="inlineStr"/>
      <c r="F3782" s="45" t="inlineStr"/>
    </row>
    <row r="3783" ht="13" customHeight="1">
      <c r="A3783" s="49" t="inlineStr">
        <is>
          <t>35527</t>
        </is>
      </c>
      <c r="B3783" s="49" t="inlineStr">
        <is>
          <t>5921</t>
        </is>
      </c>
      <c r="C3783" s="49" t="inlineStr">
        <is>
          <t>31×191</t>
        </is>
      </c>
      <c r="D3783" s="49" t="inlineStr">
        <is>
          <t>—</t>
        </is>
      </c>
      <c r="E3783" s="49" t="inlineStr"/>
      <c r="F3783" s="49" t="inlineStr"/>
    </row>
    <row r="3784" ht="13" customHeight="1">
      <c r="A3784" s="45" t="inlineStr">
        <is>
          <t>35531</t>
        </is>
      </c>
      <c r="B3784" s="45" t="inlineStr">
        <is>
          <t>26018</t>
        </is>
      </c>
      <c r="C3784" s="45" t="inlineStr">
        <is>
          <t>2×13009</t>
        </is>
      </c>
      <c r="D3784" s="45" t="inlineStr">
        <is>
          <t>2</t>
        </is>
      </c>
      <c r="E3784" s="45" t="inlineStr"/>
      <c r="F3784" s="45" t="inlineStr"/>
    </row>
    <row r="3785" ht="13" customHeight="1">
      <c r="A3785" s="50" t="inlineStr">
        <is>
          <t>35533</t>
        </is>
      </c>
      <c r="B3785" s="50" t="inlineStr">
        <is>
          <t>19471</t>
        </is>
      </c>
      <c r="C3785" s="50" t="inlineStr">
        <is>
          <t>19471</t>
        </is>
      </c>
      <c r="D3785" s="50" t="inlineStr">
        <is>
          <t>—</t>
        </is>
      </c>
      <c r="E3785" s="50" t="inlineStr"/>
      <c r="F3785" s="50" t="inlineStr"/>
    </row>
    <row r="3786" ht="13" customHeight="1">
      <c r="A3786" s="50" t="inlineStr">
        <is>
          <t>35537</t>
        </is>
      </c>
      <c r="B3786" s="50" t="inlineStr">
        <is>
          <t>1319</t>
        </is>
      </c>
      <c r="C3786" s="50" t="inlineStr">
        <is>
          <t>1319</t>
        </is>
      </c>
      <c r="D3786" s="50" t="inlineStr">
        <is>
          <t>—</t>
        </is>
      </c>
      <c r="E3786" s="50" t="inlineStr"/>
      <c r="F3786" s="50" t="inlineStr"/>
    </row>
    <row r="3787" ht="13" customHeight="1">
      <c r="A3787" s="51" t="inlineStr">
        <is>
          <t>35543</t>
        </is>
      </c>
      <c r="B3787" s="51" t="inlineStr">
        <is>
          <t>39368</t>
        </is>
      </c>
      <c r="C3787" s="51" t="inlineStr">
        <is>
          <t>2×2×2×7×19×37</t>
        </is>
      </c>
      <c r="D3787" s="51" t="inlineStr">
        <is>
          <t>2·7·19</t>
        </is>
      </c>
      <c r="E3787" s="51" t="inlineStr"/>
      <c r="F3787" s="51" t="inlineStr"/>
    </row>
    <row r="3788" ht="13" customHeight="1">
      <c r="A3788" s="41" t="inlineStr">
        <is>
          <t>35569</t>
        </is>
      </c>
      <c r="B3788" s="41" t="inlineStr">
        <is>
          <t>29682</t>
        </is>
      </c>
      <c r="C3788" s="41" t="inlineStr">
        <is>
          <t>2×3×3×17×97</t>
        </is>
      </c>
      <c r="D3788" s="41" t="inlineStr">
        <is>
          <t>2·3·17</t>
        </is>
      </c>
      <c r="E3788" s="41" t="inlineStr"/>
      <c r="F3788" s="41" t="inlineStr"/>
    </row>
    <row r="3789" ht="13" customHeight="1">
      <c r="A3789" s="49" t="inlineStr">
        <is>
          <t>35573</t>
        </is>
      </c>
      <c r="B3789" s="49" t="inlineStr">
        <is>
          <t>13749</t>
        </is>
      </c>
      <c r="C3789" s="49" t="inlineStr">
        <is>
          <t>3×4583</t>
        </is>
      </c>
      <c r="D3789" s="49" t="inlineStr">
        <is>
          <t>3</t>
        </is>
      </c>
      <c r="E3789" s="49" t="inlineStr"/>
      <c r="F3789" s="49" t="inlineStr"/>
    </row>
    <row r="3790" ht="13" customHeight="1">
      <c r="A3790" s="45" t="inlineStr">
        <is>
          <t>35591</t>
        </is>
      </c>
      <c r="B3790" s="45" t="inlineStr">
        <is>
          <t>38735</t>
        </is>
      </c>
      <c r="C3790" s="45" t="inlineStr">
        <is>
          <t>5×61×127</t>
        </is>
      </c>
      <c r="D3790" s="45" t="inlineStr">
        <is>
          <t>5</t>
        </is>
      </c>
      <c r="E3790" s="45" t="inlineStr"/>
      <c r="F3790" s="45" t="inlineStr"/>
    </row>
    <row r="3791" ht="13" customHeight="1">
      <c r="A3791" s="49" t="inlineStr">
        <is>
          <t>35593</t>
        </is>
      </c>
      <c r="B3791" s="49" t="inlineStr">
        <is>
          <t>33366</t>
        </is>
      </c>
      <c r="C3791" s="49" t="inlineStr">
        <is>
          <t>2×3×67×83</t>
        </is>
      </c>
      <c r="D3791" s="49" t="inlineStr">
        <is>
          <t>2·3</t>
        </is>
      </c>
      <c r="E3791" s="49" t="inlineStr"/>
      <c r="F3791" s="49" t="inlineStr"/>
    </row>
    <row r="3792" ht="13" customHeight="1">
      <c r="A3792" s="45" t="inlineStr">
        <is>
          <t>35597</t>
        </is>
      </c>
      <c r="B3792" s="45" t="inlineStr">
        <is>
          <t>25886</t>
        </is>
      </c>
      <c r="C3792" s="45" t="inlineStr">
        <is>
          <t>2×7×43×43</t>
        </is>
      </c>
      <c r="D3792" s="45" t="inlineStr">
        <is>
          <t>2·7</t>
        </is>
      </c>
      <c r="E3792" s="45" t="inlineStr"/>
      <c r="F3792" s="45" t="inlineStr"/>
    </row>
    <row r="3793" ht="13" customHeight="1">
      <c r="A3793" s="49" t="inlineStr">
        <is>
          <t>35603</t>
        </is>
      </c>
      <c r="B3793" s="49" t="inlineStr">
        <is>
          <t>11053</t>
        </is>
      </c>
      <c r="C3793" s="49" t="inlineStr">
        <is>
          <t>7×1579</t>
        </is>
      </c>
      <c r="D3793" s="49" t="inlineStr">
        <is>
          <t>7</t>
        </is>
      </c>
      <c r="E3793" s="49" t="inlineStr"/>
      <c r="F3793" s="49" t="inlineStr"/>
    </row>
    <row r="3794" ht="13" customHeight="1">
      <c r="A3794" s="45" t="inlineStr">
        <is>
          <t>35617</t>
        </is>
      </c>
      <c r="B3794" s="45" t="inlineStr">
        <is>
          <t>21314</t>
        </is>
      </c>
      <c r="C3794" s="45" t="inlineStr">
        <is>
          <t>2×10657</t>
        </is>
      </c>
      <c r="D3794" s="45" t="inlineStr">
        <is>
          <t>2</t>
        </is>
      </c>
      <c r="E3794" s="45" t="inlineStr"/>
      <c r="F3794" s="45" t="inlineStr"/>
    </row>
    <row r="3795" ht="13" customHeight="1">
      <c r="A3795" s="49" t="inlineStr">
        <is>
          <t>35671</t>
        </is>
      </c>
      <c r="B3795" s="49" t="inlineStr">
        <is>
          <t>32821</t>
        </is>
      </c>
      <c r="C3795" s="49" t="inlineStr">
        <is>
          <t>23×1427</t>
        </is>
      </c>
      <c r="D3795" s="49" t="inlineStr">
        <is>
          <t>—</t>
        </is>
      </c>
      <c r="E3795" s="49" t="inlineStr"/>
      <c r="F3795" s="49" t="inlineStr"/>
    </row>
    <row r="3796" ht="13" customHeight="1">
      <c r="A3796" s="51" t="inlineStr">
        <is>
          <t>35677</t>
        </is>
      </c>
      <c r="B3796" s="51" t="inlineStr">
        <is>
          <t>37905</t>
        </is>
      </c>
      <c r="C3796" s="51" t="inlineStr">
        <is>
          <t>3×5×7×19×19</t>
        </is>
      </c>
      <c r="D3796" s="51" t="inlineStr">
        <is>
          <t>3·5·7·19</t>
        </is>
      </c>
      <c r="E3796" s="51" t="inlineStr"/>
      <c r="F3796" s="51" t="inlineStr"/>
    </row>
    <row r="3797" ht="13" customHeight="1">
      <c r="A3797" s="49" t="inlineStr">
        <is>
          <t>35729</t>
        </is>
      </c>
      <c r="B3797" s="49" t="inlineStr">
        <is>
          <t>34888</t>
        </is>
      </c>
      <c r="C3797" s="49" t="inlineStr">
        <is>
          <t>2×2×2×7×7×89</t>
        </is>
      </c>
      <c r="D3797" s="49" t="inlineStr">
        <is>
          <t>2·7</t>
        </is>
      </c>
      <c r="E3797" s="49" t="inlineStr"/>
      <c r="F3797" s="49" t="inlineStr"/>
    </row>
    <row r="3798" ht="13" customHeight="1">
      <c r="A3798" s="41" t="inlineStr">
        <is>
          <t>35731</t>
        </is>
      </c>
      <c r="B3798" s="41" t="inlineStr">
        <is>
          <t>13668</t>
        </is>
      </c>
      <c r="C3798" s="41" t="inlineStr">
        <is>
          <t>2×2×3×17×67</t>
        </is>
      </c>
      <c r="D3798" s="41" t="inlineStr">
        <is>
          <t>2·3·17</t>
        </is>
      </c>
      <c r="E3798" s="41" t="inlineStr"/>
      <c r="F3798" s="41" t="inlineStr"/>
    </row>
    <row r="3799" ht="13" customHeight="1">
      <c r="A3799" s="49" t="inlineStr">
        <is>
          <t>35747</t>
        </is>
      </c>
      <c r="B3799" s="49" t="inlineStr">
        <is>
          <t>34094</t>
        </is>
      </c>
      <c r="C3799" s="49" t="inlineStr">
        <is>
          <t>2×17047</t>
        </is>
      </c>
      <c r="D3799" s="49" t="inlineStr">
        <is>
          <t>2</t>
        </is>
      </c>
      <c r="E3799" s="49" t="inlineStr"/>
      <c r="F3799" s="49" t="inlineStr"/>
    </row>
    <row r="3800" ht="13" customHeight="1">
      <c r="A3800" s="45" t="inlineStr">
        <is>
          <t>35753</t>
        </is>
      </c>
      <c r="B3800" s="45" t="inlineStr">
        <is>
          <t>7864</t>
        </is>
      </c>
      <c r="C3800" s="45" t="inlineStr">
        <is>
          <t>2×2×2×983</t>
        </is>
      </c>
      <c r="D3800" s="45" t="inlineStr">
        <is>
          <t>2</t>
        </is>
      </c>
      <c r="E3800" s="45" t="inlineStr"/>
      <c r="F3800" s="45" t="inlineStr"/>
    </row>
    <row r="3801" ht="13" customHeight="1">
      <c r="A3801" s="49" t="inlineStr">
        <is>
          <t>35759</t>
        </is>
      </c>
      <c r="B3801" s="49" t="inlineStr">
        <is>
          <t>13412</t>
        </is>
      </c>
      <c r="C3801" s="49" t="inlineStr">
        <is>
          <t>2×2×7×479</t>
        </is>
      </c>
      <c r="D3801" s="49" t="inlineStr">
        <is>
          <t>2·7</t>
        </is>
      </c>
      <c r="E3801" s="49" t="inlineStr"/>
      <c r="F3801" s="49" t="inlineStr"/>
    </row>
    <row r="3802" ht="13" customHeight="1">
      <c r="A3802" s="41" t="inlineStr">
        <is>
          <t>35771</t>
        </is>
      </c>
      <c r="B3802" s="41" t="inlineStr">
        <is>
          <t>23256</t>
        </is>
      </c>
      <c r="C3802" s="41" t="inlineStr">
        <is>
          <t>2×2×2×3×3×17×19</t>
        </is>
      </c>
      <c r="D3802" s="41" t="inlineStr">
        <is>
          <t>2·3·17·19</t>
        </is>
      </c>
      <c r="E3802" s="41" t="inlineStr"/>
      <c r="F3802" s="41" t="inlineStr"/>
    </row>
    <row r="3803" ht="13" customHeight="1">
      <c r="A3803" s="49" t="inlineStr">
        <is>
          <t>35797</t>
        </is>
      </c>
      <c r="B3803" s="49" t="inlineStr">
        <is>
          <t>41810</t>
        </is>
      </c>
      <c r="C3803" s="49" t="inlineStr">
        <is>
          <t>2×5×37×113</t>
        </is>
      </c>
      <c r="D3803" s="49" t="inlineStr">
        <is>
          <t>2·5</t>
        </is>
      </c>
      <c r="E3803" s="49" t="inlineStr"/>
      <c r="F3803" s="49" t="inlineStr"/>
    </row>
    <row r="3804" ht="13" customHeight="1">
      <c r="A3804" s="41" t="inlineStr">
        <is>
          <t>35801</t>
        </is>
      </c>
      <c r="B3804" s="41" t="inlineStr">
        <is>
          <t>35009</t>
        </is>
      </c>
      <c r="C3804" s="41" t="inlineStr">
        <is>
          <t>13×2693</t>
        </is>
      </c>
      <c r="D3804" s="41" t="inlineStr">
        <is>
          <t>13</t>
        </is>
      </c>
      <c r="E3804" s="41" t="inlineStr"/>
      <c r="F3804" s="41" t="inlineStr"/>
    </row>
    <row r="3805" ht="13" customHeight="1">
      <c r="A3805" s="49" t="inlineStr">
        <is>
          <t>35803</t>
        </is>
      </c>
      <c r="B3805" s="49" t="inlineStr">
        <is>
          <t>12299</t>
        </is>
      </c>
      <c r="C3805" s="49" t="inlineStr">
        <is>
          <t>7×7×251</t>
        </is>
      </c>
      <c r="D3805" s="49" t="inlineStr">
        <is>
          <t>7</t>
        </is>
      </c>
      <c r="E3805" s="49" t="inlineStr"/>
      <c r="F3805" s="49" t="inlineStr"/>
    </row>
    <row r="3806" ht="13" customHeight="1">
      <c r="A3806" s="51" t="inlineStr">
        <is>
          <t>35809</t>
        </is>
      </c>
      <c r="B3806" s="51" t="inlineStr">
        <is>
          <t>6118</t>
        </is>
      </c>
      <c r="C3806" s="51" t="inlineStr">
        <is>
          <t>2×7×19×23</t>
        </is>
      </c>
      <c r="D3806" s="51" t="inlineStr">
        <is>
          <t>2·7·19</t>
        </is>
      </c>
      <c r="E3806" s="51" t="inlineStr"/>
      <c r="F3806" s="51" t="inlineStr"/>
    </row>
    <row r="3807" ht="13" customHeight="1">
      <c r="A3807" s="49" t="inlineStr">
        <is>
          <t>35831</t>
        </is>
      </c>
      <c r="B3807" s="49" t="inlineStr">
        <is>
          <t>7515</t>
        </is>
      </c>
      <c r="C3807" s="49" t="inlineStr">
        <is>
          <t>3×3×5×167</t>
        </is>
      </c>
      <c r="D3807" s="49" t="inlineStr">
        <is>
          <t>3·5</t>
        </is>
      </c>
      <c r="E3807" s="49" t="inlineStr"/>
      <c r="F3807" s="49" t="inlineStr"/>
    </row>
    <row r="3808" ht="13" customHeight="1">
      <c r="A3808" s="45" t="inlineStr">
        <is>
          <t>35837</t>
        </is>
      </c>
      <c r="B3808" s="45" t="inlineStr">
        <is>
          <t>35482</t>
        </is>
      </c>
      <c r="C3808" s="45" t="inlineStr">
        <is>
          <t>2×113×157</t>
        </is>
      </c>
      <c r="D3808" s="45" t="inlineStr">
        <is>
          <t>2</t>
        </is>
      </c>
      <c r="E3808" s="45" t="inlineStr"/>
      <c r="F3808" s="45" t="inlineStr"/>
    </row>
    <row r="3809" ht="13" customHeight="1">
      <c r="A3809" s="49" t="inlineStr">
        <is>
          <t>35839</t>
        </is>
      </c>
      <c r="B3809" s="49" t="inlineStr">
        <is>
          <t>12424</t>
        </is>
      </c>
      <c r="C3809" s="49" t="inlineStr">
        <is>
          <t>2×2×2×1553</t>
        </is>
      </c>
      <c r="D3809" s="49" t="inlineStr">
        <is>
          <t>2</t>
        </is>
      </c>
      <c r="E3809" s="49" t="inlineStr"/>
      <c r="F3809" s="49" t="inlineStr"/>
    </row>
    <row r="3810" ht="13" customHeight="1">
      <c r="A3810" s="45" t="inlineStr">
        <is>
          <t>35851</t>
        </is>
      </c>
      <c r="B3810" s="45" t="inlineStr">
        <is>
          <t>33300</t>
        </is>
      </c>
      <c r="C3810" s="45" t="inlineStr">
        <is>
          <t>2×2×3×3×5×5×37</t>
        </is>
      </c>
      <c r="D3810" s="45" t="inlineStr">
        <is>
          <t>2·3·5</t>
        </is>
      </c>
      <c r="E3810" s="45" t="inlineStr"/>
      <c r="F3810" s="45" t="inlineStr"/>
    </row>
    <row r="3811" ht="13" customHeight="1">
      <c r="A3811" s="49" t="inlineStr">
        <is>
          <t>35863</t>
        </is>
      </c>
      <c r="B3811" s="49" t="inlineStr">
        <is>
          <t>11758</t>
        </is>
      </c>
      <c r="C3811" s="49" t="inlineStr">
        <is>
          <t>2×5879</t>
        </is>
      </c>
      <c r="D3811" s="49" t="inlineStr">
        <is>
          <t>2</t>
        </is>
      </c>
      <c r="E3811" s="49" t="inlineStr"/>
      <c r="F3811" s="49" t="inlineStr"/>
    </row>
    <row r="3812" ht="13" customHeight="1">
      <c r="A3812" s="45" t="inlineStr">
        <is>
          <t>35869</t>
        </is>
      </c>
      <c r="B3812" s="45" t="inlineStr">
        <is>
          <t>31320</t>
        </is>
      </c>
      <c r="C3812" s="45" t="inlineStr">
        <is>
          <t>2×2×2×3×3×3×5×29</t>
        </is>
      </c>
      <c r="D3812" s="45" t="inlineStr">
        <is>
          <t>2·3·5</t>
        </is>
      </c>
      <c r="E3812" s="45" t="inlineStr"/>
      <c r="F3812" s="45" t="inlineStr"/>
    </row>
    <row r="3813" ht="13" customHeight="1">
      <c r="A3813" s="41" t="inlineStr">
        <is>
          <t>35879</t>
        </is>
      </c>
      <c r="B3813" s="41" t="inlineStr">
        <is>
          <t>38506</t>
        </is>
      </c>
      <c r="C3813" s="41" t="inlineStr">
        <is>
          <t>2×13×1481</t>
        </is>
      </c>
      <c r="D3813" s="41" t="inlineStr">
        <is>
          <t>2·13</t>
        </is>
      </c>
      <c r="E3813" s="41" t="inlineStr"/>
      <c r="F3813" s="41" t="inlineStr"/>
    </row>
    <row r="3814" ht="13" customHeight="1">
      <c r="A3814" s="45" t="inlineStr">
        <is>
          <t>35897</t>
        </is>
      </c>
      <c r="B3814" s="45" t="inlineStr">
        <is>
          <t>8428</t>
        </is>
      </c>
      <c r="C3814" s="45" t="inlineStr">
        <is>
          <t>2×2×7×7×43</t>
        </is>
      </c>
      <c r="D3814" s="45" t="inlineStr">
        <is>
          <t>2·7</t>
        </is>
      </c>
      <c r="E3814" s="45" t="inlineStr"/>
      <c r="F3814" s="45" t="inlineStr"/>
    </row>
    <row r="3815" ht="13" customHeight="1">
      <c r="A3815" s="49" t="inlineStr">
        <is>
          <t>35899</t>
        </is>
      </c>
      <c r="B3815" s="49" t="inlineStr">
        <is>
          <t>42805</t>
        </is>
      </c>
      <c r="C3815" s="49" t="inlineStr">
        <is>
          <t>5×7×1223</t>
        </is>
      </c>
      <c r="D3815" s="49" t="inlineStr">
        <is>
          <t>5·7</t>
        </is>
      </c>
      <c r="E3815" s="49" t="inlineStr"/>
      <c r="F3815" s="49" t="inlineStr"/>
    </row>
    <row r="3816" ht="13" customHeight="1">
      <c r="A3816" s="45" t="inlineStr">
        <is>
          <t>35911</t>
        </is>
      </c>
      <c r="B3816" s="45" t="inlineStr">
        <is>
          <t>14074</t>
        </is>
      </c>
      <c r="C3816" s="45" t="inlineStr">
        <is>
          <t>2×31×227</t>
        </is>
      </c>
      <c r="D3816" s="45" t="inlineStr">
        <is>
          <t>2</t>
        </is>
      </c>
      <c r="E3816" s="45" t="inlineStr"/>
      <c r="F3816" s="45" t="inlineStr"/>
    </row>
    <row r="3817" ht="13" customHeight="1">
      <c r="A3817" s="49" t="inlineStr">
        <is>
          <t>35923</t>
        </is>
      </c>
      <c r="B3817" s="49" t="inlineStr">
        <is>
          <t>35985</t>
        </is>
      </c>
      <c r="C3817" s="49" t="inlineStr">
        <is>
          <t>3×5×2399</t>
        </is>
      </c>
      <c r="D3817" s="49" t="inlineStr">
        <is>
          <t>3·5</t>
        </is>
      </c>
      <c r="E3817" s="49" t="inlineStr"/>
      <c r="F3817" s="49" t="inlineStr"/>
    </row>
    <row r="3818" ht="13" customHeight="1">
      <c r="A3818" s="45" t="inlineStr">
        <is>
          <t>35933</t>
        </is>
      </c>
      <c r="B3818" s="45" t="inlineStr">
        <is>
          <t>43436</t>
        </is>
      </c>
      <c r="C3818" s="45" t="inlineStr">
        <is>
          <t>2×2×10859</t>
        </is>
      </c>
      <c r="D3818" s="45" t="inlineStr">
        <is>
          <t>2</t>
        </is>
      </c>
      <c r="E3818" s="45" t="inlineStr"/>
      <c r="F3818" s="45" t="inlineStr"/>
    </row>
    <row r="3819" ht="13" customHeight="1">
      <c r="A3819" s="49" t="inlineStr">
        <is>
          <t>35951</t>
        </is>
      </c>
      <c r="B3819" s="49" t="inlineStr">
        <is>
          <t>21291</t>
        </is>
      </c>
      <c r="C3819" s="49" t="inlineStr">
        <is>
          <t>3×47×151</t>
        </is>
      </c>
      <c r="D3819" s="49" t="inlineStr">
        <is>
          <t>3</t>
        </is>
      </c>
      <c r="E3819" s="49" t="inlineStr"/>
      <c r="F3819" s="49" t="inlineStr"/>
    </row>
    <row r="3820" ht="13" customHeight="1">
      <c r="A3820" s="41" t="inlineStr">
        <is>
          <t>35963</t>
        </is>
      </c>
      <c r="B3820" s="41" t="inlineStr">
        <is>
          <t>32721</t>
        </is>
      </c>
      <c r="C3820" s="41" t="inlineStr">
        <is>
          <t>3×13×839</t>
        </is>
      </c>
      <c r="D3820" s="41" t="inlineStr">
        <is>
          <t>3·13</t>
        </is>
      </c>
      <c r="E3820" s="41" t="inlineStr"/>
      <c r="F3820" s="41" t="inlineStr"/>
    </row>
    <row r="3821" ht="13" customHeight="1">
      <c r="A3821" s="41" t="inlineStr">
        <is>
          <t>35969</t>
        </is>
      </c>
      <c r="B3821" s="41" t="inlineStr">
        <is>
          <t>10192</t>
        </is>
      </c>
      <c r="C3821" s="41" t="inlineStr">
        <is>
          <t>2×2×2×2×7×7×13</t>
        </is>
      </c>
      <c r="D3821" s="41" t="inlineStr">
        <is>
          <t>2·7·13</t>
        </is>
      </c>
      <c r="E3821" s="41" t="inlineStr"/>
      <c r="F3821" s="41" t="inlineStr"/>
    </row>
    <row r="3822" ht="13" customHeight="1">
      <c r="A3822" s="50" t="inlineStr">
        <is>
          <t>35977</t>
        </is>
      </c>
      <c r="B3822" s="50" t="inlineStr">
        <is>
          <t>6343</t>
        </is>
      </c>
      <c r="C3822" s="50" t="inlineStr">
        <is>
          <t>6343</t>
        </is>
      </c>
      <c r="D3822" s="50" t="inlineStr">
        <is>
          <t>—</t>
        </is>
      </c>
      <c r="E3822" s="50" t="inlineStr"/>
      <c r="F3822" s="50" t="inlineStr"/>
    </row>
    <row r="3823" ht="13" customHeight="1">
      <c r="A3823" s="43" t="inlineStr">
        <is>
          <t>35983</t>
        </is>
      </c>
      <c r="B3823" s="43" t="inlineStr">
        <is>
          <t>11572</t>
        </is>
      </c>
      <c r="C3823" s="43" t="inlineStr">
        <is>
          <t>2×2×11×263</t>
        </is>
      </c>
      <c r="D3823" s="43" t="inlineStr">
        <is>
          <t>2·11</t>
        </is>
      </c>
      <c r="E3823" s="43" t="inlineStr"/>
      <c r="F3823" s="43" t="inlineStr"/>
    </row>
    <row r="3824" ht="13" customHeight="1">
      <c r="A3824" s="45" t="inlineStr">
        <is>
          <t>35993</t>
        </is>
      </c>
      <c r="B3824" s="45" t="inlineStr">
        <is>
          <t>23129</t>
        </is>
      </c>
      <c r="C3824" s="45" t="inlineStr">
        <is>
          <t>101×229</t>
        </is>
      </c>
      <c r="D3824" s="45" t="inlineStr">
        <is>
          <t>—</t>
        </is>
      </c>
      <c r="E3824" s="45" t="inlineStr"/>
      <c r="F3824" s="45" t="inlineStr"/>
    </row>
    <row r="3825" ht="13" customHeight="1">
      <c r="A3825" s="49" t="inlineStr">
        <is>
          <t>35999</t>
        </is>
      </c>
      <c r="B3825" s="49" t="inlineStr">
        <is>
          <t>13952</t>
        </is>
      </c>
      <c r="C3825" s="49" t="inlineStr">
        <is>
          <t>2×2×2×2×2×2×2×109</t>
        </is>
      </c>
      <c r="D3825" s="49" t="inlineStr">
        <is>
          <t>2</t>
        </is>
      </c>
      <c r="E3825" s="49" t="inlineStr"/>
      <c r="F3825" s="49" t="inlineStr"/>
    </row>
    <row r="3826" ht="13" customHeight="1">
      <c r="A3826" s="41" t="inlineStr">
        <is>
          <t>36007</t>
        </is>
      </c>
      <c r="B3826" s="41" t="inlineStr">
        <is>
          <t>20060</t>
        </is>
      </c>
      <c r="C3826" s="41" t="inlineStr">
        <is>
          <t>2×2×5×17×59</t>
        </is>
      </c>
      <c r="D3826" s="41" t="inlineStr">
        <is>
          <t>2·5·17</t>
        </is>
      </c>
      <c r="E3826" s="41" t="inlineStr"/>
      <c r="F3826" s="41" t="inlineStr"/>
    </row>
    <row r="3827" ht="13" customHeight="1">
      <c r="A3827" s="49" t="inlineStr">
        <is>
          <t>36011</t>
        </is>
      </c>
      <c r="B3827" s="49" t="inlineStr">
        <is>
          <t>30100</t>
        </is>
      </c>
      <c r="C3827" s="49" t="inlineStr">
        <is>
          <t>2×2×5×5×7×43</t>
        </is>
      </c>
      <c r="D3827" s="49" t="inlineStr">
        <is>
          <t>2·5·7</t>
        </is>
      </c>
      <c r="E3827" s="49" t="inlineStr"/>
      <c r="F3827" s="49" t="inlineStr"/>
    </row>
    <row r="3828" ht="13" customHeight="1">
      <c r="A3828" s="45" t="inlineStr">
        <is>
          <t>36013</t>
        </is>
      </c>
      <c r="B3828" s="45" t="inlineStr">
        <is>
          <t>24584</t>
        </is>
      </c>
      <c r="C3828" s="45" t="inlineStr">
        <is>
          <t>2×2×2×7×439</t>
        </is>
      </c>
      <c r="D3828" s="45" t="inlineStr">
        <is>
          <t>2·7</t>
        </is>
      </c>
      <c r="E3828" s="45" t="inlineStr"/>
      <c r="F3828" s="45" t="inlineStr"/>
    </row>
    <row r="3829" ht="13" customHeight="1">
      <c r="A3829" s="49" t="inlineStr">
        <is>
          <t>36017</t>
        </is>
      </c>
      <c r="B3829" s="49" t="inlineStr">
        <is>
          <t>43671</t>
        </is>
      </c>
      <c r="C3829" s="49" t="inlineStr">
        <is>
          <t>3×14557</t>
        </is>
      </c>
      <c r="D3829" s="49" t="inlineStr">
        <is>
          <t>3</t>
        </is>
      </c>
      <c r="E3829" s="49" t="inlineStr"/>
      <c r="F3829" s="49" t="inlineStr"/>
    </row>
    <row r="3830" ht="13" customHeight="1">
      <c r="A3830" s="43" t="inlineStr">
        <is>
          <t>36037</t>
        </is>
      </c>
      <c r="B3830" s="43" t="inlineStr">
        <is>
          <t>3212</t>
        </is>
      </c>
      <c r="C3830" s="43" t="inlineStr">
        <is>
          <t>2×2×11×73</t>
        </is>
      </c>
      <c r="D3830" s="43" t="inlineStr">
        <is>
          <t>2·11</t>
        </is>
      </c>
      <c r="E3830" s="43" t="inlineStr"/>
      <c r="F3830" s="43" t="inlineStr"/>
    </row>
    <row r="3831" ht="13" customHeight="1">
      <c r="A3831" s="41" t="inlineStr">
        <is>
          <t>36061</t>
        </is>
      </c>
      <c r="B3831" s="41" t="inlineStr">
        <is>
          <t>11118</t>
        </is>
      </c>
      <c r="C3831" s="41" t="inlineStr">
        <is>
          <t>2×3×17×109</t>
        </is>
      </c>
      <c r="D3831" s="41" t="inlineStr">
        <is>
          <t>2·3·17</t>
        </is>
      </c>
      <c r="E3831" s="41" t="inlineStr"/>
      <c r="F3831" s="41" t="inlineStr"/>
    </row>
    <row r="3832" ht="13" customHeight="1">
      <c r="A3832" s="43" t="inlineStr">
        <is>
          <t>36067</t>
        </is>
      </c>
      <c r="B3832" s="43" t="inlineStr">
        <is>
          <t>22110</t>
        </is>
      </c>
      <c r="C3832" s="43" t="inlineStr">
        <is>
          <t>2×3×5×11×67</t>
        </is>
      </c>
      <c r="D3832" s="43" t="inlineStr">
        <is>
          <t>2·3·5·11</t>
        </is>
      </c>
      <c r="E3832" s="43" t="inlineStr"/>
      <c r="F3832" s="43" t="inlineStr"/>
    </row>
    <row r="3833" ht="13" customHeight="1">
      <c r="A3833" s="49" t="inlineStr">
        <is>
          <t>36073</t>
        </is>
      </c>
      <c r="B3833" s="49" t="inlineStr">
        <is>
          <t>3885</t>
        </is>
      </c>
      <c r="C3833" s="49" t="inlineStr">
        <is>
          <t>3×5×7×37</t>
        </is>
      </c>
      <c r="D3833" s="49" t="inlineStr">
        <is>
          <t>3·5·7</t>
        </is>
      </c>
      <c r="E3833" s="49" t="inlineStr"/>
      <c r="F3833" s="49" t="inlineStr"/>
    </row>
    <row r="3834" ht="13" customHeight="1">
      <c r="A3834" s="51" t="inlineStr">
        <is>
          <t>36083</t>
        </is>
      </c>
      <c r="B3834" s="51" t="inlineStr">
        <is>
          <t>20767</t>
        </is>
      </c>
      <c r="C3834" s="51" t="inlineStr">
        <is>
          <t>19×1093</t>
        </is>
      </c>
      <c r="D3834" s="51" t="inlineStr">
        <is>
          <t>19</t>
        </is>
      </c>
      <c r="E3834" s="51" t="inlineStr"/>
      <c r="F3834" s="51" t="inlineStr"/>
    </row>
    <row r="3835" ht="13" customHeight="1">
      <c r="A3835" s="49" t="inlineStr">
        <is>
          <t>36097</t>
        </is>
      </c>
      <c r="B3835" s="49" t="inlineStr">
        <is>
          <t>21694</t>
        </is>
      </c>
      <c r="C3835" s="49" t="inlineStr">
        <is>
          <t>2×10847</t>
        </is>
      </c>
      <c r="D3835" s="49" t="inlineStr">
        <is>
          <t>2</t>
        </is>
      </c>
      <c r="E3835" s="49" t="inlineStr"/>
      <c r="F3835" s="49" t="inlineStr"/>
    </row>
    <row r="3836" ht="13" customHeight="1">
      <c r="A3836" s="45" t="inlineStr">
        <is>
          <t>36107</t>
        </is>
      </c>
      <c r="B3836" s="45" t="inlineStr">
        <is>
          <t>26376</t>
        </is>
      </c>
      <c r="C3836" s="45" t="inlineStr">
        <is>
          <t>2×2×2×3×7×157</t>
        </is>
      </c>
      <c r="D3836" s="45" t="inlineStr">
        <is>
          <t>2·3·7</t>
        </is>
      </c>
      <c r="E3836" s="45" t="inlineStr"/>
      <c r="F3836" s="45" t="inlineStr"/>
    </row>
    <row r="3837" ht="13" customHeight="1">
      <c r="A3837" s="49" t="inlineStr">
        <is>
          <t>36109</t>
        </is>
      </c>
      <c r="B3837" s="49" t="inlineStr">
        <is>
          <t>19797</t>
        </is>
      </c>
      <c r="C3837" s="49" t="inlineStr">
        <is>
          <t>3×6599</t>
        </is>
      </c>
      <c r="D3837" s="49" t="inlineStr">
        <is>
          <t>3</t>
        </is>
      </c>
      <c r="E3837" s="49" t="inlineStr"/>
      <c r="F3837" s="49" t="inlineStr"/>
    </row>
    <row r="3838" ht="13" customHeight="1">
      <c r="A3838" s="43" t="inlineStr">
        <is>
          <t>36131</t>
        </is>
      </c>
      <c r="B3838" s="43" t="inlineStr">
        <is>
          <t>16093</t>
        </is>
      </c>
      <c r="C3838" s="43" t="inlineStr">
        <is>
          <t>7×11×11×19</t>
        </is>
      </c>
      <c r="D3838" s="43" t="inlineStr">
        <is>
          <t>7·11·19</t>
        </is>
      </c>
      <c r="E3838" s="43" t="inlineStr"/>
      <c r="F3838" s="43" t="inlineStr"/>
    </row>
    <row r="3839" ht="13" customHeight="1">
      <c r="A3839" s="49" t="inlineStr">
        <is>
          <t>36137</t>
        </is>
      </c>
      <c r="B3839" s="49" t="inlineStr">
        <is>
          <t>40321</t>
        </is>
      </c>
      <c r="C3839" s="49" t="inlineStr">
        <is>
          <t>61×661</t>
        </is>
      </c>
      <c r="D3839" s="49" t="inlineStr">
        <is>
          <t>—</t>
        </is>
      </c>
      <c r="E3839" s="49" t="inlineStr"/>
      <c r="F3839" s="49" t="inlineStr"/>
    </row>
    <row r="3840" ht="13" customHeight="1">
      <c r="A3840" s="45" t="inlineStr">
        <is>
          <t>36151</t>
        </is>
      </c>
      <c r="B3840" s="45" t="inlineStr">
        <is>
          <t>20396</t>
        </is>
      </c>
      <c r="C3840" s="45" t="inlineStr">
        <is>
          <t>2×2×5099</t>
        </is>
      </c>
      <c r="D3840" s="45" t="inlineStr">
        <is>
          <t>2</t>
        </is>
      </c>
      <c r="E3840" s="45" t="inlineStr"/>
      <c r="F3840" s="45" t="inlineStr"/>
    </row>
    <row r="3841" ht="13" customHeight="1">
      <c r="A3841" s="49" t="inlineStr">
        <is>
          <t>36161</t>
        </is>
      </c>
      <c r="B3841" s="49" t="inlineStr">
        <is>
          <t>36430</t>
        </is>
      </c>
      <c r="C3841" s="49" t="inlineStr">
        <is>
          <t>2×5×3643</t>
        </is>
      </c>
      <c r="D3841" s="49" t="inlineStr">
        <is>
          <t>2·5</t>
        </is>
      </c>
      <c r="E3841" s="49" t="inlineStr"/>
      <c r="F3841" s="49" t="inlineStr"/>
    </row>
    <row r="3842" ht="13" customHeight="1">
      <c r="A3842" s="45" t="inlineStr">
        <is>
          <t>36187</t>
        </is>
      </c>
      <c r="B3842" s="45" t="inlineStr">
        <is>
          <t>3790</t>
        </is>
      </c>
      <c r="C3842" s="45" t="inlineStr">
        <is>
          <t>2×5×379</t>
        </is>
      </c>
      <c r="D3842" s="45" t="inlineStr">
        <is>
          <t>2·5</t>
        </is>
      </c>
      <c r="E3842" s="45" t="inlineStr"/>
      <c r="F3842" s="45" t="inlineStr"/>
    </row>
    <row r="3843" ht="13" customHeight="1">
      <c r="A3843" s="50" t="inlineStr">
        <is>
          <t>36191</t>
        </is>
      </c>
      <c r="B3843" s="50" t="inlineStr">
        <is>
          <t>17033</t>
        </is>
      </c>
      <c r="C3843" s="50" t="inlineStr">
        <is>
          <t>17033</t>
        </is>
      </c>
      <c r="D3843" s="50" t="inlineStr">
        <is>
          <t>—</t>
        </is>
      </c>
      <c r="E3843" s="50" t="inlineStr"/>
      <c r="F3843" s="50" t="inlineStr"/>
    </row>
    <row r="3844" ht="13" customHeight="1">
      <c r="A3844" s="45" t="inlineStr">
        <is>
          <t>36209</t>
        </is>
      </c>
      <c r="B3844" s="45" t="inlineStr">
        <is>
          <t>29103</t>
        </is>
      </c>
      <c r="C3844" s="45" t="inlineStr">
        <is>
          <t>3×89×109</t>
        </is>
      </c>
      <c r="D3844" s="45" t="inlineStr">
        <is>
          <t>3</t>
        </is>
      </c>
      <c r="E3844" s="45" t="inlineStr"/>
      <c r="F3844" s="45" t="inlineStr"/>
    </row>
    <row r="3845" ht="13" customHeight="1">
      <c r="A3845" s="49" t="inlineStr">
        <is>
          <t>36217</t>
        </is>
      </c>
      <c r="B3845" s="49" t="inlineStr">
        <is>
          <t>43464</t>
        </is>
      </c>
      <c r="C3845" s="49" t="inlineStr">
        <is>
          <t>2×2×2×3×1811</t>
        </is>
      </c>
      <c r="D3845" s="49" t="inlineStr">
        <is>
          <t>2·3</t>
        </is>
      </c>
      <c r="E3845" s="49" t="inlineStr"/>
      <c r="F3845" s="49" t="inlineStr"/>
    </row>
    <row r="3846" ht="13" customHeight="1">
      <c r="A3846" s="45" t="inlineStr">
        <is>
          <t>36229</t>
        </is>
      </c>
      <c r="B3846" s="45" t="inlineStr">
        <is>
          <t>30814</t>
        </is>
      </c>
      <c r="C3846" s="45" t="inlineStr">
        <is>
          <t>2×7×31×71</t>
        </is>
      </c>
      <c r="D3846" s="45" t="inlineStr">
        <is>
          <t>2·7</t>
        </is>
      </c>
      <c r="E3846" s="45" t="inlineStr"/>
      <c r="F3846" s="45" t="inlineStr"/>
    </row>
    <row r="3847" ht="13" customHeight="1">
      <c r="A3847" s="43" t="inlineStr">
        <is>
          <t>36241</t>
        </is>
      </c>
      <c r="B3847" s="43" t="inlineStr">
        <is>
          <t>2167</t>
        </is>
      </c>
      <c r="C3847" s="43" t="inlineStr">
        <is>
          <t>11×197</t>
        </is>
      </c>
      <c r="D3847" s="43" t="inlineStr">
        <is>
          <t>11</t>
        </is>
      </c>
      <c r="E3847" s="43" t="inlineStr"/>
      <c r="F3847" s="43" t="inlineStr"/>
    </row>
    <row r="3848" ht="13" customHeight="1">
      <c r="A3848" s="43" t="inlineStr">
        <is>
          <t>36251</t>
        </is>
      </c>
      <c r="B3848" s="43" t="inlineStr">
        <is>
          <t>40106</t>
        </is>
      </c>
      <c r="C3848" s="43" t="inlineStr">
        <is>
          <t>2×11×1823</t>
        </is>
      </c>
      <c r="D3848" s="43" t="inlineStr">
        <is>
          <t>2·11</t>
        </is>
      </c>
      <c r="E3848" s="43" t="inlineStr"/>
      <c r="F3848" s="43" t="inlineStr"/>
    </row>
    <row r="3849" ht="13" customHeight="1">
      <c r="A3849" s="49" t="inlineStr">
        <is>
          <t>36263</t>
        </is>
      </c>
      <c r="B3849" s="49" t="inlineStr">
        <is>
          <t>8396</t>
        </is>
      </c>
      <c r="C3849" s="49" t="inlineStr">
        <is>
          <t>2×2×2099</t>
        </is>
      </c>
      <c r="D3849" s="49" t="inlineStr">
        <is>
          <t>2</t>
        </is>
      </c>
      <c r="E3849" s="49" t="inlineStr"/>
      <c r="F3849" s="49" t="inlineStr"/>
    </row>
    <row r="3850" ht="13" customHeight="1">
      <c r="A3850" s="45" t="inlineStr">
        <is>
          <t>36269</t>
        </is>
      </c>
      <c r="B3850" s="45" t="inlineStr">
        <is>
          <t>3149</t>
        </is>
      </c>
      <c r="C3850" s="45" t="inlineStr">
        <is>
          <t>47×67</t>
        </is>
      </c>
      <c r="D3850" s="45" t="inlineStr">
        <is>
          <t>—</t>
        </is>
      </c>
      <c r="E3850" s="45" t="inlineStr"/>
      <c r="F3850" s="45" t="inlineStr"/>
    </row>
    <row r="3851" ht="13" customHeight="1">
      <c r="A3851" s="49" t="inlineStr">
        <is>
          <t>36277</t>
        </is>
      </c>
      <c r="B3851" s="49" t="inlineStr">
        <is>
          <t>13764</t>
        </is>
      </c>
      <c r="C3851" s="49" t="inlineStr">
        <is>
          <t>2×2×3×31×37</t>
        </is>
      </c>
      <c r="D3851" s="49" t="inlineStr">
        <is>
          <t>2·3</t>
        </is>
      </c>
      <c r="E3851" s="49" t="inlineStr"/>
      <c r="F3851" s="49" t="inlineStr"/>
    </row>
    <row r="3852" ht="13" customHeight="1">
      <c r="A3852" s="43" t="inlineStr">
        <is>
          <t>36293</t>
        </is>
      </c>
      <c r="B3852" s="43" t="inlineStr">
        <is>
          <t>33209</t>
        </is>
      </c>
      <c r="C3852" s="43" t="inlineStr">
        <is>
          <t>11×3019</t>
        </is>
      </c>
      <c r="D3852" s="43" t="inlineStr">
        <is>
          <t>11</t>
        </is>
      </c>
      <c r="E3852" s="43" t="inlineStr"/>
      <c r="F3852" s="43" t="inlineStr"/>
    </row>
    <row r="3853" ht="13" customHeight="1">
      <c r="A3853" s="49" t="inlineStr">
        <is>
          <t>36299</t>
        </is>
      </c>
      <c r="B3853" s="49" t="inlineStr">
        <is>
          <t>31670</t>
        </is>
      </c>
      <c r="C3853" s="49" t="inlineStr">
        <is>
          <t>2×5×3167</t>
        </is>
      </c>
      <c r="D3853" s="49" t="inlineStr">
        <is>
          <t>2·5</t>
        </is>
      </c>
      <c r="E3853" s="49" t="inlineStr"/>
      <c r="F3853" s="49" t="inlineStr"/>
    </row>
    <row r="3854" ht="13" customHeight="1">
      <c r="A3854" s="43" t="inlineStr">
        <is>
          <t>36307</t>
        </is>
      </c>
      <c r="B3854" s="43" t="inlineStr">
        <is>
          <t>41338</t>
        </is>
      </c>
      <c r="C3854" s="43" t="inlineStr">
        <is>
          <t>2×11×1879</t>
        </is>
      </c>
      <c r="D3854" s="43" t="inlineStr">
        <is>
          <t>2·11</t>
        </is>
      </c>
      <c r="E3854" s="43" t="inlineStr"/>
      <c r="F3854" s="43" t="inlineStr"/>
    </row>
    <row r="3855" ht="13" customHeight="1">
      <c r="A3855" s="49" t="inlineStr">
        <is>
          <t>36313</t>
        </is>
      </c>
      <c r="B3855" s="49" t="inlineStr">
        <is>
          <t>19852</t>
        </is>
      </c>
      <c r="C3855" s="49" t="inlineStr">
        <is>
          <t>2×2×7×709</t>
        </is>
      </c>
      <c r="D3855" s="49" t="inlineStr">
        <is>
          <t>2·7</t>
        </is>
      </c>
      <c r="E3855" s="49" t="inlineStr"/>
      <c r="F3855" s="49" t="inlineStr"/>
    </row>
    <row r="3856" ht="13" customHeight="1">
      <c r="A3856" s="45" t="inlineStr">
        <is>
          <t>36319</t>
        </is>
      </c>
      <c r="B3856" s="45" t="inlineStr">
        <is>
          <t>37308</t>
        </is>
      </c>
      <c r="C3856" s="45" t="inlineStr">
        <is>
          <t>2×2×3×3109</t>
        </is>
      </c>
      <c r="D3856" s="45" t="inlineStr">
        <is>
          <t>2·3</t>
        </is>
      </c>
      <c r="E3856" s="45" t="inlineStr"/>
      <c r="F3856" s="45" t="inlineStr"/>
    </row>
    <row r="3857" ht="13" customHeight="1">
      <c r="A3857" s="49" t="inlineStr">
        <is>
          <t>36341</t>
        </is>
      </c>
      <c r="B3857" s="49" t="inlineStr">
        <is>
          <t>42766</t>
        </is>
      </c>
      <c r="C3857" s="49" t="inlineStr">
        <is>
          <t>2×21383</t>
        </is>
      </c>
      <c r="D3857" s="49" t="inlineStr">
        <is>
          <t>2</t>
        </is>
      </c>
      <c r="E3857" s="49" t="inlineStr"/>
      <c r="F3857" s="49" t="inlineStr"/>
    </row>
    <row r="3858" ht="13" customHeight="1">
      <c r="A3858" s="45" t="inlineStr">
        <is>
          <t>36343</t>
        </is>
      </c>
      <c r="B3858" s="45" t="inlineStr">
        <is>
          <t>38407</t>
        </is>
      </c>
      <c r="C3858" s="45" t="inlineStr">
        <is>
          <t>193×199</t>
        </is>
      </c>
      <c r="D3858" s="45" t="inlineStr">
        <is>
          <t>—</t>
        </is>
      </c>
      <c r="E3858" s="45" t="inlineStr"/>
      <c r="F3858" s="45" t="inlineStr"/>
    </row>
    <row r="3859" ht="13" customHeight="1">
      <c r="A3859" s="49" t="inlineStr">
        <is>
          <t>36353</t>
        </is>
      </c>
      <c r="B3859" s="49" t="inlineStr">
        <is>
          <t>12238</t>
        </is>
      </c>
      <c r="C3859" s="49" t="inlineStr">
        <is>
          <t>2×29×211</t>
        </is>
      </c>
      <c r="D3859" s="49" t="inlineStr">
        <is>
          <t>2</t>
        </is>
      </c>
      <c r="E3859" s="49" t="inlineStr"/>
      <c r="F3859" s="49" t="inlineStr"/>
    </row>
    <row r="3860" ht="13" customHeight="1">
      <c r="A3860" s="41" t="inlineStr">
        <is>
          <t>36373</t>
        </is>
      </c>
      <c r="B3860" s="41" t="inlineStr">
        <is>
          <t>30849</t>
        </is>
      </c>
      <c r="C3860" s="41" t="inlineStr">
        <is>
          <t>3×7×13×113</t>
        </is>
      </c>
      <c r="D3860" s="41" t="inlineStr">
        <is>
          <t>3·7·13</t>
        </is>
      </c>
      <c r="E3860" s="41" t="inlineStr"/>
      <c r="F3860" s="41" t="inlineStr"/>
    </row>
    <row r="3861" ht="13" customHeight="1">
      <c r="A3861" s="49" t="inlineStr">
        <is>
          <t>36383</t>
        </is>
      </c>
      <c r="B3861" s="49" t="inlineStr">
        <is>
          <t>15072</t>
        </is>
      </c>
      <c r="C3861" s="49" t="inlineStr">
        <is>
          <t>2×2×2×2×2×3×157</t>
        </is>
      </c>
      <c r="D3861" s="49" t="inlineStr">
        <is>
          <t>2·3</t>
        </is>
      </c>
      <c r="E3861" s="49" t="inlineStr"/>
      <c r="F3861" s="49" t="inlineStr"/>
    </row>
    <row r="3862" ht="13" customHeight="1">
      <c r="A3862" s="51" t="inlineStr">
        <is>
          <t>36389</t>
        </is>
      </c>
      <c r="B3862" s="51" t="inlineStr">
        <is>
          <t>4066</t>
        </is>
      </c>
      <c r="C3862" s="51" t="inlineStr">
        <is>
          <t>2×19×107</t>
        </is>
      </c>
      <c r="D3862" s="51" t="inlineStr">
        <is>
          <t>2·19</t>
        </is>
      </c>
      <c r="E3862" s="51" t="inlineStr"/>
      <c r="F3862" s="51" t="inlineStr"/>
    </row>
    <row r="3863" ht="13" customHeight="1">
      <c r="A3863" s="50" t="inlineStr">
        <is>
          <t>36433</t>
        </is>
      </c>
      <c r="B3863" s="50" t="inlineStr">
        <is>
          <t>16927</t>
        </is>
      </c>
      <c r="C3863" s="50" t="inlineStr">
        <is>
          <t>16927</t>
        </is>
      </c>
      <c r="D3863" s="50" t="inlineStr">
        <is>
          <t>—</t>
        </is>
      </c>
      <c r="E3863" s="50" t="inlineStr"/>
      <c r="F3863" s="50" t="inlineStr"/>
    </row>
    <row r="3864" ht="13" customHeight="1">
      <c r="A3864" s="45" t="inlineStr">
        <is>
          <t>36451</t>
        </is>
      </c>
      <c r="B3864" s="45" t="inlineStr">
        <is>
          <t>2578</t>
        </is>
      </c>
      <c r="C3864" s="45" t="inlineStr">
        <is>
          <t>2×1289</t>
        </is>
      </c>
      <c r="D3864" s="45" t="inlineStr">
        <is>
          <t>2</t>
        </is>
      </c>
      <c r="E3864" s="45" t="inlineStr"/>
      <c r="F3864" s="45" t="inlineStr"/>
    </row>
    <row r="3865" ht="13" customHeight="1">
      <c r="A3865" s="49" t="inlineStr">
        <is>
          <t>36457</t>
        </is>
      </c>
      <c r="B3865" s="49" t="inlineStr">
        <is>
          <t>18991</t>
        </is>
      </c>
      <c r="C3865" s="49" t="inlineStr">
        <is>
          <t>7×2713</t>
        </is>
      </c>
      <c r="D3865" s="49" t="inlineStr">
        <is>
          <t>7</t>
        </is>
      </c>
      <c r="E3865" s="49" t="inlineStr"/>
      <c r="F3865" s="49" t="inlineStr"/>
    </row>
    <row r="3866" ht="13" customHeight="1">
      <c r="A3866" s="45" t="inlineStr">
        <is>
          <t>36467</t>
        </is>
      </c>
      <c r="B3866" s="45" t="inlineStr">
        <is>
          <t>29292</t>
        </is>
      </c>
      <c r="C3866" s="45" t="inlineStr">
        <is>
          <t>2×2×3×2441</t>
        </is>
      </c>
      <c r="D3866" s="45" t="inlineStr">
        <is>
          <t>2·3</t>
        </is>
      </c>
      <c r="E3866" s="45" t="inlineStr"/>
      <c r="F3866" s="45" t="inlineStr"/>
    </row>
    <row r="3867" ht="13" customHeight="1">
      <c r="A3867" s="50" t="inlineStr">
        <is>
          <t>36469</t>
        </is>
      </c>
      <c r="B3867" s="50" t="inlineStr">
        <is>
          <t>1151</t>
        </is>
      </c>
      <c r="C3867" s="50" t="inlineStr">
        <is>
          <t>1151</t>
        </is>
      </c>
      <c r="D3867" s="50" t="inlineStr">
        <is>
          <t>—</t>
        </is>
      </c>
      <c r="E3867" s="50" t="inlineStr"/>
      <c r="F3867" s="50" t="inlineStr"/>
    </row>
    <row r="3868" ht="13" customHeight="1">
      <c r="A3868" s="45" t="inlineStr">
        <is>
          <t>36473</t>
        </is>
      </c>
      <c r="B3868" s="45" t="inlineStr">
        <is>
          <t>33386</t>
        </is>
      </c>
      <c r="C3868" s="45" t="inlineStr">
        <is>
          <t>2×16693</t>
        </is>
      </c>
      <c r="D3868" s="45" t="inlineStr">
        <is>
          <t>2</t>
        </is>
      </c>
      <c r="E3868" s="45" t="inlineStr"/>
      <c r="F3868" s="45" t="inlineStr"/>
    </row>
    <row r="3869" ht="13" customHeight="1">
      <c r="A3869" s="51" t="inlineStr">
        <is>
          <t>36479</t>
        </is>
      </c>
      <c r="B3869" s="51" t="inlineStr">
        <is>
          <t>15694</t>
        </is>
      </c>
      <c r="C3869" s="51" t="inlineStr">
        <is>
          <t>2×7×19×59</t>
        </is>
      </c>
      <c r="D3869" s="51" t="inlineStr">
        <is>
          <t>2·7·19</t>
        </is>
      </c>
      <c r="E3869" s="51" t="inlineStr"/>
      <c r="F3869" s="51" t="inlineStr"/>
    </row>
    <row r="3870" ht="13" customHeight="1">
      <c r="A3870" s="45" t="inlineStr">
        <is>
          <t>36493</t>
        </is>
      </c>
      <c r="B3870" s="45" t="inlineStr">
        <is>
          <t>18570</t>
        </is>
      </c>
      <c r="C3870" s="45" t="inlineStr">
        <is>
          <t>2×3×5×619</t>
        </is>
      </c>
      <c r="D3870" s="45" t="inlineStr">
        <is>
          <t>2·3·5</t>
        </is>
      </c>
      <c r="E3870" s="45" t="inlineStr"/>
      <c r="F3870" s="45" t="inlineStr"/>
    </row>
    <row r="3871" ht="13" customHeight="1">
      <c r="A3871" s="41" t="inlineStr">
        <is>
          <t>36497</t>
        </is>
      </c>
      <c r="B3871" s="41" t="inlineStr">
        <is>
          <t>4471</t>
        </is>
      </c>
      <c r="C3871" s="41" t="inlineStr">
        <is>
          <t>17×263</t>
        </is>
      </c>
      <c r="D3871" s="41" t="inlineStr">
        <is>
          <t>17</t>
        </is>
      </c>
      <c r="E3871" s="41" t="inlineStr"/>
      <c r="F3871" s="41" t="inlineStr"/>
    </row>
    <row r="3872" ht="13" customHeight="1">
      <c r="A3872" s="41" t="inlineStr">
        <is>
          <t>36523</t>
        </is>
      </c>
      <c r="B3872" s="41" t="inlineStr">
        <is>
          <t>1445</t>
        </is>
      </c>
      <c r="C3872" s="41" t="inlineStr">
        <is>
          <t>5×17×17</t>
        </is>
      </c>
      <c r="D3872" s="41" t="inlineStr">
        <is>
          <t>5·17</t>
        </is>
      </c>
      <c r="E3872" s="41" t="inlineStr"/>
      <c r="F3872" s="41" t="inlineStr"/>
    </row>
    <row r="3873" ht="13" customHeight="1">
      <c r="A3873" s="49" t="inlineStr">
        <is>
          <t>36527</t>
        </is>
      </c>
      <c r="B3873" s="49" t="inlineStr">
        <is>
          <t>9825</t>
        </is>
      </c>
      <c r="C3873" s="49" t="inlineStr">
        <is>
          <t>3×5×5×131</t>
        </is>
      </c>
      <c r="D3873" s="49" t="inlineStr">
        <is>
          <t>3·5</t>
        </is>
      </c>
      <c r="E3873" s="49" t="inlineStr"/>
      <c r="F3873" s="49" t="inlineStr"/>
    </row>
    <row r="3874" ht="13" customHeight="1">
      <c r="A3874" s="45" t="inlineStr">
        <is>
          <t>36529</t>
        </is>
      </c>
      <c r="B3874" s="45" t="inlineStr">
        <is>
          <t>13374</t>
        </is>
      </c>
      <c r="C3874" s="45" t="inlineStr">
        <is>
          <t>2×3×3×743</t>
        </is>
      </c>
      <c r="D3874" s="45" t="inlineStr">
        <is>
          <t>2·3</t>
        </is>
      </c>
      <c r="E3874" s="45" t="inlineStr"/>
      <c r="F3874" s="45" t="inlineStr"/>
    </row>
    <row r="3875" ht="13" customHeight="1">
      <c r="A3875" s="49" t="inlineStr">
        <is>
          <t>36541</t>
        </is>
      </c>
      <c r="B3875" s="49" t="inlineStr">
        <is>
          <t>5089</t>
        </is>
      </c>
      <c r="C3875" s="49" t="inlineStr">
        <is>
          <t>7×727</t>
        </is>
      </c>
      <c r="D3875" s="49" t="inlineStr">
        <is>
          <t>7</t>
        </is>
      </c>
      <c r="E3875" s="49" t="inlineStr"/>
      <c r="F3875" s="49" t="inlineStr"/>
    </row>
    <row r="3876" ht="13" customHeight="1">
      <c r="A3876" s="43" t="inlineStr">
        <is>
          <t>36551</t>
        </is>
      </c>
      <c r="B3876" s="43" t="inlineStr">
        <is>
          <t>4653</t>
        </is>
      </c>
      <c r="C3876" s="43" t="inlineStr">
        <is>
          <t>3×3×11×47</t>
        </is>
      </c>
      <c r="D3876" s="43" t="inlineStr">
        <is>
          <t>3·11</t>
        </is>
      </c>
      <c r="E3876" s="43" t="inlineStr"/>
      <c r="F3876" s="43" t="inlineStr"/>
    </row>
    <row r="3877" ht="13" customHeight="1">
      <c r="A3877" s="49" t="inlineStr">
        <is>
          <t>36559</t>
        </is>
      </c>
      <c r="B3877" s="49" t="inlineStr">
        <is>
          <t>25374</t>
        </is>
      </c>
      <c r="C3877" s="49" t="inlineStr">
        <is>
          <t>2×3×4229</t>
        </is>
      </c>
      <c r="D3877" s="49" t="inlineStr">
        <is>
          <t>2·3</t>
        </is>
      </c>
      <c r="E3877" s="49" t="inlineStr"/>
      <c r="F3877" s="49" t="inlineStr"/>
    </row>
    <row r="3878" ht="13" customHeight="1">
      <c r="A3878" s="51" t="inlineStr">
        <is>
          <t>36563</t>
        </is>
      </c>
      <c r="B3878" s="51" t="inlineStr">
        <is>
          <t>931</t>
        </is>
      </c>
      <c r="C3878" s="51" t="inlineStr">
        <is>
          <t>7×7×19</t>
        </is>
      </c>
      <c r="D3878" s="51" t="inlineStr">
        <is>
          <t>7·19</t>
        </is>
      </c>
      <c r="E3878" s="51" t="inlineStr"/>
      <c r="F3878" s="51" t="inlineStr"/>
    </row>
    <row r="3879" ht="13" customHeight="1">
      <c r="A3879" s="49" t="inlineStr">
        <is>
          <t>36571</t>
        </is>
      </c>
      <c r="B3879" s="49" t="inlineStr">
        <is>
          <t>9266</t>
        </is>
      </c>
      <c r="C3879" s="49" t="inlineStr">
        <is>
          <t>2×41×113</t>
        </is>
      </c>
      <c r="D3879" s="49" t="inlineStr">
        <is>
          <t>2</t>
        </is>
      </c>
      <c r="E3879" s="49" t="inlineStr"/>
      <c r="F3879" s="49" t="inlineStr"/>
    </row>
    <row r="3880" ht="13" customHeight="1">
      <c r="A3880" s="45" t="inlineStr">
        <is>
          <t>36583</t>
        </is>
      </c>
      <c r="B3880" s="45" t="inlineStr">
        <is>
          <t>9005</t>
        </is>
      </c>
      <c r="C3880" s="45" t="inlineStr">
        <is>
          <t>5×1801</t>
        </is>
      </c>
      <c r="D3880" s="45" t="inlineStr">
        <is>
          <t>5</t>
        </is>
      </c>
      <c r="E3880" s="45" t="inlineStr"/>
      <c r="F3880" s="45" t="inlineStr"/>
    </row>
    <row r="3881" ht="13" customHeight="1">
      <c r="A3881" s="49" t="inlineStr">
        <is>
          <t>36587</t>
        </is>
      </c>
      <c r="B3881" s="49" t="inlineStr">
        <is>
          <t>34315</t>
        </is>
      </c>
      <c r="C3881" s="49" t="inlineStr">
        <is>
          <t>5×6863</t>
        </is>
      </c>
      <c r="D3881" s="49" t="inlineStr">
        <is>
          <t>5</t>
        </is>
      </c>
      <c r="E3881" s="49" t="inlineStr"/>
      <c r="F3881" s="49" t="inlineStr"/>
    </row>
    <row r="3882" ht="13" customHeight="1">
      <c r="A3882" s="50" t="inlineStr">
        <is>
          <t>36599</t>
        </is>
      </c>
      <c r="B3882" s="50" t="inlineStr">
        <is>
          <t>17099</t>
        </is>
      </c>
      <c r="C3882" s="50" t="inlineStr">
        <is>
          <t>17099</t>
        </is>
      </c>
      <c r="D3882" s="50" t="inlineStr">
        <is>
          <t>—</t>
        </is>
      </c>
      <c r="E3882" s="50" t="inlineStr"/>
      <c r="F3882" s="50" t="inlineStr"/>
    </row>
    <row r="3883" ht="13" customHeight="1">
      <c r="A3883" s="49" t="inlineStr">
        <is>
          <t>36607</t>
        </is>
      </c>
      <c r="B3883" s="49" t="inlineStr">
        <is>
          <t>13014</t>
        </is>
      </c>
      <c r="C3883" s="49" t="inlineStr">
        <is>
          <t>2×3×3×3×241</t>
        </is>
      </c>
      <c r="D3883" s="49" t="inlineStr">
        <is>
          <t>2·3</t>
        </is>
      </c>
      <c r="E3883" s="49" t="inlineStr"/>
      <c r="F3883" s="49" t="inlineStr"/>
    </row>
    <row r="3884" ht="13" customHeight="1">
      <c r="A3884" s="41" t="inlineStr">
        <is>
          <t>36629</t>
        </is>
      </c>
      <c r="B3884" s="41" t="inlineStr">
        <is>
          <t>4732</t>
        </is>
      </c>
      <c r="C3884" s="41" t="inlineStr">
        <is>
          <t>2×2×7×13×13</t>
        </is>
      </c>
      <c r="D3884" s="41" t="inlineStr">
        <is>
          <t>2·7·13</t>
        </is>
      </c>
      <c r="E3884" s="41" t="inlineStr"/>
      <c r="F3884" s="41" t="inlineStr"/>
    </row>
    <row r="3885" ht="13" customHeight="1">
      <c r="A3885" s="41" t="inlineStr">
        <is>
          <t>36637</t>
        </is>
      </c>
      <c r="B3885" s="41" t="inlineStr">
        <is>
          <t>37154</t>
        </is>
      </c>
      <c r="C3885" s="41" t="inlineStr">
        <is>
          <t>2×13×1429</t>
        </is>
      </c>
      <c r="D3885" s="41" t="inlineStr">
        <is>
          <t>2·13</t>
        </is>
      </c>
      <c r="E3885" s="41" t="inlineStr"/>
      <c r="F3885" s="41" t="inlineStr"/>
    </row>
    <row r="3886" ht="13" customHeight="1">
      <c r="A3886" s="45" t="inlineStr">
        <is>
          <t>36643</t>
        </is>
      </c>
      <c r="B3886" s="45" t="inlineStr">
        <is>
          <t>40016</t>
        </is>
      </c>
      <c r="C3886" s="45" t="inlineStr">
        <is>
          <t>2×2×2×2×41×61</t>
        </is>
      </c>
      <c r="D3886" s="45" t="inlineStr">
        <is>
          <t>2</t>
        </is>
      </c>
      <c r="E3886" s="45" t="inlineStr"/>
      <c r="F3886" s="45" t="inlineStr"/>
    </row>
    <row r="3887" ht="13" customHeight="1">
      <c r="A3887" s="41" t="inlineStr">
        <is>
          <t>36653</t>
        </is>
      </c>
      <c r="B3887" s="41" t="inlineStr">
        <is>
          <t>24232</t>
        </is>
      </c>
      <c r="C3887" s="41" t="inlineStr">
        <is>
          <t>2×2×2×13×233</t>
        </is>
      </c>
      <c r="D3887" s="41" t="inlineStr">
        <is>
          <t>2·13</t>
        </is>
      </c>
      <c r="E3887" s="41" t="inlineStr"/>
      <c r="F3887" s="41" t="inlineStr"/>
    </row>
    <row r="3888" ht="13" customHeight="1">
      <c r="A3888" s="45" t="inlineStr">
        <is>
          <t>36671</t>
        </is>
      </c>
      <c r="B3888" s="45" t="inlineStr">
        <is>
          <t>18231</t>
        </is>
      </c>
      <c r="C3888" s="45" t="inlineStr">
        <is>
          <t>3×59×103</t>
        </is>
      </c>
      <c r="D3888" s="45" t="inlineStr">
        <is>
          <t>3</t>
        </is>
      </c>
      <c r="E3888" s="45" t="inlineStr"/>
      <c r="F3888" s="45" t="inlineStr"/>
    </row>
    <row r="3889" ht="13" customHeight="1">
      <c r="A3889" s="49" t="inlineStr">
        <is>
          <t>36677</t>
        </is>
      </c>
      <c r="B3889" s="49" t="inlineStr">
        <is>
          <t>28282</t>
        </is>
      </c>
      <c r="C3889" s="49" t="inlineStr">
        <is>
          <t>2×79×179</t>
        </is>
      </c>
      <c r="D3889" s="49" t="inlineStr">
        <is>
          <t>2</t>
        </is>
      </c>
      <c r="E3889" s="49" t="inlineStr"/>
      <c r="F3889" s="49" t="inlineStr"/>
    </row>
    <row r="3890" ht="13" customHeight="1">
      <c r="A3890" s="51" t="inlineStr">
        <is>
          <t>36683</t>
        </is>
      </c>
      <c r="B3890" s="51" t="inlineStr">
        <is>
          <t>26695</t>
        </is>
      </c>
      <c r="C3890" s="51" t="inlineStr">
        <is>
          <t>5×19×281</t>
        </is>
      </c>
      <c r="D3890" s="51" t="inlineStr">
        <is>
          <t>5·19</t>
        </is>
      </c>
      <c r="E3890" s="51" t="inlineStr"/>
      <c r="F3890" s="51" t="inlineStr"/>
    </row>
    <row r="3891" ht="13" customHeight="1">
      <c r="A3891" s="49" t="inlineStr">
        <is>
          <t>36691</t>
        </is>
      </c>
      <c r="B3891" s="49" t="inlineStr">
        <is>
          <t>13238</t>
        </is>
      </c>
      <c r="C3891" s="49" t="inlineStr">
        <is>
          <t>2×6619</t>
        </is>
      </c>
      <c r="D3891" s="49" t="inlineStr">
        <is>
          <t>2</t>
        </is>
      </c>
      <c r="E3891" s="49" t="inlineStr"/>
      <c r="F3891" s="49" t="inlineStr"/>
    </row>
    <row r="3892" ht="13" customHeight="1">
      <c r="A3892" s="45" t="inlineStr">
        <is>
          <t>36697</t>
        </is>
      </c>
      <c r="B3892" s="45" t="inlineStr">
        <is>
          <t>18422</t>
        </is>
      </c>
      <c r="C3892" s="45" t="inlineStr">
        <is>
          <t>2×61×151</t>
        </is>
      </c>
      <c r="D3892" s="45" t="inlineStr">
        <is>
          <t>2</t>
        </is>
      </c>
      <c r="E3892" s="45" t="inlineStr"/>
      <c r="F3892" s="45" t="inlineStr"/>
    </row>
    <row r="3893" ht="13" customHeight="1">
      <c r="A3893" s="49" t="inlineStr">
        <is>
          <t>36709</t>
        </is>
      </c>
      <c r="B3893" s="49" t="inlineStr">
        <is>
          <t>43713</t>
        </is>
      </c>
      <c r="C3893" s="49" t="inlineStr">
        <is>
          <t>3×3×3×1619</t>
        </is>
      </c>
      <c r="D3893" s="49" t="inlineStr">
        <is>
          <t>3</t>
        </is>
      </c>
      <c r="E3893" s="49" t="inlineStr"/>
      <c r="F3893" s="49" t="inlineStr"/>
    </row>
    <row r="3894" ht="13" customHeight="1">
      <c r="A3894" s="43" t="inlineStr">
        <is>
          <t>36713</t>
        </is>
      </c>
      <c r="B3894" s="43" t="inlineStr">
        <is>
          <t>40832</t>
        </is>
      </c>
      <c r="C3894" s="43" t="inlineStr">
        <is>
          <t>2×2×2×2×2×2×2×11×29</t>
        </is>
      </c>
      <c r="D3894" s="43" t="inlineStr">
        <is>
          <t>2·11</t>
        </is>
      </c>
      <c r="E3894" s="43" t="inlineStr"/>
      <c r="F3894" s="43" t="inlineStr"/>
    </row>
    <row r="3895" ht="13" customHeight="1">
      <c r="A3895" s="41" t="inlineStr">
        <is>
          <t>36721</t>
        </is>
      </c>
      <c r="B3895" s="41" t="inlineStr">
        <is>
          <t>14443</t>
        </is>
      </c>
      <c r="C3895" s="41" t="inlineStr">
        <is>
          <t>11×13×101</t>
        </is>
      </c>
      <c r="D3895" s="41" t="inlineStr">
        <is>
          <t>11·13</t>
        </is>
      </c>
      <c r="E3895" s="41" t="inlineStr"/>
      <c r="F3895" s="41" t="inlineStr"/>
    </row>
    <row r="3896" ht="13" customHeight="1">
      <c r="A3896" s="45" t="inlineStr">
        <is>
          <t>36739</t>
        </is>
      </c>
      <c r="B3896" s="45" t="inlineStr">
        <is>
          <t>30410</t>
        </is>
      </c>
      <c r="C3896" s="45" t="inlineStr">
        <is>
          <t>2×5×3041</t>
        </is>
      </c>
      <c r="D3896" s="45" t="inlineStr">
        <is>
          <t>2·5</t>
        </is>
      </c>
      <c r="E3896" s="45" t="inlineStr"/>
      <c r="F3896" s="45" t="inlineStr"/>
    </row>
    <row r="3897" ht="13" customHeight="1">
      <c r="A3897" s="43" t="inlineStr">
        <is>
          <t>36749</t>
        </is>
      </c>
      <c r="B3897" s="43" t="inlineStr">
        <is>
          <t>8261</t>
        </is>
      </c>
      <c r="C3897" s="43" t="inlineStr">
        <is>
          <t>11×751</t>
        </is>
      </c>
      <c r="D3897" s="43" t="inlineStr">
        <is>
          <t>11</t>
        </is>
      </c>
      <c r="E3897" s="43" t="inlineStr"/>
      <c r="F3897" s="43" t="inlineStr"/>
    </row>
    <row r="3898" ht="13" customHeight="1">
      <c r="A3898" s="45" t="inlineStr">
        <is>
          <t>36761</t>
        </is>
      </c>
      <c r="B3898" s="45" t="inlineStr">
        <is>
          <t>20840</t>
        </is>
      </c>
      <c r="C3898" s="45" t="inlineStr">
        <is>
          <t>2×2×2×5×521</t>
        </is>
      </c>
      <c r="D3898" s="45" t="inlineStr">
        <is>
          <t>2·5</t>
        </is>
      </c>
      <c r="E3898" s="45" t="inlineStr"/>
      <c r="F3898" s="45" t="inlineStr"/>
    </row>
    <row r="3899" ht="13" customHeight="1">
      <c r="A3899" s="49" t="inlineStr">
        <is>
          <t>36767</t>
        </is>
      </c>
      <c r="B3899" s="49" t="inlineStr">
        <is>
          <t>30180</t>
        </is>
      </c>
      <c r="C3899" s="49" t="inlineStr">
        <is>
          <t>2×2×3×5×503</t>
        </is>
      </c>
      <c r="D3899" s="49" t="inlineStr">
        <is>
          <t>2·3·5</t>
        </is>
      </c>
      <c r="E3899" s="49" t="inlineStr"/>
      <c r="F3899" s="49" t="inlineStr"/>
    </row>
    <row r="3900" ht="13" customHeight="1">
      <c r="A3900" s="45" t="inlineStr">
        <is>
          <t>36779</t>
        </is>
      </c>
      <c r="B3900" s="45" t="inlineStr">
        <is>
          <t>8328</t>
        </is>
      </c>
      <c r="C3900" s="45" t="inlineStr">
        <is>
          <t>2×2×2×3×347</t>
        </is>
      </c>
      <c r="D3900" s="45" t="inlineStr">
        <is>
          <t>2·3</t>
        </is>
      </c>
      <c r="E3900" s="45" t="inlineStr"/>
      <c r="F3900" s="45" t="inlineStr"/>
    </row>
    <row r="3901" ht="13" customHeight="1">
      <c r="A3901" s="50" t="inlineStr">
        <is>
          <t>36781</t>
        </is>
      </c>
      <c r="B3901" s="50" t="inlineStr">
        <is>
          <t>29837</t>
        </is>
      </c>
      <c r="C3901" s="50" t="inlineStr">
        <is>
          <t>29837</t>
        </is>
      </c>
      <c r="D3901" s="50" t="inlineStr">
        <is>
          <t>—</t>
        </is>
      </c>
      <c r="E3901" s="50" t="inlineStr"/>
      <c r="F3901" s="50" t="inlineStr"/>
    </row>
    <row r="3902" ht="13" customHeight="1">
      <c r="A3902" s="43" t="inlineStr">
        <is>
          <t>36787</t>
        </is>
      </c>
      <c r="B3902" s="43" t="inlineStr">
        <is>
          <t>5588</t>
        </is>
      </c>
      <c r="C3902" s="43" t="inlineStr">
        <is>
          <t>2×2×11×127</t>
        </is>
      </c>
      <c r="D3902" s="43" t="inlineStr">
        <is>
          <t>2·11</t>
        </is>
      </c>
      <c r="E3902" s="43" t="inlineStr"/>
      <c r="F3902" s="43" t="inlineStr"/>
    </row>
    <row r="3903" ht="13" customHeight="1">
      <c r="A3903" s="50" t="inlineStr">
        <is>
          <t>36791</t>
        </is>
      </c>
      <c r="B3903" s="50" t="inlineStr">
        <is>
          <t>41611</t>
        </is>
      </c>
      <c r="C3903" s="50" t="inlineStr">
        <is>
          <t>41611</t>
        </is>
      </c>
      <c r="D3903" s="50" t="inlineStr">
        <is>
          <t>—</t>
        </is>
      </c>
      <c r="E3903" s="50" t="inlineStr"/>
      <c r="F3903" s="50" t="inlineStr"/>
    </row>
    <row r="3904" ht="13" customHeight="1">
      <c r="A3904" s="45" t="inlineStr">
        <is>
          <t>36793</t>
        </is>
      </c>
      <c r="B3904" s="45" t="inlineStr">
        <is>
          <t>6748</t>
        </is>
      </c>
      <c r="C3904" s="45" t="inlineStr">
        <is>
          <t>2×2×7×241</t>
        </is>
      </c>
      <c r="D3904" s="45" t="inlineStr">
        <is>
          <t>2·7</t>
        </is>
      </c>
      <c r="E3904" s="45" t="inlineStr"/>
      <c r="F3904" s="45" t="inlineStr"/>
    </row>
    <row r="3905" ht="13" customHeight="1">
      <c r="A3905" s="50" t="inlineStr">
        <is>
          <t>36809</t>
        </is>
      </c>
      <c r="B3905" s="50" t="inlineStr">
        <is>
          <t>37159</t>
        </is>
      </c>
      <c r="C3905" s="50" t="inlineStr">
        <is>
          <t>37159</t>
        </is>
      </c>
      <c r="D3905" s="50" t="inlineStr">
        <is>
          <t>—</t>
        </is>
      </c>
      <c r="E3905" s="50" t="inlineStr"/>
      <c r="F3905" s="50" t="inlineStr"/>
    </row>
    <row r="3906" ht="13" customHeight="1">
      <c r="A3906" s="43" t="inlineStr">
        <is>
          <t>36821</t>
        </is>
      </c>
      <c r="B3906" s="43" t="inlineStr">
        <is>
          <t>20284</t>
        </is>
      </c>
      <c r="C3906" s="43" t="inlineStr">
        <is>
          <t>2×2×11×461</t>
        </is>
      </c>
      <c r="D3906" s="43" t="inlineStr">
        <is>
          <t>2·11</t>
        </is>
      </c>
      <c r="E3906" s="43" t="inlineStr"/>
      <c r="F3906" s="43" t="inlineStr"/>
    </row>
    <row r="3907" ht="13" customHeight="1">
      <c r="A3907" s="49" t="inlineStr">
        <is>
          <t>36833</t>
        </is>
      </c>
      <c r="B3907" s="49" t="inlineStr">
        <is>
          <t>19330</t>
        </is>
      </c>
      <c r="C3907" s="49" t="inlineStr">
        <is>
          <t>2×5×1933</t>
        </is>
      </c>
      <c r="D3907" s="49" t="inlineStr">
        <is>
          <t>2·5</t>
        </is>
      </c>
      <c r="E3907" s="49" t="inlineStr"/>
      <c r="F3907" s="49" t="inlineStr"/>
    </row>
    <row r="3908" ht="13" customHeight="1">
      <c r="A3908" s="45" t="inlineStr">
        <is>
          <t>36847</t>
        </is>
      </c>
      <c r="B3908" s="45" t="inlineStr">
        <is>
          <t>41105</t>
        </is>
      </c>
      <c r="C3908" s="45" t="inlineStr">
        <is>
          <t>5×8221</t>
        </is>
      </c>
      <c r="D3908" s="45" t="inlineStr">
        <is>
          <t>5</t>
        </is>
      </c>
      <c r="E3908" s="45" t="inlineStr"/>
      <c r="F3908" s="45" t="inlineStr"/>
    </row>
    <row r="3909" ht="13" customHeight="1">
      <c r="A3909" s="50" t="inlineStr">
        <is>
          <t>36857</t>
        </is>
      </c>
      <c r="B3909" s="50" t="inlineStr">
        <is>
          <t>41543</t>
        </is>
      </c>
      <c r="C3909" s="50" t="inlineStr">
        <is>
          <t>41543</t>
        </is>
      </c>
      <c r="D3909" s="50" t="inlineStr">
        <is>
          <t>—</t>
        </is>
      </c>
      <c r="E3909" s="50" t="inlineStr"/>
      <c r="F3909" s="50" t="inlineStr"/>
    </row>
    <row r="3910" ht="13" customHeight="1">
      <c r="A3910" s="45" t="inlineStr">
        <is>
          <t>36871</t>
        </is>
      </c>
      <c r="B3910" s="45" t="inlineStr">
        <is>
          <t>3924</t>
        </is>
      </c>
      <c r="C3910" s="45" t="inlineStr">
        <is>
          <t>2×2×3×3×109</t>
        </is>
      </c>
      <c r="D3910" s="45" t="inlineStr">
        <is>
          <t>2·3</t>
        </is>
      </c>
      <c r="E3910" s="45" t="inlineStr"/>
      <c r="F3910" s="45" t="inlineStr"/>
    </row>
    <row r="3911" ht="13" customHeight="1">
      <c r="A3911" s="50" t="inlineStr">
        <is>
          <t>36877</t>
        </is>
      </c>
      <c r="B3911" s="50" t="inlineStr">
        <is>
          <t>41117</t>
        </is>
      </c>
      <c r="C3911" s="50" t="inlineStr">
        <is>
          <t>41117</t>
        </is>
      </c>
      <c r="D3911" s="50" t="inlineStr">
        <is>
          <t>—</t>
        </is>
      </c>
      <c r="E3911" s="50" t="inlineStr"/>
      <c r="F3911" s="50" t="inlineStr"/>
    </row>
    <row r="3912" ht="13" customHeight="1">
      <c r="A3912" s="45" t="inlineStr">
        <is>
          <t>36887</t>
        </is>
      </c>
      <c r="B3912" s="45" t="inlineStr">
        <is>
          <t>3651</t>
        </is>
      </c>
      <c r="C3912" s="45" t="inlineStr">
        <is>
          <t>3×1217</t>
        </is>
      </c>
      <c r="D3912" s="45" t="inlineStr">
        <is>
          <t>3</t>
        </is>
      </c>
      <c r="E3912" s="45" t="inlineStr"/>
      <c r="F3912" s="45" t="inlineStr"/>
    </row>
    <row r="3913" ht="13" customHeight="1">
      <c r="A3913" s="49" t="inlineStr">
        <is>
          <t>36899</t>
        </is>
      </c>
      <c r="B3913" s="49" t="inlineStr">
        <is>
          <t>38372</t>
        </is>
      </c>
      <c r="C3913" s="49" t="inlineStr">
        <is>
          <t>2×2×53×181</t>
        </is>
      </c>
      <c r="D3913" s="49" t="inlineStr">
        <is>
          <t>2</t>
        </is>
      </c>
      <c r="E3913" s="49" t="inlineStr"/>
      <c r="F3913" s="49" t="inlineStr"/>
    </row>
    <row r="3914" ht="13" customHeight="1">
      <c r="A3914" s="45" t="inlineStr">
        <is>
          <t>36901</t>
        </is>
      </c>
      <c r="B3914" s="45" t="inlineStr">
        <is>
          <t>9762</t>
        </is>
      </c>
      <c r="C3914" s="45" t="inlineStr">
        <is>
          <t>2×3×1627</t>
        </is>
      </c>
      <c r="D3914" s="45" t="inlineStr">
        <is>
          <t>2·3</t>
        </is>
      </c>
      <c r="E3914" s="45" t="inlineStr"/>
      <c r="F3914" s="45" t="inlineStr"/>
    </row>
    <row r="3915" ht="13" customHeight="1">
      <c r="A3915" s="49" t="inlineStr">
        <is>
          <t>36913</t>
        </is>
      </c>
      <c r="B3915" s="49" t="inlineStr">
        <is>
          <t>15753</t>
        </is>
      </c>
      <c r="C3915" s="49" t="inlineStr">
        <is>
          <t>3×59×89</t>
        </is>
      </c>
      <c r="D3915" s="49" t="inlineStr">
        <is>
          <t>3</t>
        </is>
      </c>
      <c r="E3915" s="49" t="inlineStr"/>
      <c r="F3915" s="49" t="inlineStr"/>
    </row>
    <row r="3916" ht="13" customHeight="1">
      <c r="A3916" s="45" t="inlineStr">
        <is>
          <t>36919</t>
        </is>
      </c>
      <c r="B3916" s="45" t="inlineStr">
        <is>
          <t>22371</t>
        </is>
      </c>
      <c r="C3916" s="45" t="inlineStr">
        <is>
          <t>3×7457</t>
        </is>
      </c>
      <c r="D3916" s="45" t="inlineStr">
        <is>
          <t>3</t>
        </is>
      </c>
      <c r="E3916" s="45" t="inlineStr"/>
      <c r="F3916" s="45" t="inlineStr"/>
    </row>
    <row r="3917" ht="13" customHeight="1">
      <c r="A3917" s="49" t="inlineStr">
        <is>
          <t>36923</t>
        </is>
      </c>
      <c r="B3917" s="49" t="inlineStr">
        <is>
          <t>30659</t>
        </is>
      </c>
      <c r="C3917" s="49" t="inlineStr">
        <is>
          <t>23×31×43</t>
        </is>
      </c>
      <c r="D3917" s="49" t="inlineStr">
        <is>
          <t>—</t>
        </is>
      </c>
      <c r="E3917" s="49" t="inlineStr"/>
      <c r="F3917" s="49" t="inlineStr"/>
    </row>
    <row r="3918" ht="13" customHeight="1">
      <c r="A3918" s="45" t="inlineStr">
        <is>
          <t>36929</t>
        </is>
      </c>
      <c r="B3918" s="45" t="inlineStr">
        <is>
          <t>42316</t>
        </is>
      </c>
      <c r="C3918" s="45" t="inlineStr">
        <is>
          <t>2×2×71×149</t>
        </is>
      </c>
      <c r="D3918" s="45" t="inlineStr">
        <is>
          <t>2</t>
        </is>
      </c>
      <c r="E3918" s="45" t="inlineStr"/>
      <c r="F3918" s="45" t="inlineStr"/>
    </row>
    <row r="3919" ht="13" customHeight="1">
      <c r="A3919" s="50" t="inlineStr">
        <is>
          <t>36931</t>
        </is>
      </c>
      <c r="B3919" s="50" t="inlineStr">
        <is>
          <t>17791</t>
        </is>
      </c>
      <c r="C3919" s="50" t="inlineStr">
        <is>
          <t>17791</t>
        </is>
      </c>
      <c r="D3919" s="50" t="inlineStr">
        <is>
          <t>—</t>
        </is>
      </c>
      <c r="E3919" s="50" t="inlineStr"/>
      <c r="F3919" s="50" t="inlineStr"/>
    </row>
    <row r="3920" ht="13" customHeight="1">
      <c r="A3920" s="45" t="inlineStr">
        <is>
          <t>36943</t>
        </is>
      </c>
      <c r="B3920" s="45" t="inlineStr">
        <is>
          <t>14702</t>
        </is>
      </c>
      <c r="C3920" s="45" t="inlineStr">
        <is>
          <t>2×7351</t>
        </is>
      </c>
      <c r="D3920" s="45" t="inlineStr">
        <is>
          <t>2</t>
        </is>
      </c>
      <c r="E3920" s="45" t="inlineStr"/>
      <c r="F3920" s="45" t="inlineStr"/>
    </row>
    <row r="3921" ht="13" customHeight="1">
      <c r="A3921" s="49" t="inlineStr">
        <is>
          <t>36947</t>
        </is>
      </c>
      <c r="B3921" s="49" t="inlineStr">
        <is>
          <t>465</t>
        </is>
      </c>
      <c r="C3921" s="49" t="inlineStr">
        <is>
          <t>3×5×31</t>
        </is>
      </c>
      <c r="D3921" s="49" t="inlineStr">
        <is>
          <t>3·5</t>
        </is>
      </c>
      <c r="E3921" s="49" t="inlineStr"/>
      <c r="F3921" s="49" t="inlineStr"/>
    </row>
    <row r="3922" ht="13" customHeight="1">
      <c r="A3922" s="45" t="inlineStr">
        <is>
          <t>36973</t>
        </is>
      </c>
      <c r="B3922" s="45" t="inlineStr">
        <is>
          <t>13254</t>
        </is>
      </c>
      <c r="C3922" s="45" t="inlineStr">
        <is>
          <t>2×3×47×47</t>
        </is>
      </c>
      <c r="D3922" s="45" t="inlineStr">
        <is>
          <t>2·3</t>
        </is>
      </c>
      <c r="E3922" s="45" t="inlineStr"/>
      <c r="F3922" s="45" t="inlineStr"/>
    </row>
    <row r="3923" ht="13" customHeight="1">
      <c r="A3923" s="51" t="inlineStr">
        <is>
          <t>36979</t>
        </is>
      </c>
      <c r="B3923" s="51" t="inlineStr">
        <is>
          <t>10488</t>
        </is>
      </c>
      <c r="C3923" s="51" t="inlineStr">
        <is>
          <t>2×2×2×3×19×23</t>
        </is>
      </c>
      <c r="D3923" s="51" t="inlineStr">
        <is>
          <t>2·3·19</t>
        </is>
      </c>
      <c r="E3923" s="51" t="inlineStr"/>
      <c r="F3923" s="51" t="inlineStr"/>
    </row>
    <row r="3924" ht="13" customHeight="1">
      <c r="A3924" s="50" t="inlineStr">
        <is>
          <t>36997</t>
        </is>
      </c>
      <c r="B3924" s="50" t="inlineStr">
        <is>
          <t>43793</t>
        </is>
      </c>
      <c r="C3924" s="50" t="inlineStr">
        <is>
          <t>43793</t>
        </is>
      </c>
      <c r="D3924" s="50" t="inlineStr">
        <is>
          <t>—</t>
        </is>
      </c>
      <c r="E3924" s="50" t="inlineStr"/>
      <c r="F3924" s="50" t="inlineStr"/>
    </row>
    <row r="3925" ht="13" customHeight="1">
      <c r="A3925" s="49" t="inlineStr">
        <is>
          <t>37003</t>
        </is>
      </c>
      <c r="B3925" s="49" t="inlineStr">
        <is>
          <t>3378</t>
        </is>
      </c>
      <c r="C3925" s="49" t="inlineStr">
        <is>
          <t>2×3×563</t>
        </is>
      </c>
      <c r="D3925" s="49" t="inlineStr">
        <is>
          <t>2·3</t>
        </is>
      </c>
      <c r="E3925" s="49" t="inlineStr"/>
      <c r="F3925" s="49" t="inlineStr"/>
    </row>
    <row r="3926" ht="13" customHeight="1">
      <c r="A3926" s="45" t="inlineStr">
        <is>
          <t>37013</t>
        </is>
      </c>
      <c r="B3926" s="45" t="inlineStr">
        <is>
          <t>6882</t>
        </is>
      </c>
      <c r="C3926" s="45" t="inlineStr">
        <is>
          <t>2×3×31×37</t>
        </is>
      </c>
      <c r="D3926" s="45" t="inlineStr">
        <is>
          <t>2·3</t>
        </is>
      </c>
      <c r="E3926" s="45" t="inlineStr"/>
      <c r="F3926" s="45" t="inlineStr"/>
    </row>
    <row r="3927" ht="13" customHeight="1">
      <c r="A3927" s="49" t="inlineStr">
        <is>
          <t>37019</t>
        </is>
      </c>
      <c r="B3927" s="49" t="inlineStr">
        <is>
          <t>36656</t>
        </is>
      </c>
      <c r="C3927" s="49" t="inlineStr">
        <is>
          <t>2×2×2×2×29×79</t>
        </is>
      </c>
      <c r="D3927" s="49" t="inlineStr">
        <is>
          <t>2</t>
        </is>
      </c>
      <c r="E3927" s="49" t="inlineStr"/>
      <c r="F3927" s="49" t="inlineStr"/>
    </row>
    <row r="3928" ht="13" customHeight="1">
      <c r="A3928" s="41" t="inlineStr">
        <is>
          <t>37021</t>
        </is>
      </c>
      <c r="B3928" s="41" t="inlineStr">
        <is>
          <t>33320</t>
        </is>
      </c>
      <c r="C3928" s="41" t="inlineStr">
        <is>
          <t>2×2×2×5×7×7×17</t>
        </is>
      </c>
      <c r="D3928" s="41" t="inlineStr">
        <is>
          <t>2·5·7·17</t>
        </is>
      </c>
      <c r="E3928" s="41" t="inlineStr"/>
      <c r="F3928" s="41" t="inlineStr"/>
    </row>
    <row r="3929" ht="13" customHeight="1">
      <c r="A3929" s="50" t="inlineStr">
        <is>
          <t>37039</t>
        </is>
      </c>
      <c r="B3929" s="50" t="inlineStr">
        <is>
          <t>2963</t>
        </is>
      </c>
      <c r="C3929" s="50" t="inlineStr">
        <is>
          <t>2963</t>
        </is>
      </c>
      <c r="D3929" s="50" t="inlineStr">
        <is>
          <t>—</t>
        </is>
      </c>
      <c r="E3929" s="50" t="inlineStr"/>
      <c r="F3929" s="50" t="inlineStr"/>
    </row>
    <row r="3930" ht="13" customHeight="1">
      <c r="A3930" s="45" t="inlineStr">
        <is>
          <t>37049</t>
        </is>
      </c>
      <c r="B3930" s="45" t="inlineStr">
        <is>
          <t>34118</t>
        </is>
      </c>
      <c r="C3930" s="45" t="inlineStr">
        <is>
          <t>2×7×2437</t>
        </is>
      </c>
      <c r="D3930" s="45" t="inlineStr">
        <is>
          <t>2·7</t>
        </is>
      </c>
      <c r="E3930" s="45" t="inlineStr"/>
      <c r="F3930" s="45" t="inlineStr"/>
    </row>
    <row r="3931" ht="13" customHeight="1">
      <c r="A3931" s="41" t="inlineStr">
        <is>
          <t>37057</t>
        </is>
      </c>
      <c r="B3931" s="41" t="inlineStr">
        <is>
          <t>14651</t>
        </is>
      </c>
      <c r="C3931" s="41" t="inlineStr">
        <is>
          <t>7×7×13×23</t>
        </is>
      </c>
      <c r="D3931" s="41" t="inlineStr">
        <is>
          <t>7·13</t>
        </is>
      </c>
      <c r="E3931" s="41" t="inlineStr"/>
      <c r="F3931" s="41" t="inlineStr"/>
    </row>
    <row r="3932" ht="13" customHeight="1">
      <c r="A3932" s="43" t="inlineStr">
        <is>
          <t>37061</t>
        </is>
      </c>
      <c r="B3932" s="43" t="inlineStr">
        <is>
          <t>29150</t>
        </is>
      </c>
      <c r="C3932" s="43" t="inlineStr">
        <is>
          <t>2×5×5×11×53</t>
        </is>
      </c>
      <c r="D3932" s="43" t="inlineStr">
        <is>
          <t>2·5·11</t>
        </is>
      </c>
      <c r="E3932" s="43" t="inlineStr"/>
      <c r="F3932" s="43" t="inlineStr"/>
    </row>
    <row r="3933" ht="13" customHeight="1">
      <c r="A3933" s="49" t="inlineStr">
        <is>
          <t>37087</t>
        </is>
      </c>
      <c r="B3933" s="49" t="inlineStr">
        <is>
          <t>34091</t>
        </is>
      </c>
      <c r="C3933" s="49" t="inlineStr">
        <is>
          <t>73×467</t>
        </is>
      </c>
      <c r="D3933" s="49" t="inlineStr">
        <is>
          <t>—</t>
        </is>
      </c>
      <c r="E3933" s="49" t="inlineStr"/>
      <c r="F3933" s="49" t="inlineStr"/>
    </row>
    <row r="3934" ht="13" customHeight="1">
      <c r="A3934" s="45" t="inlineStr">
        <is>
          <t>37097</t>
        </is>
      </c>
      <c r="B3934" s="45" t="inlineStr">
        <is>
          <t>43668</t>
        </is>
      </c>
      <c r="C3934" s="45" t="inlineStr">
        <is>
          <t>2×2×3×3×1213</t>
        </is>
      </c>
      <c r="D3934" s="45" t="inlineStr">
        <is>
          <t>2·3</t>
        </is>
      </c>
      <c r="E3934" s="45" t="inlineStr"/>
      <c r="F3934" s="45" t="inlineStr"/>
    </row>
    <row r="3935" ht="13" customHeight="1">
      <c r="A3935" s="43" t="inlineStr">
        <is>
          <t>37117</t>
        </is>
      </c>
      <c r="B3935" s="43" t="inlineStr">
        <is>
          <t>24321</t>
        </is>
      </c>
      <c r="C3935" s="43" t="inlineStr">
        <is>
          <t>3×11×11×67</t>
        </is>
      </c>
      <c r="D3935" s="43" t="inlineStr">
        <is>
          <t>3·11</t>
        </is>
      </c>
      <c r="E3935" s="43" t="inlineStr"/>
      <c r="F3935" s="43" t="inlineStr"/>
    </row>
    <row r="3936" ht="13" customHeight="1">
      <c r="A3936" s="45" t="inlineStr">
        <is>
          <t>37123</t>
        </is>
      </c>
      <c r="B3936" s="45" t="inlineStr">
        <is>
          <t>20437</t>
        </is>
      </c>
      <c r="C3936" s="45" t="inlineStr">
        <is>
          <t>107×191</t>
        </is>
      </c>
      <c r="D3936" s="45" t="inlineStr">
        <is>
          <t>—</t>
        </is>
      </c>
      <c r="E3936" s="45" t="inlineStr"/>
      <c r="F3936" s="45" t="inlineStr"/>
    </row>
    <row r="3937" ht="13" customHeight="1">
      <c r="A3937" s="49" t="inlineStr">
        <is>
          <t>37139</t>
        </is>
      </c>
      <c r="B3937" s="49" t="inlineStr">
        <is>
          <t>7468</t>
        </is>
      </c>
      <c r="C3937" s="49" t="inlineStr">
        <is>
          <t>2×2×1867</t>
        </is>
      </c>
      <c r="D3937" s="49" t="inlineStr">
        <is>
          <t>2</t>
        </is>
      </c>
      <c r="E3937" s="49" t="inlineStr"/>
      <c r="F3937" s="49" t="inlineStr"/>
    </row>
    <row r="3938" ht="13" customHeight="1">
      <c r="A3938" s="45" t="inlineStr">
        <is>
          <t>37159</t>
        </is>
      </c>
      <c r="B3938" s="45" t="inlineStr">
        <is>
          <t>41637</t>
        </is>
      </c>
      <c r="C3938" s="45" t="inlineStr">
        <is>
          <t>3×13879</t>
        </is>
      </c>
      <c r="D3938" s="45" t="inlineStr">
        <is>
          <t>3</t>
        </is>
      </c>
      <c r="E3938" s="45" t="inlineStr"/>
      <c r="F3938" s="45" t="inlineStr"/>
    </row>
    <row r="3939" ht="13" customHeight="1">
      <c r="A3939" s="49" t="inlineStr">
        <is>
          <t>37171</t>
        </is>
      </c>
      <c r="B3939" s="49" t="inlineStr">
        <is>
          <t>11125</t>
        </is>
      </c>
      <c r="C3939" s="49" t="inlineStr">
        <is>
          <t>5×5×5×89</t>
        </is>
      </c>
      <c r="D3939" s="49" t="inlineStr">
        <is>
          <t>5</t>
        </is>
      </c>
      <c r="E3939" s="49" t="inlineStr"/>
      <c r="F3939" s="49" t="inlineStr"/>
    </row>
    <row r="3940" ht="13" customHeight="1">
      <c r="A3940" s="45" t="inlineStr">
        <is>
          <t>37181</t>
        </is>
      </c>
      <c r="B3940" s="45" t="inlineStr">
        <is>
          <t>7596</t>
        </is>
      </c>
      <c r="C3940" s="45" t="inlineStr">
        <is>
          <t>2×2×3×3×211</t>
        </is>
      </c>
      <c r="D3940" s="45" t="inlineStr">
        <is>
          <t>2·3</t>
        </is>
      </c>
      <c r="E3940" s="45" t="inlineStr"/>
      <c r="F3940" s="45" t="inlineStr"/>
    </row>
    <row r="3941" ht="13" customHeight="1">
      <c r="A3941" s="41" t="inlineStr">
        <is>
          <t>37189</t>
        </is>
      </c>
      <c r="B3941" s="41" t="inlineStr">
        <is>
          <t>39728</t>
        </is>
      </c>
      <c r="C3941" s="41" t="inlineStr">
        <is>
          <t>2×2×2×2×13×191</t>
        </is>
      </c>
      <c r="D3941" s="41" t="inlineStr">
        <is>
          <t>2·13</t>
        </is>
      </c>
      <c r="E3941" s="41" t="inlineStr"/>
      <c r="F3941" s="41" t="inlineStr"/>
    </row>
    <row r="3942" ht="13" customHeight="1">
      <c r="A3942" s="45" t="inlineStr">
        <is>
          <t>37199</t>
        </is>
      </c>
      <c r="B3942" s="45" t="inlineStr">
        <is>
          <t>12330</t>
        </is>
      </c>
      <c r="C3942" s="45" t="inlineStr">
        <is>
          <t>2×3×3×5×137</t>
        </is>
      </c>
      <c r="D3942" s="45" t="inlineStr">
        <is>
          <t>2·3·5</t>
        </is>
      </c>
      <c r="E3942" s="45" t="inlineStr"/>
      <c r="F3942" s="45" t="inlineStr"/>
    </row>
    <row r="3943" ht="13" customHeight="1">
      <c r="A3943" s="43" t="inlineStr">
        <is>
          <t>37201</t>
        </is>
      </c>
      <c r="B3943" s="43" t="inlineStr">
        <is>
          <t>6930</t>
        </is>
      </c>
      <c r="C3943" s="43" t="inlineStr">
        <is>
          <t>2×3×3×5×7×11</t>
        </is>
      </c>
      <c r="D3943" s="43" t="inlineStr">
        <is>
          <t>2·3·5·7·11</t>
        </is>
      </c>
      <c r="E3943" s="43" t="inlineStr"/>
      <c r="F3943" s="43" t="inlineStr"/>
    </row>
    <row r="3944" ht="13" customHeight="1">
      <c r="A3944" s="45" t="inlineStr">
        <is>
          <t>37217</t>
        </is>
      </c>
      <c r="B3944" s="45" t="inlineStr">
        <is>
          <t>4920</t>
        </is>
      </c>
      <c r="C3944" s="45" t="inlineStr">
        <is>
          <t>2×2×2×3×5×41</t>
        </is>
      </c>
      <c r="D3944" s="45" t="inlineStr">
        <is>
          <t>2·3·5</t>
        </is>
      </c>
      <c r="E3944" s="45" t="inlineStr"/>
      <c r="F3944" s="45" t="inlineStr"/>
    </row>
    <row r="3945" ht="13" customHeight="1">
      <c r="A3945" s="43" t="inlineStr">
        <is>
          <t>37223</t>
        </is>
      </c>
      <c r="B3945" s="43" t="inlineStr">
        <is>
          <t>5346</t>
        </is>
      </c>
      <c r="C3945" s="43" t="inlineStr">
        <is>
          <t>2×3×3×3×3×3×11</t>
        </is>
      </c>
      <c r="D3945" s="43" t="inlineStr">
        <is>
          <t>2·3·11</t>
        </is>
      </c>
      <c r="E3945" s="43" t="inlineStr"/>
      <c r="F3945" s="43" t="inlineStr"/>
    </row>
    <row r="3946" ht="13" customHeight="1">
      <c r="A3946" s="45" t="inlineStr">
        <is>
          <t>37243</t>
        </is>
      </c>
      <c r="B3946" s="45" t="inlineStr">
        <is>
          <t>17638</t>
        </is>
      </c>
      <c r="C3946" s="45" t="inlineStr">
        <is>
          <t>2×8819</t>
        </is>
      </c>
      <c r="D3946" s="45" t="inlineStr">
        <is>
          <t>2</t>
        </is>
      </c>
      <c r="E3946" s="45" t="inlineStr"/>
      <c r="F3946" s="45" t="inlineStr"/>
    </row>
    <row r="3947" ht="13" customHeight="1">
      <c r="A3947" s="50" t="inlineStr">
        <is>
          <t>37253</t>
        </is>
      </c>
      <c r="B3947" s="50" t="inlineStr">
        <is>
          <t>17737</t>
        </is>
      </c>
      <c r="C3947" s="50" t="inlineStr">
        <is>
          <t>17737</t>
        </is>
      </c>
      <c r="D3947" s="50" t="inlineStr">
        <is>
          <t>—</t>
        </is>
      </c>
      <c r="E3947" s="50" t="inlineStr"/>
      <c r="F3947" s="50" t="inlineStr"/>
    </row>
    <row r="3948" ht="13" customHeight="1">
      <c r="A3948" s="45" t="inlineStr">
        <is>
          <t>37273</t>
        </is>
      </c>
      <c r="B3948" s="45" t="inlineStr">
        <is>
          <t>17219</t>
        </is>
      </c>
      <c r="C3948" s="45" t="inlineStr">
        <is>
          <t>67×257</t>
        </is>
      </c>
      <c r="D3948" s="45" t="inlineStr">
        <is>
          <t>—</t>
        </is>
      </c>
      <c r="E3948" s="45" t="inlineStr"/>
      <c r="F3948" s="45" t="inlineStr"/>
    </row>
    <row r="3949" ht="13" customHeight="1">
      <c r="A3949" s="49" t="inlineStr">
        <is>
          <t>37277</t>
        </is>
      </c>
      <c r="B3949" s="49" t="inlineStr">
        <is>
          <t>35975</t>
        </is>
      </c>
      <c r="C3949" s="49" t="inlineStr">
        <is>
          <t>5×5×1439</t>
        </is>
      </c>
      <c r="D3949" s="49" t="inlineStr">
        <is>
          <t>5</t>
        </is>
      </c>
      <c r="E3949" s="49" t="inlineStr"/>
      <c r="F3949" s="49" t="inlineStr"/>
    </row>
    <row r="3950" ht="13" customHeight="1">
      <c r="A3950" s="41" t="inlineStr">
        <is>
          <t>37307</t>
        </is>
      </c>
      <c r="B3950" s="41" t="inlineStr">
        <is>
          <t>13158</t>
        </is>
      </c>
      <c r="C3950" s="41" t="inlineStr">
        <is>
          <t>2×3×3×17×43</t>
        </is>
      </c>
      <c r="D3950" s="41" t="inlineStr">
        <is>
          <t>2·3·17</t>
        </is>
      </c>
      <c r="E3950" s="41" t="inlineStr"/>
      <c r="F3950" s="41" t="inlineStr"/>
    </row>
    <row r="3951" ht="13" customHeight="1">
      <c r="A3951" s="49" t="inlineStr">
        <is>
          <t>37309</t>
        </is>
      </c>
      <c r="B3951" s="49" t="inlineStr">
        <is>
          <t>15564</t>
        </is>
      </c>
      <c r="C3951" s="49" t="inlineStr">
        <is>
          <t>2×2×3×1297</t>
        </is>
      </c>
      <c r="D3951" s="49" t="inlineStr">
        <is>
          <t>2·3</t>
        </is>
      </c>
      <c r="E3951" s="49" t="inlineStr"/>
      <c r="F3951" s="49" t="inlineStr"/>
    </row>
    <row r="3952" ht="13" customHeight="1">
      <c r="A3952" s="45" t="inlineStr">
        <is>
          <t>37313</t>
        </is>
      </c>
      <c r="B3952" s="45" t="inlineStr">
        <is>
          <t>32017</t>
        </is>
      </c>
      <c r="C3952" s="45" t="inlineStr">
        <is>
          <t>101×317</t>
        </is>
      </c>
      <c r="D3952" s="45" t="inlineStr">
        <is>
          <t>—</t>
        </is>
      </c>
      <c r="E3952" s="45" t="inlineStr"/>
      <c r="F3952" s="45" t="inlineStr"/>
    </row>
    <row r="3953" ht="13" customHeight="1">
      <c r="A3953" s="41" t="inlineStr">
        <is>
          <t>37321</t>
        </is>
      </c>
      <c r="B3953" s="41" t="inlineStr">
        <is>
          <t>15232</t>
        </is>
      </c>
      <c r="C3953" s="41" t="inlineStr">
        <is>
          <t>2×2×2×2×2×2×2×7×17</t>
        </is>
      </c>
      <c r="D3953" s="41" t="inlineStr">
        <is>
          <t>2·7·17</t>
        </is>
      </c>
      <c r="E3953" s="41" t="inlineStr"/>
      <c r="F3953" s="41" t="inlineStr"/>
    </row>
    <row r="3954" ht="13" customHeight="1">
      <c r="A3954" s="45" t="inlineStr">
        <is>
          <t>37337</t>
        </is>
      </c>
      <c r="B3954" s="45" t="inlineStr">
        <is>
          <t>18322</t>
        </is>
      </c>
      <c r="C3954" s="45" t="inlineStr">
        <is>
          <t>2×9161</t>
        </is>
      </c>
      <c r="D3954" s="45" t="inlineStr">
        <is>
          <t>2</t>
        </is>
      </c>
      <c r="E3954" s="45" t="inlineStr"/>
      <c r="F3954" s="45" t="inlineStr"/>
    </row>
    <row r="3955" ht="13" customHeight="1">
      <c r="A3955" s="50" t="inlineStr">
        <is>
          <t>37339</t>
        </is>
      </c>
      <c r="B3955" s="50" t="inlineStr">
        <is>
          <t>1811</t>
        </is>
      </c>
      <c r="C3955" s="50" t="inlineStr">
        <is>
          <t>1811</t>
        </is>
      </c>
      <c r="D3955" s="50" t="inlineStr">
        <is>
          <t>—</t>
        </is>
      </c>
      <c r="E3955" s="50" t="inlineStr"/>
      <c r="F3955" s="50" t="inlineStr"/>
    </row>
    <row r="3956" ht="13" customHeight="1">
      <c r="A3956" s="51" t="inlineStr">
        <is>
          <t>37357</t>
        </is>
      </c>
      <c r="B3956" s="51" t="inlineStr">
        <is>
          <t>475</t>
        </is>
      </c>
      <c r="C3956" s="51" t="inlineStr">
        <is>
          <t>5×5×19</t>
        </is>
      </c>
      <c r="D3956" s="51" t="inlineStr">
        <is>
          <t>5·19</t>
        </is>
      </c>
      <c r="E3956" s="51" t="inlineStr"/>
      <c r="F3956" s="51" t="inlineStr"/>
    </row>
    <row r="3957" ht="13" customHeight="1">
      <c r="A3957" s="43" t="inlineStr">
        <is>
          <t>37361</t>
        </is>
      </c>
      <c r="B3957" s="43" t="inlineStr">
        <is>
          <t>31141</t>
        </is>
      </c>
      <c r="C3957" s="43" t="inlineStr">
        <is>
          <t>11×19×149</t>
        </is>
      </c>
      <c r="D3957" s="43" t="inlineStr">
        <is>
          <t>11·19</t>
        </is>
      </c>
      <c r="E3957" s="43" t="inlineStr"/>
      <c r="F3957" s="43" t="inlineStr"/>
    </row>
    <row r="3958" ht="13" customHeight="1">
      <c r="A3958" s="45" t="inlineStr">
        <is>
          <t>37363</t>
        </is>
      </c>
      <c r="B3958" s="45" t="inlineStr">
        <is>
          <t>6090</t>
        </is>
      </c>
      <c r="C3958" s="45" t="inlineStr">
        <is>
          <t>2×3×5×7×29</t>
        </is>
      </c>
      <c r="D3958" s="45" t="inlineStr">
        <is>
          <t>2·3·5·7</t>
        </is>
      </c>
      <c r="E3958" s="45" t="inlineStr"/>
      <c r="F3958" s="45" t="inlineStr"/>
    </row>
    <row r="3959" ht="13" customHeight="1">
      <c r="A3959" s="49" t="inlineStr">
        <is>
          <t>37369</t>
        </is>
      </c>
      <c r="B3959" s="49" t="inlineStr">
        <is>
          <t>7181</t>
        </is>
      </c>
      <c r="C3959" s="49" t="inlineStr">
        <is>
          <t>43×167</t>
        </is>
      </c>
      <c r="D3959" s="49" t="inlineStr">
        <is>
          <t>—</t>
        </is>
      </c>
      <c r="E3959" s="49" t="inlineStr"/>
      <c r="F3959" s="49" t="inlineStr"/>
    </row>
    <row r="3960" ht="13" customHeight="1">
      <c r="A3960" s="45" t="inlineStr">
        <is>
          <t>37379</t>
        </is>
      </c>
      <c r="B3960" s="45" t="inlineStr">
        <is>
          <t>3918</t>
        </is>
      </c>
      <c r="C3960" s="45" t="inlineStr">
        <is>
          <t>2×3×653</t>
        </is>
      </c>
      <c r="D3960" s="45" t="inlineStr">
        <is>
          <t>2·3</t>
        </is>
      </c>
      <c r="E3960" s="45" t="inlineStr"/>
      <c r="F3960" s="45" t="inlineStr"/>
    </row>
    <row r="3961" ht="13" customHeight="1">
      <c r="A3961" s="49" t="inlineStr">
        <is>
          <t>37397</t>
        </is>
      </c>
      <c r="B3961" s="49" t="inlineStr">
        <is>
          <t>21457</t>
        </is>
      </c>
      <c r="C3961" s="49" t="inlineStr">
        <is>
          <t>43×499</t>
        </is>
      </c>
      <c r="D3961" s="49" t="inlineStr">
        <is>
          <t>—</t>
        </is>
      </c>
      <c r="E3961" s="49" t="inlineStr"/>
      <c r="F3961" s="49" t="inlineStr"/>
    </row>
    <row r="3962" ht="13" customHeight="1">
      <c r="A3962" s="45" t="inlineStr">
        <is>
          <t>37409</t>
        </is>
      </c>
      <c r="B3962" s="45" t="inlineStr">
        <is>
          <t>14429</t>
        </is>
      </c>
      <c r="C3962" s="45" t="inlineStr">
        <is>
          <t>47×307</t>
        </is>
      </c>
      <c r="D3962" s="45" t="inlineStr">
        <is>
          <t>—</t>
        </is>
      </c>
      <c r="E3962" s="45" t="inlineStr"/>
      <c r="F3962" s="45" t="inlineStr"/>
    </row>
    <row r="3963" ht="13" customHeight="1">
      <c r="A3963" s="49" t="inlineStr">
        <is>
          <t>37423</t>
        </is>
      </c>
      <c r="B3963" s="49" t="inlineStr">
        <is>
          <t>669</t>
        </is>
      </c>
      <c r="C3963" s="49" t="inlineStr">
        <is>
          <t>3×223</t>
        </is>
      </c>
      <c r="D3963" s="49" t="inlineStr">
        <is>
          <t>3</t>
        </is>
      </c>
      <c r="E3963" s="49" t="inlineStr"/>
      <c r="F3963" s="49" t="inlineStr"/>
    </row>
    <row r="3964" ht="13" customHeight="1">
      <c r="A3964" s="45" t="inlineStr">
        <is>
          <t>37441</t>
        </is>
      </c>
      <c r="B3964" s="45" t="inlineStr">
        <is>
          <t>15568</t>
        </is>
      </c>
      <c r="C3964" s="45" t="inlineStr">
        <is>
          <t>2×2×2×2×7×139</t>
        </is>
      </c>
      <c r="D3964" s="45" t="inlineStr">
        <is>
          <t>2·7</t>
        </is>
      </c>
      <c r="E3964" s="45" t="inlineStr"/>
      <c r="F3964" s="45" t="inlineStr"/>
    </row>
    <row r="3965" ht="13" customHeight="1">
      <c r="A3965" s="51" t="inlineStr">
        <is>
          <t>37447</t>
        </is>
      </c>
      <c r="B3965" s="51" t="inlineStr">
        <is>
          <t>25384</t>
        </is>
      </c>
      <c r="C3965" s="51" t="inlineStr">
        <is>
          <t>2×2×2×19×167</t>
        </is>
      </c>
      <c r="D3965" s="51" t="inlineStr">
        <is>
          <t>2·19</t>
        </is>
      </c>
      <c r="E3965" s="51" t="inlineStr"/>
      <c r="F3965" s="51" t="inlineStr"/>
    </row>
    <row r="3966" ht="13" customHeight="1">
      <c r="A3966" s="50" t="inlineStr">
        <is>
          <t>37463</t>
        </is>
      </c>
      <c r="B3966" s="50" t="inlineStr">
        <is>
          <t>18869</t>
        </is>
      </c>
      <c r="C3966" s="50" t="inlineStr">
        <is>
          <t>18869</t>
        </is>
      </c>
      <c r="D3966" s="50" t="inlineStr">
        <is>
          <t>—</t>
        </is>
      </c>
      <c r="E3966" s="50" t="inlineStr"/>
      <c r="F3966" s="50" t="inlineStr"/>
    </row>
    <row r="3967" ht="13" customHeight="1">
      <c r="A3967" s="49" t="inlineStr">
        <is>
          <t>37483</t>
        </is>
      </c>
      <c r="B3967" s="49" t="inlineStr">
        <is>
          <t>29217</t>
        </is>
      </c>
      <c r="C3967" s="49" t="inlineStr">
        <is>
          <t>3×9739</t>
        </is>
      </c>
      <c r="D3967" s="49" t="inlineStr">
        <is>
          <t>3</t>
        </is>
      </c>
      <c r="E3967" s="49" t="inlineStr"/>
      <c r="F3967" s="49" t="inlineStr"/>
    </row>
    <row r="3968" ht="13" customHeight="1">
      <c r="A3968" s="45" t="inlineStr">
        <is>
          <t>37489</t>
        </is>
      </c>
      <c r="B3968" s="45" t="inlineStr">
        <is>
          <t>172</t>
        </is>
      </c>
      <c r="C3968" s="45" t="inlineStr">
        <is>
          <t>2×2×43</t>
        </is>
      </c>
      <c r="D3968" s="45" t="inlineStr">
        <is>
          <t>2</t>
        </is>
      </c>
      <c r="E3968" s="45" t="inlineStr"/>
      <c r="F3968" s="45" t="inlineStr"/>
    </row>
    <row r="3969" ht="13" customHeight="1">
      <c r="A3969" s="41" t="inlineStr">
        <is>
          <t>37493</t>
        </is>
      </c>
      <c r="B3969" s="41" t="inlineStr">
        <is>
          <t>39899</t>
        </is>
      </c>
      <c r="C3969" s="41" t="inlineStr">
        <is>
          <t>17×2347</t>
        </is>
      </c>
      <c r="D3969" s="41" t="inlineStr">
        <is>
          <t>17</t>
        </is>
      </c>
      <c r="E3969" s="41" t="inlineStr"/>
      <c r="F3969" s="41" t="inlineStr"/>
    </row>
    <row r="3970" ht="13" customHeight="1">
      <c r="A3970" s="51" t="inlineStr">
        <is>
          <t>37501</t>
        </is>
      </c>
      <c r="B3970" s="51" t="inlineStr">
        <is>
          <t>27360</t>
        </is>
      </c>
      <c r="C3970" s="51" t="inlineStr">
        <is>
          <t>2×2×2×2×2×3×3×5×19</t>
        </is>
      </c>
      <c r="D3970" s="51" t="inlineStr">
        <is>
          <t>2·3·5·19</t>
        </is>
      </c>
      <c r="E3970" s="51" t="inlineStr"/>
      <c r="F3970" s="51" t="inlineStr"/>
    </row>
    <row r="3971" ht="13" customHeight="1">
      <c r="A3971" s="49" t="inlineStr">
        <is>
          <t>37507</t>
        </is>
      </c>
      <c r="B3971" s="49" t="inlineStr">
        <is>
          <t>6496</t>
        </is>
      </c>
      <c r="C3971" s="49" t="inlineStr">
        <is>
          <t>2×2×2×2×2×7×29</t>
        </is>
      </c>
      <c r="D3971" s="49" t="inlineStr">
        <is>
          <t>2·7</t>
        </is>
      </c>
      <c r="E3971" s="49" t="inlineStr"/>
      <c r="F3971" s="49" t="inlineStr"/>
    </row>
    <row r="3972" ht="13" customHeight="1">
      <c r="A3972" s="45" t="inlineStr">
        <is>
          <t>37511</t>
        </is>
      </c>
      <c r="B3972" s="45" t="inlineStr">
        <is>
          <t>16121</t>
        </is>
      </c>
      <c r="C3972" s="45" t="inlineStr">
        <is>
          <t>7×7×7×47</t>
        </is>
      </c>
      <c r="D3972" s="45" t="inlineStr">
        <is>
          <t>7</t>
        </is>
      </c>
      <c r="E3972" s="45" t="inlineStr"/>
      <c r="F3972" s="45" t="inlineStr"/>
    </row>
    <row r="3973" ht="13" customHeight="1">
      <c r="A3973" s="49" t="inlineStr">
        <is>
          <t>37517</t>
        </is>
      </c>
      <c r="B3973" s="49" t="inlineStr">
        <is>
          <t>34902</t>
        </is>
      </c>
      <c r="C3973" s="49" t="inlineStr">
        <is>
          <t>2×3×3×7×277</t>
        </is>
      </c>
      <c r="D3973" s="49" t="inlineStr">
        <is>
          <t>2·3·7</t>
        </is>
      </c>
      <c r="E3973" s="49" t="inlineStr"/>
      <c r="F3973" s="49" t="inlineStr"/>
    </row>
    <row r="3974" ht="13" customHeight="1">
      <c r="A3974" s="43" t="inlineStr">
        <is>
          <t>37529</t>
        </is>
      </c>
      <c r="B3974" s="43" t="inlineStr">
        <is>
          <t>43175</t>
        </is>
      </c>
      <c r="C3974" s="43" t="inlineStr">
        <is>
          <t>5×5×11×157</t>
        </is>
      </c>
      <c r="D3974" s="43" t="inlineStr">
        <is>
          <t>5·11</t>
        </is>
      </c>
      <c r="E3974" s="43" t="inlineStr"/>
      <c r="F3974" s="43" t="inlineStr"/>
    </row>
    <row r="3975" ht="13" customHeight="1">
      <c r="A3975" s="43" t="inlineStr">
        <is>
          <t>37537</t>
        </is>
      </c>
      <c r="B3975" s="43" t="inlineStr">
        <is>
          <t>28963</t>
        </is>
      </c>
      <c r="C3975" s="43" t="inlineStr">
        <is>
          <t>11×2633</t>
        </is>
      </c>
      <c r="D3975" s="43" t="inlineStr">
        <is>
          <t>11</t>
        </is>
      </c>
      <c r="E3975" s="43" t="inlineStr"/>
      <c r="F3975" s="43" t="inlineStr"/>
    </row>
    <row r="3976" ht="13" customHeight="1">
      <c r="A3976" s="45" t="inlineStr">
        <is>
          <t>37547</t>
        </is>
      </c>
      <c r="B3976" s="45" t="inlineStr">
        <is>
          <t>6625</t>
        </is>
      </c>
      <c r="C3976" s="45" t="inlineStr">
        <is>
          <t>5×5×5×53</t>
        </is>
      </c>
      <c r="D3976" s="45" t="inlineStr">
        <is>
          <t>5</t>
        </is>
      </c>
      <c r="E3976" s="45" t="inlineStr"/>
      <c r="F3976" s="45" t="inlineStr"/>
    </row>
    <row r="3977" ht="13" customHeight="1">
      <c r="A3977" s="49" t="inlineStr">
        <is>
          <t>37549</t>
        </is>
      </c>
      <c r="B3977" s="49" t="inlineStr">
        <is>
          <t>26402</t>
        </is>
      </c>
      <c r="C3977" s="49" t="inlineStr">
        <is>
          <t>2×43×307</t>
        </is>
      </c>
      <c r="D3977" s="49" t="inlineStr">
        <is>
          <t>2</t>
        </is>
      </c>
      <c r="E3977" s="49" t="inlineStr"/>
      <c r="F3977" s="49" t="inlineStr"/>
    </row>
    <row r="3978" ht="13" customHeight="1">
      <c r="A3978" s="50" t="inlineStr">
        <is>
          <t>37561</t>
        </is>
      </c>
      <c r="B3978" s="50" t="inlineStr">
        <is>
          <t>39857</t>
        </is>
      </c>
      <c r="C3978" s="50" t="inlineStr">
        <is>
          <t>39857</t>
        </is>
      </c>
      <c r="D3978" s="50" t="inlineStr">
        <is>
          <t>—</t>
        </is>
      </c>
      <c r="E3978" s="50" t="inlineStr"/>
      <c r="F3978" s="50" t="inlineStr"/>
    </row>
    <row r="3979" ht="13" customHeight="1">
      <c r="A3979" s="43" t="inlineStr">
        <is>
          <t>37567</t>
        </is>
      </c>
      <c r="B3979" s="43" t="inlineStr">
        <is>
          <t>27819</t>
        </is>
      </c>
      <c r="C3979" s="43" t="inlineStr">
        <is>
          <t>3×3×11×281</t>
        </is>
      </c>
      <c r="D3979" s="43" t="inlineStr">
        <is>
          <t>3·11</t>
        </is>
      </c>
      <c r="E3979" s="43" t="inlineStr"/>
      <c r="F3979" s="43" t="inlineStr"/>
    </row>
    <row r="3980" ht="13" customHeight="1">
      <c r="A3980" s="45" t="inlineStr">
        <is>
          <t>37571</t>
        </is>
      </c>
      <c r="B3980" s="45" t="inlineStr">
        <is>
          <t>36510</t>
        </is>
      </c>
      <c r="C3980" s="45" t="inlineStr">
        <is>
          <t>2×3×5×1217</t>
        </is>
      </c>
      <c r="D3980" s="45" t="inlineStr">
        <is>
          <t>2·3·5</t>
        </is>
      </c>
      <c r="E3980" s="45" t="inlineStr"/>
      <c r="F3980" s="45" t="inlineStr"/>
    </row>
    <row r="3981" ht="13" customHeight="1">
      <c r="A3981" s="50" t="inlineStr">
        <is>
          <t>37573</t>
        </is>
      </c>
      <c r="B3981" s="50" t="inlineStr">
        <is>
          <t>33563</t>
        </is>
      </c>
      <c r="C3981" s="50" t="inlineStr">
        <is>
          <t>33563</t>
        </is>
      </c>
      <c r="D3981" s="50" t="inlineStr">
        <is>
          <t>—</t>
        </is>
      </c>
      <c r="E3981" s="50" t="inlineStr"/>
      <c r="F3981" s="50" t="inlineStr"/>
    </row>
    <row r="3982" ht="13" customHeight="1">
      <c r="A3982" s="45" t="inlineStr">
        <is>
          <t>37579</t>
        </is>
      </c>
      <c r="B3982" s="45" t="inlineStr">
        <is>
          <t>4360</t>
        </is>
      </c>
      <c r="C3982" s="45" t="inlineStr">
        <is>
          <t>2×2×2×5×109</t>
        </is>
      </c>
      <c r="D3982" s="45" t="inlineStr">
        <is>
          <t>2·5</t>
        </is>
      </c>
      <c r="E3982" s="45" t="inlineStr"/>
      <c r="F3982" s="45" t="inlineStr"/>
    </row>
    <row r="3983" ht="13" customHeight="1">
      <c r="A3983" s="43" t="inlineStr">
        <is>
          <t>37589</t>
        </is>
      </c>
      <c r="B3983" s="43" t="inlineStr">
        <is>
          <t>43505</t>
        </is>
      </c>
      <c r="C3983" s="43" t="inlineStr">
        <is>
          <t>5×7×11×113</t>
        </is>
      </c>
      <c r="D3983" s="43" t="inlineStr">
        <is>
          <t>5·7·11</t>
        </is>
      </c>
      <c r="E3983" s="43" t="inlineStr"/>
      <c r="F3983" s="43" t="inlineStr"/>
    </row>
    <row r="3984" ht="13" customHeight="1">
      <c r="A3984" s="45" t="inlineStr">
        <is>
          <t>37591</t>
        </is>
      </c>
      <c r="B3984" s="45" t="inlineStr">
        <is>
          <t>43514</t>
        </is>
      </c>
      <c r="C3984" s="45" t="inlineStr">
        <is>
          <t>2×21757</t>
        </is>
      </c>
      <c r="D3984" s="45" t="inlineStr">
        <is>
          <t>2</t>
        </is>
      </c>
      <c r="E3984" s="45" t="inlineStr"/>
      <c r="F3984" s="45" t="inlineStr"/>
    </row>
    <row r="3985" ht="13" customHeight="1">
      <c r="A3985" s="49" t="inlineStr">
        <is>
          <t>37607</t>
        </is>
      </c>
      <c r="B3985" s="49" t="inlineStr">
        <is>
          <t>2104</t>
        </is>
      </c>
      <c r="C3985" s="49" t="inlineStr">
        <is>
          <t>2×2×2×263</t>
        </is>
      </c>
      <c r="D3985" s="49" t="inlineStr">
        <is>
          <t>2</t>
        </is>
      </c>
      <c r="E3985" s="49" t="inlineStr"/>
      <c r="F3985" s="49" t="inlineStr"/>
    </row>
    <row r="3986" ht="13" customHeight="1">
      <c r="A3986" s="45" t="inlineStr">
        <is>
          <t>37619</t>
        </is>
      </c>
      <c r="B3986" s="45" t="inlineStr">
        <is>
          <t>9012</t>
        </is>
      </c>
      <c r="C3986" s="45" t="inlineStr">
        <is>
          <t>2×2×3×751</t>
        </is>
      </c>
      <c r="D3986" s="45" t="inlineStr">
        <is>
          <t>2·3</t>
        </is>
      </c>
      <c r="E3986" s="45" t="inlineStr"/>
      <c r="F3986" s="45" t="inlineStr"/>
    </row>
    <row r="3987" ht="13" customHeight="1">
      <c r="A3987" s="41" t="inlineStr">
        <is>
          <t>37633</t>
        </is>
      </c>
      <c r="B3987" s="41" t="inlineStr">
        <is>
          <t>16796</t>
        </is>
      </c>
      <c r="C3987" s="41" t="inlineStr">
        <is>
          <t>2×2×13×17×19</t>
        </is>
      </c>
      <c r="D3987" s="41" t="inlineStr">
        <is>
          <t>2·13·17·19</t>
        </is>
      </c>
      <c r="E3987" s="41" t="inlineStr"/>
      <c r="F3987" s="41" t="inlineStr"/>
    </row>
    <row r="3988" ht="13" customHeight="1">
      <c r="A3988" s="43" t="inlineStr">
        <is>
          <t>37643</t>
        </is>
      </c>
      <c r="B3988" s="43" t="inlineStr">
        <is>
          <t>37191</t>
        </is>
      </c>
      <c r="C3988" s="43" t="inlineStr">
        <is>
          <t>3×7×7×11×23</t>
        </is>
      </c>
      <c r="D3988" s="43" t="inlineStr">
        <is>
          <t>3·7·11</t>
        </is>
      </c>
      <c r="E3988" s="43" t="inlineStr"/>
      <c r="F3988" s="43" t="inlineStr"/>
    </row>
    <row r="3989" ht="13" customHeight="1">
      <c r="A3989" s="49" t="inlineStr">
        <is>
          <t>37649</t>
        </is>
      </c>
      <c r="B3989" s="49" t="inlineStr">
        <is>
          <t>25651</t>
        </is>
      </c>
      <c r="C3989" s="49" t="inlineStr">
        <is>
          <t>113×227</t>
        </is>
      </c>
      <c r="D3989" s="49" t="inlineStr">
        <is>
          <t>—</t>
        </is>
      </c>
      <c r="E3989" s="49" t="inlineStr"/>
      <c r="F3989" s="49" t="inlineStr"/>
    </row>
    <row r="3990" ht="13" customHeight="1">
      <c r="A3990" s="45" t="inlineStr">
        <is>
          <t>37657</t>
        </is>
      </c>
      <c r="B3990" s="45" t="inlineStr">
        <is>
          <t>5398</t>
        </is>
      </c>
      <c r="C3990" s="45" t="inlineStr">
        <is>
          <t>2×2699</t>
        </is>
      </c>
      <c r="D3990" s="45" t="inlineStr">
        <is>
          <t>2</t>
        </is>
      </c>
      <c r="E3990" s="45" t="inlineStr"/>
      <c r="F3990" s="45" t="inlineStr"/>
    </row>
    <row r="3991" ht="13" customHeight="1">
      <c r="A3991" s="49" t="inlineStr">
        <is>
          <t>37663</t>
        </is>
      </c>
      <c r="B3991" s="49" t="inlineStr">
        <is>
          <t>6095</t>
        </is>
      </c>
      <c r="C3991" s="49" t="inlineStr">
        <is>
          <t>5×23×53</t>
        </is>
      </c>
      <c r="D3991" s="49" t="inlineStr">
        <is>
          <t>5</t>
        </is>
      </c>
      <c r="E3991" s="49" t="inlineStr"/>
      <c r="F3991" s="49" t="inlineStr"/>
    </row>
    <row r="3992" ht="13" customHeight="1">
      <c r="A3992" s="45" t="inlineStr">
        <is>
          <t>37691</t>
        </is>
      </c>
      <c r="B3992" s="45" t="inlineStr">
        <is>
          <t>41640</t>
        </is>
      </c>
      <c r="C3992" s="45" t="inlineStr">
        <is>
          <t>2×2×2×3×5×347</t>
        </is>
      </c>
      <c r="D3992" s="45" t="inlineStr">
        <is>
          <t>2·3·5</t>
        </is>
      </c>
      <c r="E3992" s="45" t="inlineStr"/>
      <c r="F3992" s="45" t="inlineStr"/>
    </row>
    <row r="3993" ht="13" customHeight="1">
      <c r="A3993" s="41" t="inlineStr">
        <is>
          <t>37693</t>
        </is>
      </c>
      <c r="B3993" s="41" t="inlineStr">
        <is>
          <t>24622</t>
        </is>
      </c>
      <c r="C3993" s="41" t="inlineStr">
        <is>
          <t>2×13×947</t>
        </is>
      </c>
      <c r="D3993" s="41" t="inlineStr">
        <is>
          <t>2·13</t>
        </is>
      </c>
      <c r="E3993" s="41" t="inlineStr"/>
      <c r="F3993" s="41" t="inlineStr"/>
    </row>
    <row r="3994" ht="13" customHeight="1">
      <c r="A3994" s="41" t="inlineStr">
        <is>
          <t>37699</t>
        </is>
      </c>
      <c r="B3994" s="41" t="inlineStr">
        <is>
          <t>12818</t>
        </is>
      </c>
      <c r="C3994" s="41" t="inlineStr">
        <is>
          <t>2×13×17×29</t>
        </is>
      </c>
      <c r="D3994" s="41" t="inlineStr">
        <is>
          <t>2·13·17</t>
        </is>
      </c>
      <c r="E3994" s="41" t="inlineStr"/>
      <c r="F3994" s="41" t="inlineStr"/>
    </row>
    <row r="3995" ht="13" customHeight="1">
      <c r="A3995" s="43" t="inlineStr">
        <is>
          <t>37717</t>
        </is>
      </c>
      <c r="B3995" s="43" t="inlineStr">
        <is>
          <t>32615</t>
        </is>
      </c>
      <c r="C3995" s="43" t="inlineStr">
        <is>
          <t>5×11×593</t>
        </is>
      </c>
      <c r="D3995" s="43" t="inlineStr">
        <is>
          <t>5·11</t>
        </is>
      </c>
      <c r="E3995" s="43" t="inlineStr"/>
      <c r="F3995" s="43" t="inlineStr"/>
    </row>
    <row r="3996" ht="13" customHeight="1">
      <c r="A3996" s="45" t="inlineStr">
        <is>
          <t>37747</t>
        </is>
      </c>
      <c r="B3996" s="45" t="inlineStr">
        <is>
          <t>17161</t>
        </is>
      </c>
      <c r="C3996" s="45" t="inlineStr">
        <is>
          <t>131×131</t>
        </is>
      </c>
      <c r="D3996" s="45" t="inlineStr">
        <is>
          <t>—</t>
        </is>
      </c>
      <c r="E3996" s="45" t="inlineStr"/>
      <c r="F3996" s="45" t="inlineStr"/>
    </row>
    <row r="3997" ht="13" customHeight="1">
      <c r="A3997" s="49" t="inlineStr">
        <is>
          <t>37781</t>
        </is>
      </c>
      <c r="B3997" s="49" t="inlineStr">
        <is>
          <t>20546</t>
        </is>
      </c>
      <c r="C3997" s="49" t="inlineStr">
        <is>
          <t>2×10273</t>
        </is>
      </c>
      <c r="D3997" s="49" t="inlineStr">
        <is>
          <t>2</t>
        </is>
      </c>
      <c r="E3997" s="49" t="inlineStr"/>
      <c r="F3997" s="49" t="inlineStr"/>
    </row>
    <row r="3998" ht="13" customHeight="1">
      <c r="A3998" s="41" t="inlineStr">
        <is>
          <t>37783</t>
        </is>
      </c>
      <c r="B3998" s="41" t="inlineStr">
        <is>
          <t>15015</t>
        </is>
      </c>
      <c r="C3998" s="41" t="inlineStr">
        <is>
          <t>3×5×7×11×13</t>
        </is>
      </c>
      <c r="D3998" s="41" t="inlineStr">
        <is>
          <t>3·5·7·11·13</t>
        </is>
      </c>
      <c r="E3998" s="41" t="inlineStr"/>
      <c r="F3998" s="41" t="inlineStr"/>
    </row>
    <row r="3999" ht="13" customHeight="1">
      <c r="A3999" s="41" t="inlineStr">
        <is>
          <t>37799</t>
        </is>
      </c>
      <c r="B3999" s="41" t="inlineStr">
        <is>
          <t>22347</t>
        </is>
      </c>
      <c r="C3999" s="41" t="inlineStr">
        <is>
          <t>3×3×13×191</t>
        </is>
      </c>
      <c r="D3999" s="41" t="inlineStr">
        <is>
          <t>3·13</t>
        </is>
      </c>
      <c r="E3999" s="41" t="inlineStr"/>
      <c r="F3999" s="41" t="inlineStr"/>
    </row>
    <row r="4000" ht="13" customHeight="1">
      <c r="A4000" s="45" t="inlineStr">
        <is>
          <t>37811</t>
        </is>
      </c>
      <c r="B4000" s="45" t="inlineStr">
        <is>
          <t>15282</t>
        </is>
      </c>
      <c r="C4000" s="45" t="inlineStr">
        <is>
          <t>2×3×3×3×283</t>
        </is>
      </c>
      <c r="D4000" s="45" t="inlineStr">
        <is>
          <t>2·3</t>
        </is>
      </c>
      <c r="E4000" s="45" t="inlineStr"/>
      <c r="F4000" s="45" t="inlineStr"/>
    </row>
    <row r="4001" ht="13" customHeight="1">
      <c r="A4001" s="49" t="inlineStr">
        <is>
          <t>37813</t>
        </is>
      </c>
      <c r="B4001" s="49" t="inlineStr">
        <is>
          <t>42249</t>
        </is>
      </c>
      <c r="C4001" s="49" t="inlineStr">
        <is>
          <t>3×14083</t>
        </is>
      </c>
      <c r="D4001" s="49" t="inlineStr">
        <is>
          <t>3</t>
        </is>
      </c>
      <c r="E4001" s="49" t="inlineStr"/>
      <c r="F4001" s="49" t="inlineStr"/>
    </row>
    <row r="4002" ht="13" customHeight="1">
      <c r="A4002" s="45" t="inlineStr">
        <is>
          <t>37831</t>
        </is>
      </c>
      <c r="B4002" s="45" t="inlineStr">
        <is>
          <t>14819</t>
        </is>
      </c>
      <c r="C4002" s="45" t="inlineStr">
        <is>
          <t>7×29×73</t>
        </is>
      </c>
      <c r="D4002" s="45" t="inlineStr">
        <is>
          <t>7</t>
        </is>
      </c>
      <c r="E4002" s="45" t="inlineStr"/>
      <c r="F4002" s="45" t="inlineStr"/>
    </row>
    <row r="4003" ht="13" customHeight="1">
      <c r="A4003" s="49" t="inlineStr">
        <is>
          <t>37847</t>
        </is>
      </c>
      <c r="B4003" s="49" t="inlineStr">
        <is>
          <t>6950</t>
        </is>
      </c>
      <c r="C4003" s="49" t="inlineStr">
        <is>
          <t>2×5×5×139</t>
        </is>
      </c>
      <c r="D4003" s="49" t="inlineStr">
        <is>
          <t>2·5</t>
        </is>
      </c>
      <c r="E4003" s="49" t="inlineStr"/>
      <c r="F4003" s="49" t="inlineStr"/>
    </row>
    <row r="4004" ht="13" customHeight="1">
      <c r="A4004" s="45" t="inlineStr">
        <is>
          <t>37853</t>
        </is>
      </c>
      <c r="B4004" s="45" t="inlineStr">
        <is>
          <t>23151</t>
        </is>
      </c>
      <c r="C4004" s="45" t="inlineStr">
        <is>
          <t>3×7717</t>
        </is>
      </c>
      <c r="D4004" s="45" t="inlineStr">
        <is>
          <t>3</t>
        </is>
      </c>
      <c r="E4004" s="45" t="inlineStr"/>
      <c r="F4004" s="45" t="inlineStr"/>
    </row>
    <row r="4005" ht="13" customHeight="1">
      <c r="A4005" s="50" t="inlineStr">
        <is>
          <t>37861</t>
        </is>
      </c>
      <c r="B4005" s="50" t="inlineStr">
        <is>
          <t>14221</t>
        </is>
      </c>
      <c r="C4005" s="50" t="inlineStr">
        <is>
          <t>14221</t>
        </is>
      </c>
      <c r="D4005" s="50" t="inlineStr">
        <is>
          <t>—</t>
        </is>
      </c>
      <c r="E4005" s="50" t="inlineStr"/>
      <c r="F4005" s="50" t="inlineStr"/>
    </row>
    <row r="4006" ht="13" customHeight="1">
      <c r="A4006" s="41" t="inlineStr">
        <is>
          <t>37871</t>
        </is>
      </c>
      <c r="B4006" s="41" t="inlineStr">
        <is>
          <t>13455</t>
        </is>
      </c>
      <c r="C4006" s="41" t="inlineStr">
        <is>
          <t>3×3×5×13×23</t>
        </is>
      </c>
      <c r="D4006" s="41" t="inlineStr">
        <is>
          <t>3·5·13</t>
        </is>
      </c>
      <c r="E4006" s="41" t="inlineStr"/>
      <c r="F4006" s="41" t="inlineStr"/>
    </row>
    <row r="4007" ht="13" customHeight="1">
      <c r="A4007" s="49" t="inlineStr">
        <is>
          <t>37879</t>
        </is>
      </c>
      <c r="B4007" s="49" t="inlineStr">
        <is>
          <t>35652</t>
        </is>
      </c>
      <c r="C4007" s="49" t="inlineStr">
        <is>
          <t>2×2×3×2971</t>
        </is>
      </c>
      <c r="D4007" s="49" t="inlineStr">
        <is>
          <t>2·3</t>
        </is>
      </c>
      <c r="E4007" s="49" t="inlineStr"/>
      <c r="F4007" s="49" t="inlineStr"/>
    </row>
    <row r="4008" ht="13" customHeight="1">
      <c r="A4008" s="45" t="inlineStr">
        <is>
          <t>37889</t>
        </is>
      </c>
      <c r="B4008" s="45" t="inlineStr">
        <is>
          <t>24876</t>
        </is>
      </c>
      <c r="C4008" s="45" t="inlineStr">
        <is>
          <t>2×2×3×3×691</t>
        </is>
      </c>
      <c r="D4008" s="45" t="inlineStr">
        <is>
          <t>2·3</t>
        </is>
      </c>
      <c r="E4008" s="45" t="inlineStr"/>
      <c r="F4008" s="45" t="inlineStr"/>
    </row>
    <row r="4009" ht="13" customHeight="1">
      <c r="A4009" s="49" t="inlineStr">
        <is>
          <t>37897</t>
        </is>
      </c>
      <c r="B4009" s="49" t="inlineStr">
        <is>
          <t>23726</t>
        </is>
      </c>
      <c r="C4009" s="49" t="inlineStr">
        <is>
          <t>2×11863</t>
        </is>
      </c>
      <c r="D4009" s="49" t="inlineStr">
        <is>
          <t>2</t>
        </is>
      </c>
      <c r="E4009" s="49" t="inlineStr"/>
      <c r="F4009" s="49" t="inlineStr"/>
    </row>
    <row r="4010" ht="13" customHeight="1">
      <c r="A4010" s="41" t="inlineStr">
        <is>
          <t>37907</t>
        </is>
      </c>
      <c r="B4010" s="41" t="inlineStr">
        <is>
          <t>4420</t>
        </is>
      </c>
      <c r="C4010" s="41" t="inlineStr">
        <is>
          <t>2×2×5×13×17</t>
        </is>
      </c>
      <c r="D4010" s="41" t="inlineStr">
        <is>
          <t>2·5·13·17</t>
        </is>
      </c>
      <c r="E4010" s="41" t="inlineStr"/>
      <c r="F4010" s="41" t="inlineStr"/>
    </row>
    <row r="4011" ht="13" customHeight="1">
      <c r="A4011" s="49" t="inlineStr">
        <is>
          <t>37951</t>
        </is>
      </c>
      <c r="B4011" s="49" t="inlineStr">
        <is>
          <t>41207</t>
        </is>
      </c>
      <c r="C4011" s="49" t="inlineStr">
        <is>
          <t>89×463</t>
        </is>
      </c>
      <c r="D4011" s="49" t="inlineStr">
        <is>
          <t>—</t>
        </is>
      </c>
      <c r="E4011" s="49" t="inlineStr"/>
      <c r="F4011" s="49" t="inlineStr"/>
    </row>
    <row r="4012" ht="13" customHeight="1">
      <c r="A4012" s="45" t="inlineStr">
        <is>
          <t>37957</t>
        </is>
      </c>
      <c r="B4012" s="45" t="inlineStr">
        <is>
          <t>31080</t>
        </is>
      </c>
      <c r="C4012" s="45" t="inlineStr">
        <is>
          <t>2×2×2×3×5×7×37</t>
        </is>
      </c>
      <c r="D4012" s="45" t="inlineStr">
        <is>
          <t>2·3·5·7</t>
        </is>
      </c>
      <c r="E4012" s="45" t="inlineStr"/>
      <c r="F4012" s="45" t="inlineStr"/>
    </row>
    <row r="4013" ht="13" customHeight="1">
      <c r="A4013" s="49" t="inlineStr">
        <is>
          <t>37963</t>
        </is>
      </c>
      <c r="B4013" s="49" t="inlineStr">
        <is>
          <t>5968</t>
        </is>
      </c>
      <c r="C4013" s="49" t="inlineStr">
        <is>
          <t>2×2×2×2×373</t>
        </is>
      </c>
      <c r="D4013" s="49" t="inlineStr">
        <is>
          <t>2</t>
        </is>
      </c>
      <c r="E4013" s="49" t="inlineStr"/>
      <c r="F4013" s="49" t="inlineStr"/>
    </row>
    <row r="4014" ht="13" customHeight="1">
      <c r="A4014" s="45" t="inlineStr">
        <is>
          <t>37967</t>
        </is>
      </c>
      <c r="B4014" s="45" t="inlineStr">
        <is>
          <t>30304</t>
        </is>
      </c>
      <c r="C4014" s="45" t="inlineStr">
        <is>
          <t>2×2×2×2×2×947</t>
        </is>
      </c>
      <c r="D4014" s="45" t="inlineStr">
        <is>
          <t>2</t>
        </is>
      </c>
      <c r="E4014" s="45" t="inlineStr"/>
      <c r="F4014" s="45" t="inlineStr"/>
    </row>
    <row r="4015" ht="13" customHeight="1">
      <c r="A4015" s="41" t="inlineStr">
        <is>
          <t>37987</t>
        </is>
      </c>
      <c r="B4015" s="41" t="inlineStr">
        <is>
          <t>41803</t>
        </is>
      </c>
      <c r="C4015" s="41" t="inlineStr">
        <is>
          <t>17×2459</t>
        </is>
      </c>
      <c r="D4015" s="41" t="inlineStr">
        <is>
          <t>17</t>
        </is>
      </c>
      <c r="E4015" s="41" t="inlineStr"/>
      <c r="F4015" s="41" t="inlineStr"/>
    </row>
    <row r="4016" ht="13" customHeight="1">
      <c r="A4016" s="45" t="inlineStr">
        <is>
          <t>37991</t>
        </is>
      </c>
      <c r="B4016" s="45" t="inlineStr">
        <is>
          <t>22949</t>
        </is>
      </c>
      <c r="C4016" s="45" t="inlineStr">
        <is>
          <t>53×433</t>
        </is>
      </c>
      <c r="D4016" s="45" t="inlineStr">
        <is>
          <t>—</t>
        </is>
      </c>
      <c r="E4016" s="45" t="inlineStr"/>
      <c r="F4016" s="45" t="inlineStr"/>
    </row>
    <row r="4017" ht="13" customHeight="1">
      <c r="A4017" s="50" t="inlineStr">
        <is>
          <t>37993</t>
        </is>
      </c>
      <c r="B4017" s="50" t="inlineStr">
        <is>
          <t>30047</t>
        </is>
      </c>
      <c r="C4017" s="50" t="inlineStr">
        <is>
          <t>30047</t>
        </is>
      </c>
      <c r="D4017" s="50" t="inlineStr">
        <is>
          <t>—</t>
        </is>
      </c>
      <c r="E4017" s="50" t="inlineStr"/>
      <c r="F4017" s="50" t="inlineStr"/>
    </row>
    <row r="4018" ht="13" customHeight="1">
      <c r="A4018" s="50" t="inlineStr">
        <is>
          <t>37997</t>
        </is>
      </c>
      <c r="B4018" s="50" t="inlineStr">
        <is>
          <t>12911</t>
        </is>
      </c>
      <c r="C4018" s="50" t="inlineStr">
        <is>
          <t>12911</t>
        </is>
      </c>
      <c r="D4018" s="50" t="inlineStr">
        <is>
          <t>—</t>
        </is>
      </c>
      <c r="E4018" s="50" t="inlineStr"/>
      <c r="F4018" s="50" t="inlineStr"/>
    </row>
    <row r="4019" ht="13" customHeight="1">
      <c r="A4019" s="51" t="inlineStr">
        <is>
          <t>38011</t>
        </is>
      </c>
      <c r="B4019" s="51" t="inlineStr">
        <is>
          <t>41401</t>
        </is>
      </c>
      <c r="C4019" s="51" t="inlineStr">
        <is>
          <t>19×2179</t>
        </is>
      </c>
      <c r="D4019" s="51" t="inlineStr">
        <is>
          <t>19</t>
        </is>
      </c>
      <c r="E4019" s="51" t="inlineStr"/>
      <c r="F4019" s="51" t="inlineStr"/>
    </row>
    <row r="4020" ht="13" customHeight="1">
      <c r="A4020" s="51" t="inlineStr">
        <is>
          <t>38039</t>
        </is>
      </c>
      <c r="B4020" s="51" t="inlineStr">
        <is>
          <t>4826</t>
        </is>
      </c>
      <c r="C4020" s="51" t="inlineStr">
        <is>
          <t>2×19×127</t>
        </is>
      </c>
      <c r="D4020" s="51" t="inlineStr">
        <is>
          <t>2·19</t>
        </is>
      </c>
      <c r="E4020" s="51" t="inlineStr"/>
      <c r="F4020" s="51" t="inlineStr"/>
    </row>
    <row r="4021" ht="13" customHeight="1">
      <c r="A4021" s="41" t="inlineStr">
        <is>
          <t>38047</t>
        </is>
      </c>
      <c r="B4021" s="41" t="inlineStr">
        <is>
          <t>2703</t>
        </is>
      </c>
      <c r="C4021" s="41" t="inlineStr">
        <is>
          <t>3×17×53</t>
        </is>
      </c>
      <c r="D4021" s="41" t="inlineStr">
        <is>
          <t>3·17</t>
        </is>
      </c>
      <c r="E4021" s="41" t="inlineStr"/>
      <c r="F4021" s="41" t="inlineStr"/>
    </row>
    <row r="4022" ht="13" customHeight="1">
      <c r="A4022" s="50" t="inlineStr">
        <is>
          <t>38053</t>
        </is>
      </c>
      <c r="B4022" s="50" t="inlineStr">
        <is>
          <t>7297</t>
        </is>
      </c>
      <c r="C4022" s="50" t="inlineStr">
        <is>
          <t>7297</t>
        </is>
      </c>
      <c r="D4022" s="50" t="inlineStr">
        <is>
          <t>—</t>
        </is>
      </c>
      <c r="E4022" s="50" t="inlineStr"/>
      <c r="F4022" s="50" t="inlineStr"/>
    </row>
    <row r="4023" ht="13" customHeight="1">
      <c r="A4023" s="41" t="inlineStr">
        <is>
          <t>38069</t>
        </is>
      </c>
      <c r="B4023" s="41" t="inlineStr">
        <is>
          <t>26286</t>
        </is>
      </c>
      <c r="C4023" s="41" t="inlineStr">
        <is>
          <t>2×3×13×337</t>
        </is>
      </c>
      <c r="D4023" s="41" t="inlineStr">
        <is>
          <t>2·3·13</t>
        </is>
      </c>
      <c r="E4023" s="41" t="inlineStr"/>
      <c r="F4023" s="41" t="inlineStr"/>
    </row>
    <row r="4024" ht="13" customHeight="1">
      <c r="A4024" s="45" t="inlineStr">
        <is>
          <t>38083</t>
        </is>
      </c>
      <c r="B4024" s="45" t="inlineStr">
        <is>
          <t>7148</t>
        </is>
      </c>
      <c r="C4024" s="45" t="inlineStr">
        <is>
          <t>2×2×1787</t>
        </is>
      </c>
      <c r="D4024" s="45" t="inlineStr">
        <is>
          <t>2</t>
        </is>
      </c>
      <c r="E4024" s="45" t="inlineStr"/>
      <c r="F4024" s="45" t="inlineStr"/>
    </row>
    <row r="4025" ht="13" customHeight="1">
      <c r="A4025" s="49" t="inlineStr">
        <is>
          <t>38113</t>
        </is>
      </c>
      <c r="B4025" s="49" t="inlineStr">
        <is>
          <t>28601</t>
        </is>
      </c>
      <c r="C4025" s="49" t="inlineStr">
        <is>
          <t>37×773</t>
        </is>
      </c>
      <c r="D4025" s="49" t="inlineStr">
        <is>
          <t>—</t>
        </is>
      </c>
      <c r="E4025" s="49" t="inlineStr"/>
      <c r="F4025" s="49" t="inlineStr"/>
    </row>
    <row r="4026" ht="13" customHeight="1">
      <c r="A4026" s="45" t="inlineStr">
        <is>
          <t>38119</t>
        </is>
      </c>
      <c r="B4026" s="45" t="inlineStr">
        <is>
          <t>35336</t>
        </is>
      </c>
      <c r="C4026" s="45" t="inlineStr">
        <is>
          <t>2×2×2×7×631</t>
        </is>
      </c>
      <c r="D4026" s="45" t="inlineStr">
        <is>
          <t>2·7</t>
        </is>
      </c>
      <c r="E4026" s="45" t="inlineStr"/>
      <c r="F4026" s="45" t="inlineStr"/>
    </row>
    <row r="4027" ht="13" customHeight="1">
      <c r="A4027" s="41" t="inlineStr">
        <is>
          <t>38149</t>
        </is>
      </c>
      <c r="B4027" s="41" t="inlineStr">
        <is>
          <t>1870</t>
        </is>
      </c>
      <c r="C4027" s="41" t="inlineStr">
        <is>
          <t>2×5×11×17</t>
        </is>
      </c>
      <c r="D4027" s="41" t="inlineStr">
        <is>
          <t>2·5·11·17</t>
        </is>
      </c>
      <c r="E4027" s="41" t="inlineStr"/>
      <c r="F4027" s="41" t="inlineStr"/>
    </row>
    <row r="4028" ht="13" customHeight="1">
      <c r="A4028" s="50" t="inlineStr">
        <is>
          <t>38153</t>
        </is>
      </c>
      <c r="B4028" s="50" t="inlineStr">
        <is>
          <t>30559</t>
        </is>
      </c>
      <c r="C4028" s="50" t="inlineStr">
        <is>
          <t>30559</t>
        </is>
      </c>
      <c r="D4028" s="50" t="inlineStr">
        <is>
          <t>—</t>
        </is>
      </c>
      <c r="E4028" s="50" t="inlineStr"/>
      <c r="F4028" s="50" t="inlineStr"/>
    </row>
    <row r="4029" ht="13" customHeight="1">
      <c r="A4029" s="49" t="inlineStr">
        <is>
          <t>38167</t>
        </is>
      </c>
      <c r="B4029" s="49" t="inlineStr">
        <is>
          <t>12014</t>
        </is>
      </c>
      <c r="C4029" s="49" t="inlineStr">
        <is>
          <t>2×6007</t>
        </is>
      </c>
      <c r="D4029" s="49" t="inlineStr">
        <is>
          <t>2</t>
        </is>
      </c>
      <c r="E4029" s="49" t="inlineStr"/>
      <c r="F4029" s="49" t="inlineStr"/>
    </row>
    <row r="4030" ht="13" customHeight="1">
      <c r="A4030" s="45" t="inlineStr">
        <is>
          <t>38177</t>
        </is>
      </c>
      <c r="B4030" s="45" t="inlineStr">
        <is>
          <t>31149</t>
        </is>
      </c>
      <c r="C4030" s="45" t="inlineStr">
        <is>
          <t>3×3×3461</t>
        </is>
      </c>
      <c r="D4030" s="45" t="inlineStr">
        <is>
          <t>3</t>
        </is>
      </c>
      <c r="E4030" s="45" t="inlineStr"/>
      <c r="F4030" s="45" t="inlineStr"/>
    </row>
    <row r="4031" ht="13" customHeight="1">
      <c r="A4031" s="49" t="inlineStr">
        <is>
          <t>38183</t>
        </is>
      </c>
      <c r="B4031" s="49" t="inlineStr">
        <is>
          <t>33984</t>
        </is>
      </c>
      <c r="C4031" s="49" t="inlineStr">
        <is>
          <t>2×2×2×2×2×2×3×3×59</t>
        </is>
      </c>
      <c r="D4031" s="49" t="inlineStr">
        <is>
          <t>2·3</t>
        </is>
      </c>
      <c r="E4031" s="49" t="inlineStr"/>
      <c r="F4031" s="49" t="inlineStr"/>
    </row>
    <row r="4032" ht="13" customHeight="1">
      <c r="A4032" s="45" t="inlineStr">
        <is>
          <t>38189</t>
        </is>
      </c>
      <c r="B4032" s="45" t="inlineStr">
        <is>
          <t>5745</t>
        </is>
      </c>
      <c r="C4032" s="45" t="inlineStr">
        <is>
          <t>3×5×383</t>
        </is>
      </c>
      <c r="D4032" s="45" t="inlineStr">
        <is>
          <t>3·5</t>
        </is>
      </c>
      <c r="E4032" s="45" t="inlineStr"/>
      <c r="F4032" s="45" t="inlineStr"/>
    </row>
    <row r="4033" ht="13" customHeight="1">
      <c r="A4033" s="49" t="inlineStr">
        <is>
          <t>38197</t>
        </is>
      </c>
      <c r="B4033" s="49" t="inlineStr">
        <is>
          <t>12591</t>
        </is>
      </c>
      <c r="C4033" s="49" t="inlineStr">
        <is>
          <t>3×3×1399</t>
        </is>
      </c>
      <c r="D4033" s="49" t="inlineStr">
        <is>
          <t>3</t>
        </is>
      </c>
      <c r="E4033" s="49" t="inlineStr"/>
      <c r="F4033" s="49" t="inlineStr"/>
    </row>
    <row r="4034" ht="13" customHeight="1">
      <c r="A4034" s="45" t="inlineStr">
        <is>
          <t>38201</t>
        </is>
      </c>
      <c r="B4034" s="45" t="inlineStr">
        <is>
          <t>15395</t>
        </is>
      </c>
      <c r="C4034" s="45" t="inlineStr">
        <is>
          <t>5×3079</t>
        </is>
      </c>
      <c r="D4034" s="45" t="inlineStr">
        <is>
          <t>5</t>
        </is>
      </c>
      <c r="E4034" s="45" t="inlineStr"/>
      <c r="F4034" s="45" t="inlineStr"/>
    </row>
    <row r="4035" ht="13" customHeight="1">
      <c r="A4035" s="49" t="inlineStr">
        <is>
          <t>38219</t>
        </is>
      </c>
      <c r="B4035" s="49" t="inlineStr">
        <is>
          <t>15452</t>
        </is>
      </c>
      <c r="C4035" s="49" t="inlineStr">
        <is>
          <t>2×2×3863</t>
        </is>
      </c>
      <c r="D4035" s="49" t="inlineStr">
        <is>
          <t>2</t>
        </is>
      </c>
      <c r="E4035" s="49" t="inlineStr"/>
      <c r="F4035" s="49" t="inlineStr"/>
    </row>
    <row r="4036" ht="13" customHeight="1">
      <c r="A4036" s="45" t="inlineStr">
        <is>
          <t>38231</t>
        </is>
      </c>
      <c r="B4036" s="45" t="inlineStr">
        <is>
          <t>27099</t>
        </is>
      </c>
      <c r="C4036" s="45" t="inlineStr">
        <is>
          <t>3×3×3011</t>
        </is>
      </c>
      <c r="D4036" s="45" t="inlineStr">
        <is>
          <t>3</t>
        </is>
      </c>
      <c r="E4036" s="45" t="inlineStr"/>
      <c r="F4036" s="45" t="inlineStr"/>
    </row>
    <row r="4037" ht="13" customHeight="1">
      <c r="A4037" s="49" t="inlineStr">
        <is>
          <t>38237</t>
        </is>
      </c>
      <c r="B4037" s="49" t="inlineStr">
        <is>
          <t>29466</t>
        </is>
      </c>
      <c r="C4037" s="49" t="inlineStr">
        <is>
          <t>2×3×3×1637</t>
        </is>
      </c>
      <c r="D4037" s="49" t="inlineStr">
        <is>
          <t>2·3</t>
        </is>
      </c>
      <c r="E4037" s="49" t="inlineStr"/>
      <c r="F4037" s="49" t="inlineStr"/>
    </row>
    <row r="4038" ht="13" customHeight="1">
      <c r="A4038" s="41" t="inlineStr">
        <is>
          <t>38239</t>
        </is>
      </c>
      <c r="B4038" s="41" t="inlineStr">
        <is>
          <t>39572</t>
        </is>
      </c>
      <c r="C4038" s="41" t="inlineStr">
        <is>
          <t>2×2×13×761</t>
        </is>
      </c>
      <c r="D4038" s="41" t="inlineStr">
        <is>
          <t>2·13</t>
        </is>
      </c>
      <c r="E4038" s="41" t="inlineStr"/>
      <c r="F4038" s="41" t="inlineStr"/>
    </row>
    <row r="4039" ht="13" customHeight="1">
      <c r="A4039" s="43" t="inlineStr">
        <is>
          <t>38261</t>
        </is>
      </c>
      <c r="B4039" s="43" t="inlineStr">
        <is>
          <t>5632</t>
        </is>
      </c>
      <c r="C4039" s="43" t="inlineStr">
        <is>
          <t>2×2×2×2×2×2×2×2×2×11</t>
        </is>
      </c>
      <c r="D4039" s="43" t="inlineStr">
        <is>
          <t>2·11</t>
        </is>
      </c>
      <c r="E4039" s="43" t="inlineStr"/>
      <c r="F4039" s="43" t="inlineStr"/>
    </row>
    <row r="4040" ht="13" customHeight="1">
      <c r="A4040" s="43" t="inlineStr">
        <is>
          <t>38273</t>
        </is>
      </c>
      <c r="B4040" s="43" t="inlineStr">
        <is>
          <t>39292</t>
        </is>
      </c>
      <c r="C4040" s="43" t="inlineStr">
        <is>
          <t>2×2×11×19×47</t>
        </is>
      </c>
      <c r="D4040" s="43" t="inlineStr">
        <is>
          <t>2·11·19</t>
        </is>
      </c>
      <c r="E4040" s="43" t="inlineStr"/>
      <c r="F4040" s="43" t="inlineStr"/>
    </row>
    <row r="4041" ht="13" customHeight="1">
      <c r="A4041" s="50" t="inlineStr">
        <is>
          <t>38281</t>
        </is>
      </c>
      <c r="B4041" s="50" t="inlineStr">
        <is>
          <t>36809</t>
        </is>
      </c>
      <c r="C4041" s="50" t="inlineStr">
        <is>
          <t>36809</t>
        </is>
      </c>
      <c r="D4041" s="50" t="inlineStr">
        <is>
          <t>—</t>
        </is>
      </c>
      <c r="E4041" s="50" t="inlineStr"/>
      <c r="F4041" s="50" t="inlineStr"/>
    </row>
    <row r="4042" ht="13" customHeight="1">
      <c r="A4042" s="45" t="inlineStr">
        <is>
          <t>38287</t>
        </is>
      </c>
      <c r="B4042" s="45" t="inlineStr">
        <is>
          <t>42272</t>
        </is>
      </c>
      <c r="C4042" s="45" t="inlineStr">
        <is>
          <t>2×2×2×2×2×1321</t>
        </is>
      </c>
      <c r="D4042" s="45" t="inlineStr">
        <is>
          <t>2</t>
        </is>
      </c>
      <c r="E4042" s="45" t="inlineStr"/>
      <c r="F4042" s="45" t="inlineStr"/>
    </row>
    <row r="4043" ht="13" customHeight="1">
      <c r="A4043" s="41" t="inlineStr">
        <is>
          <t>38299</t>
        </is>
      </c>
      <c r="B4043" s="41" t="inlineStr">
        <is>
          <t>2184</t>
        </is>
      </c>
      <c r="C4043" s="41" t="inlineStr">
        <is>
          <t>2×2×2×3×7×13</t>
        </is>
      </c>
      <c r="D4043" s="41" t="inlineStr">
        <is>
          <t>2·3·7·13</t>
        </is>
      </c>
      <c r="E4043" s="41" t="inlineStr"/>
      <c r="F4043" s="41" t="inlineStr"/>
    </row>
    <row r="4044" ht="13" customHeight="1">
      <c r="A4044" s="50" t="inlineStr">
        <is>
          <t>38303</t>
        </is>
      </c>
      <c r="B4044" s="50" t="inlineStr">
        <is>
          <t>1193</t>
        </is>
      </c>
      <c r="C4044" s="50" t="inlineStr">
        <is>
          <t>1193</t>
        </is>
      </c>
      <c r="D4044" s="50" t="inlineStr">
        <is>
          <t>—</t>
        </is>
      </c>
      <c r="E4044" s="50" t="inlineStr"/>
      <c r="F4044" s="50" t="inlineStr"/>
    </row>
    <row r="4045" ht="13" customHeight="1">
      <c r="A4045" s="49" t="inlineStr">
        <is>
          <t>38317</t>
        </is>
      </c>
      <c r="B4045" s="49" t="inlineStr">
        <is>
          <t>43566</t>
        </is>
      </c>
      <c r="C4045" s="49" t="inlineStr">
        <is>
          <t>2×3×53×137</t>
        </is>
      </c>
      <c r="D4045" s="49" t="inlineStr">
        <is>
          <t>2·3</t>
        </is>
      </c>
      <c r="E4045" s="49" t="inlineStr"/>
      <c r="F4045" s="49" t="inlineStr"/>
    </row>
    <row r="4046" ht="13" customHeight="1">
      <c r="A4046" s="45" t="inlineStr">
        <is>
          <t>38321</t>
        </is>
      </c>
      <c r="B4046" s="45" t="inlineStr">
        <is>
          <t>29892</t>
        </is>
      </c>
      <c r="C4046" s="45" t="inlineStr">
        <is>
          <t>2×2×3×47×53</t>
        </is>
      </c>
      <c r="D4046" s="45" t="inlineStr">
        <is>
          <t>2·3</t>
        </is>
      </c>
      <c r="E4046" s="45" t="inlineStr"/>
      <c r="F4046" s="45" t="inlineStr"/>
    </row>
    <row r="4047" ht="13" customHeight="1">
      <c r="A4047" s="49" t="inlineStr">
        <is>
          <t>38327</t>
        </is>
      </c>
      <c r="B4047" s="49" t="inlineStr">
        <is>
          <t>40211</t>
        </is>
      </c>
      <c r="C4047" s="49" t="inlineStr">
        <is>
          <t>79×509</t>
        </is>
      </c>
      <c r="D4047" s="49" t="inlineStr">
        <is>
          <t>—</t>
        </is>
      </c>
      <c r="E4047" s="49" t="inlineStr"/>
      <c r="F4047" s="49" t="inlineStr"/>
    </row>
    <row r="4048" ht="13" customHeight="1">
      <c r="A4048" s="45" t="inlineStr">
        <is>
          <t>38329</t>
        </is>
      </c>
      <c r="B4048" s="45" t="inlineStr">
        <is>
          <t>32860</t>
        </is>
      </c>
      <c r="C4048" s="45" t="inlineStr">
        <is>
          <t>2×2×5×31×53</t>
        </is>
      </c>
      <c r="D4048" s="45" t="inlineStr">
        <is>
          <t>2·5</t>
        </is>
      </c>
      <c r="E4048" s="45" t="inlineStr"/>
      <c r="F4048" s="45" t="inlineStr"/>
    </row>
    <row r="4049" ht="13" customHeight="1">
      <c r="A4049" s="43" t="inlineStr">
        <is>
          <t>38333</t>
        </is>
      </c>
      <c r="B4049" s="43" t="inlineStr">
        <is>
          <t>99</t>
        </is>
      </c>
      <c r="C4049" s="43" t="inlineStr">
        <is>
          <t>3×3×11</t>
        </is>
      </c>
      <c r="D4049" s="43" t="inlineStr">
        <is>
          <t>3·11</t>
        </is>
      </c>
      <c r="E4049" s="43" t="inlineStr"/>
      <c r="F4049" s="43" t="inlineStr"/>
    </row>
    <row r="4050" ht="13" customHeight="1">
      <c r="A4050" s="45" t="inlineStr">
        <is>
          <t>38351</t>
        </is>
      </c>
      <c r="B4050" s="45" t="inlineStr">
        <is>
          <t>12810</t>
        </is>
      </c>
      <c r="C4050" s="45" t="inlineStr">
        <is>
          <t>2×3×5×7×61</t>
        </is>
      </c>
      <c r="D4050" s="45" t="inlineStr">
        <is>
          <t>2·3·5·7</t>
        </is>
      </c>
      <c r="E4050" s="45" t="inlineStr"/>
      <c r="F4050" s="45" t="inlineStr"/>
    </row>
    <row r="4051" ht="13" customHeight="1">
      <c r="A4051" s="49" t="inlineStr">
        <is>
          <t>38371</t>
        </is>
      </c>
      <c r="B4051" s="49" t="inlineStr">
        <is>
          <t>23922</t>
        </is>
      </c>
      <c r="C4051" s="49" t="inlineStr">
        <is>
          <t>2×3×3×3×443</t>
        </is>
      </c>
      <c r="D4051" s="49" t="inlineStr">
        <is>
          <t>2·3</t>
        </is>
      </c>
      <c r="E4051" s="49" t="inlineStr"/>
      <c r="F4051" s="49" t="inlineStr"/>
    </row>
    <row r="4052" ht="13" customHeight="1">
      <c r="A4052" s="45" t="inlineStr">
        <is>
          <t>38377</t>
        </is>
      </c>
      <c r="B4052" s="45" t="inlineStr">
        <is>
          <t>22487</t>
        </is>
      </c>
      <c r="C4052" s="45" t="inlineStr">
        <is>
          <t>113×199</t>
        </is>
      </c>
      <c r="D4052" s="45" t="inlineStr">
        <is>
          <t>—</t>
        </is>
      </c>
      <c r="E4052" s="45" t="inlineStr"/>
      <c r="F4052" s="45" t="inlineStr"/>
    </row>
    <row r="4053" ht="13" customHeight="1">
      <c r="A4053" s="43" t="inlineStr">
        <is>
          <t>38393</t>
        </is>
      </c>
      <c r="B4053" s="43" t="inlineStr">
        <is>
          <t>18865</t>
        </is>
      </c>
      <c r="C4053" s="43" t="inlineStr">
        <is>
          <t>5×7×7×7×11</t>
        </is>
      </c>
      <c r="D4053" s="43" t="inlineStr">
        <is>
          <t>5·7·11</t>
        </is>
      </c>
      <c r="E4053" s="43" t="inlineStr"/>
      <c r="F4053" s="43" t="inlineStr"/>
    </row>
    <row r="4054" ht="13" customHeight="1">
      <c r="A4054" s="45" t="inlineStr">
        <is>
          <t>38431</t>
        </is>
      </c>
      <c r="B4054" s="45" t="inlineStr">
        <is>
          <t>40873</t>
        </is>
      </c>
      <c r="C4054" s="45" t="inlineStr">
        <is>
          <t>7×5839</t>
        </is>
      </c>
      <c r="D4054" s="45" t="inlineStr">
        <is>
          <t>7</t>
        </is>
      </c>
      <c r="E4054" s="45" t="inlineStr"/>
      <c r="F4054" s="45" t="inlineStr"/>
    </row>
    <row r="4055" ht="13" customHeight="1">
      <c r="A4055" s="50" t="inlineStr">
        <is>
          <t>38447</t>
        </is>
      </c>
      <c r="B4055" s="50" t="inlineStr">
        <is>
          <t>27191</t>
        </is>
      </c>
      <c r="C4055" s="50" t="inlineStr">
        <is>
          <t>27191</t>
        </is>
      </c>
      <c r="D4055" s="50" t="inlineStr">
        <is>
          <t>—</t>
        </is>
      </c>
      <c r="E4055" s="50" t="inlineStr"/>
      <c r="F4055" s="50" t="inlineStr"/>
    </row>
    <row r="4056" ht="13" customHeight="1">
      <c r="A4056" s="43" t="inlineStr">
        <is>
          <t>38449</t>
        </is>
      </c>
      <c r="B4056" s="43" t="inlineStr">
        <is>
          <t>11143</t>
        </is>
      </c>
      <c r="C4056" s="43" t="inlineStr">
        <is>
          <t>11×1013</t>
        </is>
      </c>
      <c r="D4056" s="43" t="inlineStr">
        <is>
          <t>11</t>
        </is>
      </c>
      <c r="E4056" s="43" t="inlineStr"/>
      <c r="F4056" s="43" t="inlineStr"/>
    </row>
    <row r="4057" ht="13" customHeight="1">
      <c r="A4057" s="49" t="inlineStr">
        <is>
          <t>38453</t>
        </is>
      </c>
      <c r="B4057" s="49" t="inlineStr">
        <is>
          <t>33818</t>
        </is>
      </c>
      <c r="C4057" s="49" t="inlineStr">
        <is>
          <t>2×37×457</t>
        </is>
      </c>
      <c r="D4057" s="49" t="inlineStr">
        <is>
          <t>2</t>
        </is>
      </c>
      <c r="E4057" s="49" t="inlineStr"/>
      <c r="F4057" s="49" t="inlineStr"/>
    </row>
    <row r="4058" ht="13" customHeight="1">
      <c r="A4058" s="50" t="inlineStr">
        <is>
          <t>38459</t>
        </is>
      </c>
      <c r="B4058" s="50" t="inlineStr">
        <is>
          <t>38791</t>
        </is>
      </c>
      <c r="C4058" s="50" t="inlineStr">
        <is>
          <t>38791</t>
        </is>
      </c>
      <c r="D4058" s="50" t="inlineStr">
        <is>
          <t>—</t>
        </is>
      </c>
      <c r="E4058" s="50" t="inlineStr"/>
      <c r="F4058" s="50" t="inlineStr"/>
    </row>
    <row r="4059" ht="13" customHeight="1">
      <c r="A4059" s="41" t="inlineStr">
        <is>
          <t>38461</t>
        </is>
      </c>
      <c r="B4059" s="41" t="inlineStr">
        <is>
          <t>36322</t>
        </is>
      </c>
      <c r="C4059" s="41" t="inlineStr">
        <is>
          <t>2×11×13×127</t>
        </is>
      </c>
      <c r="D4059" s="41" t="inlineStr">
        <is>
          <t>2·11·13</t>
        </is>
      </c>
      <c r="E4059" s="41" t="inlineStr"/>
      <c r="F4059" s="41" t="inlineStr"/>
    </row>
    <row r="4060" ht="13" customHeight="1">
      <c r="A4060" s="45" t="inlineStr">
        <is>
          <t>38501</t>
        </is>
      </c>
      <c r="B4060" s="45" t="inlineStr">
        <is>
          <t>39731</t>
        </is>
      </c>
      <c r="C4060" s="45" t="inlineStr">
        <is>
          <t>67×593</t>
        </is>
      </c>
      <c r="D4060" s="45" t="inlineStr">
        <is>
          <t>—</t>
        </is>
      </c>
      <c r="E4060" s="45" t="inlineStr"/>
      <c r="F4060" s="45" t="inlineStr"/>
    </row>
    <row r="4061" ht="13" customHeight="1">
      <c r="A4061" s="49" t="inlineStr">
        <is>
          <t>38543</t>
        </is>
      </c>
      <c r="B4061" s="49" t="inlineStr">
        <is>
          <t>18914</t>
        </is>
      </c>
      <c r="C4061" s="49" t="inlineStr">
        <is>
          <t>2×7×7×193</t>
        </is>
      </c>
      <c r="D4061" s="49" t="inlineStr">
        <is>
          <t>2·7</t>
        </is>
      </c>
      <c r="E4061" s="49" t="inlineStr"/>
      <c r="F4061" s="49" t="inlineStr"/>
    </row>
    <row r="4062" ht="13" customHeight="1">
      <c r="A4062" s="45" t="inlineStr">
        <is>
          <t>38557</t>
        </is>
      </c>
      <c r="B4062" s="45" t="inlineStr">
        <is>
          <t>33139</t>
        </is>
      </c>
      <c r="C4062" s="45" t="inlineStr">
        <is>
          <t>31×1069</t>
        </is>
      </c>
      <c r="D4062" s="45" t="inlineStr">
        <is>
          <t>—</t>
        </is>
      </c>
      <c r="E4062" s="45" t="inlineStr"/>
      <c r="F4062" s="45" t="inlineStr"/>
    </row>
    <row r="4063" ht="13" customHeight="1">
      <c r="A4063" s="41" t="inlineStr">
        <is>
          <t>38561</t>
        </is>
      </c>
      <c r="B4063" s="41" t="inlineStr">
        <is>
          <t>41912</t>
        </is>
      </c>
      <c r="C4063" s="41" t="inlineStr">
        <is>
          <t>2×2×2×13×13×31</t>
        </is>
      </c>
      <c r="D4063" s="41" t="inlineStr">
        <is>
          <t>2·13</t>
        </is>
      </c>
      <c r="E4063" s="41" t="inlineStr"/>
      <c r="F4063" s="41" t="inlineStr"/>
    </row>
    <row r="4064" ht="13" customHeight="1">
      <c r="A4064" s="43" t="inlineStr">
        <is>
          <t>38567</t>
        </is>
      </c>
      <c r="B4064" s="43" t="inlineStr">
        <is>
          <t>5478</t>
        </is>
      </c>
      <c r="C4064" s="43" t="inlineStr">
        <is>
          <t>2×3×11×83</t>
        </is>
      </c>
      <c r="D4064" s="43" t="inlineStr">
        <is>
          <t>2·3·11</t>
        </is>
      </c>
      <c r="E4064" s="43" t="inlineStr"/>
      <c r="F4064" s="43" t="inlineStr"/>
    </row>
    <row r="4065" ht="13" customHeight="1">
      <c r="A4065" s="49" t="inlineStr">
        <is>
          <t>38569</t>
        </is>
      </c>
      <c r="B4065" s="49" t="inlineStr">
        <is>
          <t>39612</t>
        </is>
      </c>
      <c r="C4065" s="49" t="inlineStr">
        <is>
          <t>2×2×3×3301</t>
        </is>
      </c>
      <c r="D4065" s="49" t="inlineStr">
        <is>
          <t>2·3</t>
        </is>
      </c>
      <c r="E4065" s="49" t="inlineStr"/>
      <c r="F4065" s="49" t="inlineStr"/>
    </row>
    <row r="4066" ht="13" customHeight="1">
      <c r="A4066" s="50" t="inlineStr">
        <is>
          <t>38593</t>
        </is>
      </c>
      <c r="B4066" s="50" t="inlineStr">
        <is>
          <t>19763</t>
        </is>
      </c>
      <c r="C4066" s="50" t="inlineStr">
        <is>
          <t>19763</t>
        </is>
      </c>
      <c r="D4066" s="50" t="inlineStr">
        <is>
          <t>—</t>
        </is>
      </c>
      <c r="E4066" s="50" t="inlineStr"/>
      <c r="F4066" s="50" t="inlineStr"/>
    </row>
    <row r="4067" ht="13" customHeight="1">
      <c r="A4067" s="49" t="inlineStr">
        <is>
          <t>38603</t>
        </is>
      </c>
      <c r="B4067" s="49" t="inlineStr">
        <is>
          <t>43202</t>
        </is>
      </c>
      <c r="C4067" s="49" t="inlineStr">
        <is>
          <t>2×21601</t>
        </is>
      </c>
      <c r="D4067" s="49" t="inlineStr">
        <is>
          <t>2</t>
        </is>
      </c>
      <c r="E4067" s="49" t="inlineStr"/>
      <c r="F4067" s="49" t="inlineStr"/>
    </row>
    <row r="4068" ht="13" customHeight="1">
      <c r="A4068" s="45" t="inlineStr">
        <is>
          <t>38609</t>
        </is>
      </c>
      <c r="B4068" s="45" t="inlineStr">
        <is>
          <t>11454</t>
        </is>
      </c>
      <c r="C4068" s="45" t="inlineStr">
        <is>
          <t>2×3×23×83</t>
        </is>
      </c>
      <c r="D4068" s="45" t="inlineStr">
        <is>
          <t>2·3</t>
        </is>
      </c>
      <c r="E4068" s="45" t="inlineStr"/>
      <c r="F4068" s="45" t="inlineStr"/>
    </row>
    <row r="4069" ht="13" customHeight="1">
      <c r="A4069" s="51" t="inlineStr">
        <is>
          <t>38611</t>
        </is>
      </c>
      <c r="B4069" s="51" t="inlineStr">
        <is>
          <t>3990</t>
        </is>
      </c>
      <c r="C4069" s="51" t="inlineStr">
        <is>
          <t>2×3×5×7×19</t>
        </is>
      </c>
      <c r="D4069" s="51" t="inlineStr">
        <is>
          <t>2·3·5·7·19</t>
        </is>
      </c>
      <c r="E4069" s="51" t="inlineStr"/>
      <c r="F4069" s="51" t="inlineStr"/>
    </row>
    <row r="4070" ht="13" customHeight="1">
      <c r="A4070" s="45" t="inlineStr">
        <is>
          <t>38629</t>
        </is>
      </c>
      <c r="B4070" s="45" t="inlineStr">
        <is>
          <t>16161</t>
        </is>
      </c>
      <c r="C4070" s="45" t="inlineStr">
        <is>
          <t>3×5387</t>
        </is>
      </c>
      <c r="D4070" s="45" t="inlineStr">
        <is>
          <t>3</t>
        </is>
      </c>
      <c r="E4070" s="45" t="inlineStr"/>
      <c r="F4070" s="45" t="inlineStr"/>
    </row>
    <row r="4071" ht="13" customHeight="1">
      <c r="A4071" s="49" t="inlineStr">
        <is>
          <t>38639</t>
        </is>
      </c>
      <c r="B4071" s="49" t="inlineStr">
        <is>
          <t>12178</t>
        </is>
      </c>
      <c r="C4071" s="49" t="inlineStr">
        <is>
          <t>2×6089</t>
        </is>
      </c>
      <c r="D4071" s="49" t="inlineStr">
        <is>
          <t>2</t>
        </is>
      </c>
      <c r="E4071" s="49" t="inlineStr"/>
      <c r="F4071" s="49" t="inlineStr"/>
    </row>
    <row r="4072" ht="13" customHeight="1">
      <c r="A4072" s="41" t="inlineStr">
        <is>
          <t>38651</t>
        </is>
      </c>
      <c r="B4072" s="41" t="inlineStr">
        <is>
          <t>16250</t>
        </is>
      </c>
      <c r="C4072" s="41" t="inlineStr">
        <is>
          <t>2×5×5×5×5×13</t>
        </is>
      </c>
      <c r="D4072" s="41" t="inlineStr">
        <is>
          <t>2·5·13</t>
        </is>
      </c>
      <c r="E4072" s="41" t="inlineStr"/>
      <c r="F4072" s="41" t="inlineStr"/>
    </row>
    <row r="4073" ht="13" customHeight="1">
      <c r="A4073" s="43" t="inlineStr">
        <is>
          <t>38653</t>
        </is>
      </c>
      <c r="B4073" s="43" t="inlineStr">
        <is>
          <t>26653</t>
        </is>
      </c>
      <c r="C4073" s="43" t="inlineStr">
        <is>
          <t>11×2423</t>
        </is>
      </c>
      <c r="D4073" s="43" t="inlineStr">
        <is>
          <t>11</t>
        </is>
      </c>
      <c r="E4073" s="43" t="inlineStr"/>
      <c r="F4073" s="43" t="inlineStr"/>
    </row>
    <row r="4074" ht="13" customHeight="1">
      <c r="A4074" s="45" t="inlineStr">
        <is>
          <t>38669</t>
        </is>
      </c>
      <c r="B4074" s="45" t="inlineStr">
        <is>
          <t>24205</t>
        </is>
      </c>
      <c r="C4074" s="45" t="inlineStr">
        <is>
          <t>5×47×103</t>
        </is>
      </c>
      <c r="D4074" s="45" t="inlineStr">
        <is>
          <t>5</t>
        </is>
      </c>
      <c r="E4074" s="45" t="inlineStr"/>
      <c r="F4074" s="45" t="inlineStr"/>
    </row>
    <row r="4075" ht="13" customHeight="1">
      <c r="A4075" s="41" t="inlineStr">
        <is>
          <t>38671</t>
        </is>
      </c>
      <c r="B4075" s="41" t="inlineStr">
        <is>
          <t>42602</t>
        </is>
      </c>
      <c r="C4075" s="41" t="inlineStr">
        <is>
          <t>2×7×17×179</t>
        </is>
      </c>
      <c r="D4075" s="41" t="inlineStr">
        <is>
          <t>2·7·17</t>
        </is>
      </c>
      <c r="E4075" s="41" t="inlineStr"/>
      <c r="F4075" s="41" t="inlineStr"/>
    </row>
    <row r="4076" ht="13" customHeight="1">
      <c r="A4076" s="45" t="inlineStr">
        <is>
          <t>38677</t>
        </is>
      </c>
      <c r="B4076" s="45" t="inlineStr">
        <is>
          <t>20589</t>
        </is>
      </c>
      <c r="C4076" s="45" t="inlineStr">
        <is>
          <t>3×6863</t>
        </is>
      </c>
      <c r="D4076" s="45" t="inlineStr">
        <is>
          <t>3</t>
        </is>
      </c>
      <c r="E4076" s="45" t="inlineStr"/>
      <c r="F4076" s="45" t="inlineStr"/>
    </row>
    <row r="4077" ht="13" customHeight="1">
      <c r="A4077" s="41" t="inlineStr">
        <is>
          <t>38693</t>
        </is>
      </c>
      <c r="B4077" s="41" t="inlineStr">
        <is>
          <t>24453</t>
        </is>
      </c>
      <c r="C4077" s="41" t="inlineStr">
        <is>
          <t>3×3×11×13×19</t>
        </is>
      </c>
      <c r="D4077" s="41" t="inlineStr">
        <is>
          <t>3·11·13·19</t>
        </is>
      </c>
      <c r="E4077" s="41" t="inlineStr"/>
      <c r="F4077" s="41" t="inlineStr"/>
    </row>
    <row r="4078" ht="13" customHeight="1">
      <c r="A4078" s="45" t="inlineStr">
        <is>
          <t>38699</t>
        </is>
      </c>
      <c r="B4078" s="45" t="inlineStr">
        <is>
          <t>18529</t>
        </is>
      </c>
      <c r="C4078" s="45" t="inlineStr">
        <is>
          <t>7×2647</t>
        </is>
      </c>
      <c r="D4078" s="45" t="inlineStr">
        <is>
          <t>7</t>
        </is>
      </c>
      <c r="E4078" s="45" t="inlineStr"/>
      <c r="F4078" s="45" t="inlineStr"/>
    </row>
    <row r="4079" ht="13" customHeight="1">
      <c r="A4079" s="43" t="inlineStr">
        <is>
          <t>38707</t>
        </is>
      </c>
      <c r="B4079" s="43" t="inlineStr">
        <is>
          <t>35299</t>
        </is>
      </c>
      <c r="C4079" s="43" t="inlineStr">
        <is>
          <t>11×3209</t>
        </is>
      </c>
      <c r="D4079" s="43" t="inlineStr">
        <is>
          <t>11</t>
        </is>
      </c>
      <c r="E4079" s="43" t="inlineStr"/>
      <c r="F4079" s="43" t="inlineStr"/>
    </row>
    <row r="4080" ht="13" customHeight="1">
      <c r="A4080" s="45" t="inlineStr">
        <is>
          <t>38711</t>
        </is>
      </c>
      <c r="B4080" s="45" t="inlineStr">
        <is>
          <t>31036</t>
        </is>
      </c>
      <c r="C4080" s="45" t="inlineStr">
        <is>
          <t>2×2×7759</t>
        </is>
      </c>
      <c r="D4080" s="45" t="inlineStr">
        <is>
          <t>2</t>
        </is>
      </c>
      <c r="E4080" s="45" t="inlineStr"/>
      <c r="F4080" s="45" t="inlineStr"/>
    </row>
    <row r="4081" ht="13" customHeight="1">
      <c r="A4081" s="50" t="inlineStr">
        <is>
          <t>38713</t>
        </is>
      </c>
      <c r="B4081" s="50" t="inlineStr">
        <is>
          <t>11813</t>
        </is>
      </c>
      <c r="C4081" s="50" t="inlineStr">
        <is>
          <t>11813</t>
        </is>
      </c>
      <c r="D4081" s="50" t="inlineStr">
        <is>
          <t>—</t>
        </is>
      </c>
      <c r="E4081" s="50" t="inlineStr"/>
      <c r="F4081" s="50" t="inlineStr"/>
    </row>
    <row r="4082" ht="13" customHeight="1">
      <c r="A4082" s="45" t="inlineStr">
        <is>
          <t>38723</t>
        </is>
      </c>
      <c r="B4082" s="45" t="inlineStr">
        <is>
          <t>40523</t>
        </is>
      </c>
      <c r="C4082" s="45" t="inlineStr">
        <is>
          <t>7×7×827</t>
        </is>
      </c>
      <c r="D4082" s="45" t="inlineStr">
        <is>
          <t>7</t>
        </is>
      </c>
      <c r="E4082" s="45" t="inlineStr"/>
      <c r="F4082" s="45" t="inlineStr"/>
    </row>
    <row r="4083" ht="13" customHeight="1">
      <c r="A4083" s="49" t="inlineStr">
        <is>
          <t>38729</t>
        </is>
      </c>
      <c r="B4083" s="49" t="inlineStr">
        <is>
          <t>28942</t>
        </is>
      </c>
      <c r="C4083" s="49" t="inlineStr">
        <is>
          <t>2×29×499</t>
        </is>
      </c>
      <c r="D4083" s="49" t="inlineStr">
        <is>
          <t>2</t>
        </is>
      </c>
      <c r="E4083" s="49" t="inlineStr"/>
      <c r="F4083" s="49" t="inlineStr"/>
    </row>
    <row r="4084" ht="13" customHeight="1">
      <c r="A4084" s="45" t="inlineStr">
        <is>
          <t>38737</t>
        </is>
      </c>
      <c r="B4084" s="45" t="inlineStr">
        <is>
          <t>17577</t>
        </is>
      </c>
      <c r="C4084" s="45" t="inlineStr">
        <is>
          <t>3×3×3×3×7×31</t>
        </is>
      </c>
      <c r="D4084" s="45" t="inlineStr">
        <is>
          <t>3·7</t>
        </is>
      </c>
      <c r="E4084" s="45" t="inlineStr"/>
      <c r="F4084" s="45" t="inlineStr"/>
    </row>
    <row r="4085" ht="13" customHeight="1">
      <c r="A4085" s="43" t="inlineStr">
        <is>
          <t>38747</t>
        </is>
      </c>
      <c r="B4085" s="43" t="inlineStr">
        <is>
          <t>42911</t>
        </is>
      </c>
      <c r="C4085" s="43" t="inlineStr">
        <is>
          <t>11×47×83</t>
        </is>
      </c>
      <c r="D4085" s="43" t="inlineStr">
        <is>
          <t>11</t>
        </is>
      </c>
      <c r="E4085" s="43" t="inlineStr"/>
      <c r="F4085" s="43" t="inlineStr"/>
    </row>
    <row r="4086" ht="13" customHeight="1">
      <c r="A4086" s="45" t="inlineStr">
        <is>
          <t>38749</t>
        </is>
      </c>
      <c r="B4086" s="45" t="inlineStr">
        <is>
          <t>36009</t>
        </is>
      </c>
      <c r="C4086" s="45" t="inlineStr">
        <is>
          <t>3×3×4001</t>
        </is>
      </c>
      <c r="D4086" s="45" t="inlineStr">
        <is>
          <t>3</t>
        </is>
      </c>
      <c r="E4086" s="45" t="inlineStr"/>
      <c r="F4086" s="45" t="inlineStr"/>
    </row>
    <row r="4087" ht="13" customHeight="1">
      <c r="A4087" s="49" t="inlineStr">
        <is>
          <t>38767</t>
        </is>
      </c>
      <c r="B4087" s="49" t="inlineStr">
        <is>
          <t>31964</t>
        </is>
      </c>
      <c r="C4087" s="49" t="inlineStr">
        <is>
          <t>2×2×61×131</t>
        </is>
      </c>
      <c r="D4087" s="49" t="inlineStr">
        <is>
          <t>2</t>
        </is>
      </c>
      <c r="E4087" s="49" t="inlineStr"/>
      <c r="F4087" s="49" t="inlineStr"/>
    </row>
    <row r="4088" ht="13" customHeight="1">
      <c r="A4088" s="41" t="inlineStr">
        <is>
          <t>38783</t>
        </is>
      </c>
      <c r="B4088" s="41" t="inlineStr">
        <is>
          <t>18408</t>
        </is>
      </c>
      <c r="C4088" s="41" t="inlineStr">
        <is>
          <t>2×2×2×3×13×59</t>
        </is>
      </c>
      <c r="D4088" s="41" t="inlineStr">
        <is>
          <t>2·3·13</t>
        </is>
      </c>
      <c r="E4088" s="41" t="inlineStr"/>
      <c r="F4088" s="41" t="inlineStr"/>
    </row>
    <row r="4089" ht="13" customHeight="1">
      <c r="A4089" s="49" t="inlineStr">
        <is>
          <t>38791</t>
        </is>
      </c>
      <c r="B4089" s="49" t="inlineStr">
        <is>
          <t>33651</t>
        </is>
      </c>
      <c r="C4089" s="49" t="inlineStr">
        <is>
          <t>3×3×3739</t>
        </is>
      </c>
      <c r="D4089" s="49" t="inlineStr">
        <is>
          <t>3</t>
        </is>
      </c>
      <c r="E4089" s="49" t="inlineStr"/>
      <c r="F4089" s="49" t="inlineStr"/>
    </row>
    <row r="4090" ht="13" customHeight="1">
      <c r="A4090" s="45" t="inlineStr">
        <is>
          <t>38803</t>
        </is>
      </c>
      <c r="B4090" s="45" t="inlineStr">
        <is>
          <t>18687</t>
        </is>
      </c>
      <c r="C4090" s="45" t="inlineStr">
        <is>
          <t>3×6229</t>
        </is>
      </c>
      <c r="D4090" s="45" t="inlineStr">
        <is>
          <t>3</t>
        </is>
      </c>
      <c r="E4090" s="45" t="inlineStr"/>
      <c r="F4090" s="45" t="inlineStr"/>
    </row>
    <row r="4091" ht="13" customHeight="1">
      <c r="A4091" s="49" t="inlineStr">
        <is>
          <t>38821</t>
        </is>
      </c>
      <c r="B4091" s="49" t="inlineStr">
        <is>
          <t>40345</t>
        </is>
      </c>
      <c r="C4091" s="49" t="inlineStr">
        <is>
          <t>5×8069</t>
        </is>
      </c>
      <c r="D4091" s="49" t="inlineStr">
        <is>
          <t>5</t>
        </is>
      </c>
      <c r="E4091" s="49" t="inlineStr"/>
      <c r="F4091" s="49" t="inlineStr"/>
    </row>
    <row r="4092" ht="13" customHeight="1">
      <c r="A4092" s="45" t="inlineStr">
        <is>
          <t>38833</t>
        </is>
      </c>
      <c r="B4092" s="45" t="inlineStr">
        <is>
          <t>32457</t>
        </is>
      </c>
      <c r="C4092" s="45" t="inlineStr">
        <is>
          <t>3×31×349</t>
        </is>
      </c>
      <c r="D4092" s="45" t="inlineStr">
        <is>
          <t>3</t>
        </is>
      </c>
      <c r="E4092" s="45" t="inlineStr"/>
      <c r="F4092" s="45" t="inlineStr"/>
    </row>
    <row r="4093" ht="13" customHeight="1">
      <c r="A4093" s="41" t="inlineStr">
        <is>
          <t>38839</t>
        </is>
      </c>
      <c r="B4093" s="41" t="inlineStr">
        <is>
          <t>7446</t>
        </is>
      </c>
      <c r="C4093" s="41" t="inlineStr">
        <is>
          <t>2×3×17×73</t>
        </is>
      </c>
      <c r="D4093" s="41" t="inlineStr">
        <is>
          <t>2·3·17</t>
        </is>
      </c>
      <c r="E4093" s="41" t="inlineStr"/>
      <c r="F4093" s="41" t="inlineStr"/>
    </row>
    <row r="4094" ht="13" customHeight="1">
      <c r="A4094" s="45" t="inlineStr">
        <is>
          <t>38851</t>
        </is>
      </c>
      <c r="B4094" s="45" t="inlineStr">
        <is>
          <t>35936</t>
        </is>
      </c>
      <c r="C4094" s="45" t="inlineStr">
        <is>
          <t>2×2×2×2×2×1123</t>
        </is>
      </c>
      <c r="D4094" s="45" t="inlineStr">
        <is>
          <t>2</t>
        </is>
      </c>
      <c r="E4094" s="45" t="inlineStr"/>
      <c r="F4094" s="45" t="inlineStr"/>
    </row>
    <row r="4095" ht="13" customHeight="1">
      <c r="A4095" s="49" t="inlineStr">
        <is>
          <t>38861</t>
        </is>
      </c>
      <c r="B4095" s="49" t="inlineStr">
        <is>
          <t>33716</t>
        </is>
      </c>
      <c r="C4095" s="49" t="inlineStr">
        <is>
          <t>2×2×8429</t>
        </is>
      </c>
      <c r="D4095" s="49" t="inlineStr">
        <is>
          <t>2</t>
        </is>
      </c>
      <c r="E4095" s="49" t="inlineStr"/>
      <c r="F4095" s="49" t="inlineStr"/>
    </row>
    <row r="4096" ht="13" customHeight="1">
      <c r="A4096" s="45" t="inlineStr">
        <is>
          <t>38867</t>
        </is>
      </c>
      <c r="B4096" s="45" t="inlineStr">
        <is>
          <t>2355</t>
        </is>
      </c>
      <c r="C4096" s="45" t="inlineStr">
        <is>
          <t>3×5×157</t>
        </is>
      </c>
      <c r="D4096" s="45" t="inlineStr">
        <is>
          <t>3·5</t>
        </is>
      </c>
      <c r="E4096" s="45" t="inlineStr"/>
      <c r="F4096" s="45" t="inlineStr"/>
    </row>
    <row r="4097" ht="13" customHeight="1">
      <c r="A4097" s="49" t="inlineStr">
        <is>
          <t>38873</t>
        </is>
      </c>
      <c r="B4097" s="49" t="inlineStr">
        <is>
          <t>7233</t>
        </is>
      </c>
      <c r="C4097" s="49" t="inlineStr">
        <is>
          <t>3×2411</t>
        </is>
      </c>
      <c r="D4097" s="49" t="inlineStr">
        <is>
          <t>3</t>
        </is>
      </c>
      <c r="E4097" s="49" t="inlineStr"/>
      <c r="F4097" s="49" t="inlineStr"/>
    </row>
    <row r="4098" ht="13" customHeight="1">
      <c r="A4098" s="45" t="inlineStr">
        <is>
          <t>38891</t>
        </is>
      </c>
      <c r="B4098" s="45" t="inlineStr">
        <is>
          <t>3582</t>
        </is>
      </c>
      <c r="C4098" s="45" t="inlineStr">
        <is>
          <t>2×3×3×199</t>
        </is>
      </c>
      <c r="D4098" s="45" t="inlineStr">
        <is>
          <t>2·3</t>
        </is>
      </c>
      <c r="E4098" s="45" t="inlineStr"/>
      <c r="F4098" s="45" t="inlineStr"/>
    </row>
    <row r="4099" ht="13" customHeight="1">
      <c r="A4099" s="49" t="inlineStr">
        <is>
          <t>38903</t>
        </is>
      </c>
      <c r="B4099" s="49" t="inlineStr">
        <is>
          <t>12543</t>
        </is>
      </c>
      <c r="C4099" s="49" t="inlineStr">
        <is>
          <t>3×37×113</t>
        </is>
      </c>
      <c r="D4099" s="49" t="inlineStr">
        <is>
          <t>3</t>
        </is>
      </c>
      <c r="E4099" s="49" t="inlineStr"/>
      <c r="F4099" s="49" t="inlineStr"/>
    </row>
    <row r="4100" ht="13" customHeight="1">
      <c r="A4100" s="45" t="inlineStr">
        <is>
          <t>38917</t>
        </is>
      </c>
      <c r="B4100" s="45" t="inlineStr">
        <is>
          <t>7198</t>
        </is>
      </c>
      <c r="C4100" s="45" t="inlineStr">
        <is>
          <t>2×59×61</t>
        </is>
      </c>
      <c r="D4100" s="45" t="inlineStr">
        <is>
          <t>2</t>
        </is>
      </c>
      <c r="E4100" s="45" t="inlineStr"/>
      <c r="F4100" s="45" t="inlineStr"/>
    </row>
    <row r="4101" ht="13" customHeight="1">
      <c r="A4101" s="49" t="inlineStr">
        <is>
          <t>38921</t>
        </is>
      </c>
      <c r="B4101" s="49" t="inlineStr">
        <is>
          <t>20419</t>
        </is>
      </c>
      <c r="C4101" s="49" t="inlineStr">
        <is>
          <t>7×2917</t>
        </is>
      </c>
      <c r="D4101" s="49" t="inlineStr">
        <is>
          <t>7</t>
        </is>
      </c>
      <c r="E4101" s="49" t="inlineStr"/>
      <c r="F4101" s="49" t="inlineStr"/>
    </row>
    <row r="4102" ht="13" customHeight="1">
      <c r="A4102" s="51" t="inlineStr">
        <is>
          <t>38923</t>
        </is>
      </c>
      <c r="B4102" s="51" t="inlineStr">
        <is>
          <t>9671</t>
        </is>
      </c>
      <c r="C4102" s="51" t="inlineStr">
        <is>
          <t>19×509</t>
        </is>
      </c>
      <c r="D4102" s="51" t="inlineStr">
        <is>
          <t>19</t>
        </is>
      </c>
      <c r="E4102" s="51" t="inlineStr"/>
      <c r="F4102" s="51" t="inlineStr"/>
    </row>
    <row r="4103" ht="13" customHeight="1">
      <c r="A4103" s="49" t="inlineStr">
        <is>
          <t>38933</t>
        </is>
      </c>
      <c r="B4103" s="49" t="inlineStr">
        <is>
          <t>1743</t>
        </is>
      </c>
      <c r="C4103" s="49" t="inlineStr">
        <is>
          <t>3×7×83</t>
        </is>
      </c>
      <c r="D4103" s="49" t="inlineStr">
        <is>
          <t>3·7</t>
        </is>
      </c>
      <c r="E4103" s="49" t="inlineStr"/>
      <c r="F4103" s="49" t="inlineStr"/>
    </row>
    <row r="4104" ht="13" customHeight="1">
      <c r="A4104" s="45" t="inlineStr">
        <is>
          <t>38953</t>
        </is>
      </c>
      <c r="B4104" s="45" t="inlineStr">
        <is>
          <t>37969</t>
        </is>
      </c>
      <c r="C4104" s="45" t="inlineStr">
        <is>
          <t>43×883</t>
        </is>
      </c>
      <c r="D4104" s="45" t="inlineStr">
        <is>
          <t>—</t>
        </is>
      </c>
      <c r="E4104" s="45" t="inlineStr"/>
      <c r="F4104" s="45" t="inlineStr"/>
    </row>
    <row r="4105" ht="13" customHeight="1">
      <c r="A4105" s="49" t="inlineStr">
        <is>
          <t>38959</t>
        </is>
      </c>
      <c r="B4105" s="49" t="inlineStr">
        <is>
          <t>6164</t>
        </is>
      </c>
      <c r="C4105" s="49" t="inlineStr">
        <is>
          <t>2×2×23×67</t>
        </is>
      </c>
      <c r="D4105" s="49" t="inlineStr">
        <is>
          <t>2</t>
        </is>
      </c>
      <c r="E4105" s="49" t="inlineStr"/>
      <c r="F4105" s="49" t="inlineStr"/>
    </row>
    <row r="4106" ht="13" customHeight="1">
      <c r="A4106" s="41" t="inlineStr">
        <is>
          <t>38971</t>
        </is>
      </c>
      <c r="B4106" s="41" t="inlineStr">
        <is>
          <t>36975</t>
        </is>
      </c>
      <c r="C4106" s="41" t="inlineStr">
        <is>
          <t>3×5×5×17×29</t>
        </is>
      </c>
      <c r="D4106" s="41" t="inlineStr">
        <is>
          <t>3·5·17</t>
        </is>
      </c>
      <c r="E4106" s="41" t="inlineStr"/>
      <c r="F4106" s="41" t="inlineStr"/>
    </row>
    <row r="4107" ht="13" customHeight="1">
      <c r="A4107" s="41" t="inlineStr">
        <is>
          <t>38977</t>
        </is>
      </c>
      <c r="B4107" s="41" t="inlineStr">
        <is>
          <t>26622</t>
        </is>
      </c>
      <c r="C4107" s="41" t="inlineStr">
        <is>
          <t>2×3×3×3×17×29</t>
        </is>
      </c>
      <c r="D4107" s="41" t="inlineStr">
        <is>
          <t>2·3·17</t>
        </is>
      </c>
      <c r="E4107" s="41" t="inlineStr"/>
      <c r="F4107" s="41" t="inlineStr"/>
    </row>
    <row r="4108" ht="13" customHeight="1">
      <c r="A4108" s="45" t="inlineStr">
        <is>
          <t>38993</t>
        </is>
      </c>
      <c r="B4108" s="45" t="inlineStr">
        <is>
          <t>6771</t>
        </is>
      </c>
      <c r="C4108" s="45" t="inlineStr">
        <is>
          <t>3×37×61</t>
        </is>
      </c>
      <c r="D4108" s="45" t="inlineStr">
        <is>
          <t>3</t>
        </is>
      </c>
      <c r="E4108" s="45" t="inlineStr"/>
      <c r="F4108" s="45" t="inlineStr"/>
    </row>
    <row r="4109" ht="13" customHeight="1">
      <c r="A4109" s="51" t="inlineStr">
        <is>
          <t>39019</t>
        </is>
      </c>
      <c r="B4109" s="51" t="inlineStr">
        <is>
          <t>40489</t>
        </is>
      </c>
      <c r="C4109" s="51" t="inlineStr">
        <is>
          <t>19×2131</t>
        </is>
      </c>
      <c r="D4109" s="51" t="inlineStr">
        <is>
          <t>19</t>
        </is>
      </c>
      <c r="E4109" s="51" t="inlineStr"/>
      <c r="F4109" s="51" t="inlineStr"/>
    </row>
    <row r="4110" ht="13" customHeight="1">
      <c r="A4110" s="51" t="inlineStr">
        <is>
          <t>39023</t>
        </is>
      </c>
      <c r="B4110" s="51" t="inlineStr">
        <is>
          <t>37525</t>
        </is>
      </c>
      <c r="C4110" s="51" t="inlineStr">
        <is>
          <t>5×5×19×79</t>
        </is>
      </c>
      <c r="D4110" s="51" t="inlineStr">
        <is>
          <t>5·19</t>
        </is>
      </c>
      <c r="E4110" s="51" t="inlineStr"/>
      <c r="F4110" s="51" t="inlineStr"/>
    </row>
    <row r="4111" ht="13" customHeight="1">
      <c r="A4111" s="49" t="inlineStr">
        <is>
          <t>39041</t>
        </is>
      </c>
      <c r="B4111" s="49" t="inlineStr">
        <is>
          <t>36076</t>
        </is>
      </c>
      <c r="C4111" s="49" t="inlineStr">
        <is>
          <t>2×2×29×311</t>
        </is>
      </c>
      <c r="D4111" s="49" t="inlineStr">
        <is>
          <t>2</t>
        </is>
      </c>
      <c r="E4111" s="49" t="inlineStr"/>
      <c r="F4111" s="49" t="inlineStr"/>
    </row>
    <row r="4112" ht="13" customHeight="1">
      <c r="A4112" s="41" t="inlineStr">
        <is>
          <t>39043</t>
        </is>
      </c>
      <c r="B4112" s="41" t="inlineStr">
        <is>
          <t>7241</t>
        </is>
      </c>
      <c r="C4112" s="41" t="inlineStr">
        <is>
          <t>13×557</t>
        </is>
      </c>
      <c r="D4112" s="41" t="inlineStr">
        <is>
          <t>13</t>
        </is>
      </c>
      <c r="E4112" s="41" t="inlineStr"/>
      <c r="F4112" s="41" t="inlineStr"/>
    </row>
    <row r="4113" ht="13" customHeight="1">
      <c r="A4113" s="41" t="inlineStr">
        <is>
          <t>39047</t>
        </is>
      </c>
      <c r="B4113" s="41" t="inlineStr">
        <is>
          <t>43044</t>
        </is>
      </c>
      <c r="C4113" s="41" t="inlineStr">
        <is>
          <t>2×2×3×17×211</t>
        </is>
      </c>
      <c r="D4113" s="41" t="inlineStr">
        <is>
          <t>2·3·17</t>
        </is>
      </c>
      <c r="E4113" s="41" t="inlineStr"/>
      <c r="F4113" s="41" t="inlineStr"/>
    </row>
    <row r="4114" ht="13" customHeight="1">
      <c r="A4114" s="43" t="inlineStr">
        <is>
          <t>39079</t>
        </is>
      </c>
      <c r="B4114" s="43" t="inlineStr">
        <is>
          <t>32285</t>
        </is>
      </c>
      <c r="C4114" s="43" t="inlineStr">
        <is>
          <t>5×11×587</t>
        </is>
      </c>
      <c r="D4114" s="43" t="inlineStr">
        <is>
          <t>5·11</t>
        </is>
      </c>
      <c r="E4114" s="43" t="inlineStr"/>
      <c r="F4114" s="43" t="inlineStr"/>
    </row>
    <row r="4115" ht="13" customHeight="1">
      <c r="A4115" s="43" t="inlineStr">
        <is>
          <t>39089</t>
        </is>
      </c>
      <c r="B4115" s="43" t="inlineStr">
        <is>
          <t>25674</t>
        </is>
      </c>
      <c r="C4115" s="43" t="inlineStr">
        <is>
          <t>2×3×11×389</t>
        </is>
      </c>
      <c r="D4115" s="43" t="inlineStr">
        <is>
          <t>2·3·11</t>
        </is>
      </c>
      <c r="E4115" s="43" t="inlineStr"/>
      <c r="F4115" s="43" t="inlineStr"/>
    </row>
    <row r="4116" ht="13" customHeight="1">
      <c r="A4116" s="51" t="inlineStr">
        <is>
          <t>39097</t>
        </is>
      </c>
      <c r="B4116" s="51" t="inlineStr">
        <is>
          <t>40850</t>
        </is>
      </c>
      <c r="C4116" s="51" t="inlineStr">
        <is>
          <t>2×5×5×19×43</t>
        </is>
      </c>
      <c r="D4116" s="51" t="inlineStr">
        <is>
          <t>2·5·19</t>
        </is>
      </c>
      <c r="E4116" s="51" t="inlineStr"/>
      <c r="F4116" s="51" t="inlineStr"/>
    </row>
    <row r="4117" ht="13" customHeight="1">
      <c r="A4117" s="50" t="inlineStr">
        <is>
          <t>39103</t>
        </is>
      </c>
      <c r="B4117" s="50" t="inlineStr">
        <is>
          <t>31307</t>
        </is>
      </c>
      <c r="C4117" s="50" t="inlineStr">
        <is>
          <t>31307</t>
        </is>
      </c>
      <c r="D4117" s="50" t="inlineStr">
        <is>
          <t>—</t>
        </is>
      </c>
      <c r="E4117" s="50" t="inlineStr"/>
      <c r="F4117" s="50" t="inlineStr"/>
    </row>
    <row r="4118" ht="13" customHeight="1">
      <c r="A4118" s="41" t="inlineStr">
        <is>
          <t>39107</t>
        </is>
      </c>
      <c r="B4118" s="41" t="inlineStr">
        <is>
          <t>21281</t>
        </is>
      </c>
      <c r="C4118" s="41" t="inlineStr">
        <is>
          <t>13×1637</t>
        </is>
      </c>
      <c r="D4118" s="41" t="inlineStr">
        <is>
          <t>13</t>
        </is>
      </c>
      <c r="E4118" s="41" t="inlineStr"/>
      <c r="F4118" s="41" t="inlineStr"/>
    </row>
    <row r="4119" ht="13" customHeight="1">
      <c r="A4119" s="41" t="inlineStr">
        <is>
          <t>39113</t>
        </is>
      </c>
      <c r="B4119" s="41" t="inlineStr">
        <is>
          <t>23596</t>
        </is>
      </c>
      <c r="C4119" s="41" t="inlineStr">
        <is>
          <t>2×2×17×347</t>
        </is>
      </c>
      <c r="D4119" s="41" t="inlineStr">
        <is>
          <t>2·17</t>
        </is>
      </c>
      <c r="E4119" s="41" t="inlineStr"/>
      <c r="F4119" s="41" t="inlineStr"/>
    </row>
    <row r="4120" ht="13" customHeight="1">
      <c r="A4120" s="45" t="inlineStr">
        <is>
          <t>39119</t>
        </is>
      </c>
      <c r="B4120" s="45" t="inlineStr">
        <is>
          <t>6632</t>
        </is>
      </c>
      <c r="C4120" s="45" t="inlineStr">
        <is>
          <t>2×2×2×829</t>
        </is>
      </c>
      <c r="D4120" s="45" t="inlineStr">
        <is>
          <t>2</t>
        </is>
      </c>
      <c r="E4120" s="45" t="inlineStr"/>
      <c r="F4120" s="45" t="inlineStr"/>
    </row>
    <row r="4121" ht="13" customHeight="1">
      <c r="A4121" s="49" t="inlineStr">
        <is>
          <t>39133</t>
        </is>
      </c>
      <c r="B4121" s="49" t="inlineStr">
        <is>
          <t>31436</t>
        </is>
      </c>
      <c r="C4121" s="49" t="inlineStr">
        <is>
          <t>2×2×29×271</t>
        </is>
      </c>
      <c r="D4121" s="49" t="inlineStr">
        <is>
          <t>2</t>
        </is>
      </c>
      <c r="E4121" s="49" t="inlineStr"/>
      <c r="F4121" s="49" t="inlineStr"/>
    </row>
    <row r="4122" ht="13" customHeight="1">
      <c r="A4122" s="50" t="inlineStr">
        <is>
          <t>39139</t>
        </is>
      </c>
      <c r="B4122" s="50" t="inlineStr">
        <is>
          <t>33629</t>
        </is>
      </c>
      <c r="C4122" s="50" t="inlineStr">
        <is>
          <t>33629</t>
        </is>
      </c>
      <c r="D4122" s="50" t="inlineStr">
        <is>
          <t>—</t>
        </is>
      </c>
      <c r="E4122" s="50" t="inlineStr"/>
      <c r="F4122" s="50" t="inlineStr"/>
    </row>
    <row r="4123" ht="13" customHeight="1">
      <c r="A4123" s="49" t="inlineStr">
        <is>
          <t>39157</t>
        </is>
      </c>
      <c r="B4123" s="49" t="inlineStr">
        <is>
          <t>29171</t>
        </is>
      </c>
      <c r="C4123" s="49" t="inlineStr">
        <is>
          <t>31×941</t>
        </is>
      </c>
      <c r="D4123" s="49" t="inlineStr">
        <is>
          <t>—</t>
        </is>
      </c>
      <c r="E4123" s="49" t="inlineStr"/>
      <c r="F4123" s="49" t="inlineStr"/>
    </row>
    <row r="4124" ht="13" customHeight="1">
      <c r="A4124" s="45" t="inlineStr">
        <is>
          <t>39161</t>
        </is>
      </c>
      <c r="B4124" s="45" t="inlineStr">
        <is>
          <t>6320</t>
        </is>
      </c>
      <c r="C4124" s="45" t="inlineStr">
        <is>
          <t>2×2×2×2×5×79</t>
        </is>
      </c>
      <c r="D4124" s="45" t="inlineStr">
        <is>
          <t>2·5</t>
        </is>
      </c>
      <c r="E4124" s="45" t="inlineStr"/>
      <c r="F4124" s="45" t="inlineStr"/>
    </row>
    <row r="4125" ht="13" customHeight="1">
      <c r="A4125" s="43" t="inlineStr">
        <is>
          <t>39163</t>
        </is>
      </c>
      <c r="B4125" s="43" t="inlineStr">
        <is>
          <t>3443</t>
        </is>
      </c>
      <c r="C4125" s="43" t="inlineStr">
        <is>
          <t>11×313</t>
        </is>
      </c>
      <c r="D4125" s="43" t="inlineStr">
        <is>
          <t>11</t>
        </is>
      </c>
      <c r="E4125" s="43" t="inlineStr"/>
      <c r="F4125" s="43" t="inlineStr"/>
    </row>
    <row r="4126" ht="13" customHeight="1">
      <c r="A4126" s="45" t="inlineStr">
        <is>
          <t>39181</t>
        </is>
      </c>
      <c r="B4126" s="45" t="inlineStr">
        <is>
          <t>34744</t>
        </is>
      </c>
      <c r="C4126" s="45" t="inlineStr">
        <is>
          <t>2×2×2×43×101</t>
        </is>
      </c>
      <c r="D4126" s="45" t="inlineStr">
        <is>
          <t>2</t>
        </is>
      </c>
      <c r="E4126" s="45" t="inlineStr"/>
      <c r="F4126" s="45" t="inlineStr"/>
    </row>
    <row r="4127" ht="13" customHeight="1">
      <c r="A4127" s="50" t="inlineStr">
        <is>
          <t>39191</t>
        </is>
      </c>
      <c r="B4127" s="50" t="inlineStr">
        <is>
          <t>10781</t>
        </is>
      </c>
      <c r="C4127" s="50" t="inlineStr">
        <is>
          <t>10781</t>
        </is>
      </c>
      <c r="D4127" s="50" t="inlineStr">
        <is>
          <t>—</t>
        </is>
      </c>
      <c r="E4127" s="50" t="inlineStr"/>
      <c r="F4127" s="50" t="inlineStr"/>
    </row>
    <row r="4128" ht="13" customHeight="1">
      <c r="A4128" s="50" t="inlineStr">
        <is>
          <t>39199</t>
        </is>
      </c>
      <c r="B4128" s="50" t="inlineStr">
        <is>
          <t>5273</t>
        </is>
      </c>
      <c r="C4128" s="50" t="inlineStr">
        <is>
          <t>5273</t>
        </is>
      </c>
      <c r="D4128" s="50" t="inlineStr">
        <is>
          <t>—</t>
        </is>
      </c>
      <c r="E4128" s="50" t="inlineStr"/>
      <c r="F4128" s="50" t="inlineStr"/>
    </row>
    <row r="4129" ht="13" customHeight="1">
      <c r="A4129" s="41" t="inlineStr">
        <is>
          <t>39209</t>
        </is>
      </c>
      <c r="B4129" s="41" t="inlineStr">
        <is>
          <t>17524</t>
        </is>
      </c>
      <c r="C4129" s="41" t="inlineStr">
        <is>
          <t>2×2×13×337</t>
        </is>
      </c>
      <c r="D4129" s="41" t="inlineStr">
        <is>
          <t>2·13</t>
        </is>
      </c>
      <c r="E4129" s="41" t="inlineStr"/>
      <c r="F4129" s="41" t="inlineStr"/>
    </row>
    <row r="4130" ht="13" customHeight="1">
      <c r="A4130" s="45" t="inlineStr">
        <is>
          <t>39217</t>
        </is>
      </c>
      <c r="B4130" s="45" t="inlineStr">
        <is>
          <t>32346</t>
        </is>
      </c>
      <c r="C4130" s="45" t="inlineStr">
        <is>
          <t>2×3×3×3×599</t>
        </is>
      </c>
      <c r="D4130" s="45" t="inlineStr">
        <is>
          <t>2·3</t>
        </is>
      </c>
      <c r="E4130" s="45" t="inlineStr"/>
      <c r="F4130" s="45" t="inlineStr"/>
    </row>
    <row r="4131" ht="13" customHeight="1">
      <c r="A4131" s="41" t="inlineStr">
        <is>
          <t>39227</t>
        </is>
      </c>
      <c r="B4131" s="41" t="inlineStr">
        <is>
          <t>17017</t>
        </is>
      </c>
      <c r="C4131" s="41" t="inlineStr">
        <is>
          <t>7×11×13×17</t>
        </is>
      </c>
      <c r="D4131" s="41" t="inlineStr">
        <is>
          <t>7·11·13·17</t>
        </is>
      </c>
      <c r="E4131" s="41" t="inlineStr"/>
      <c r="F4131" s="41" t="inlineStr"/>
    </row>
    <row r="4132" ht="13" customHeight="1">
      <c r="A4132" s="45" t="inlineStr">
        <is>
          <t>39229</t>
        </is>
      </c>
      <c r="B4132" s="45" t="inlineStr">
        <is>
          <t>16785</t>
        </is>
      </c>
      <c r="C4132" s="45" t="inlineStr">
        <is>
          <t>3×3×5×373</t>
        </is>
      </c>
      <c r="D4132" s="45" t="inlineStr">
        <is>
          <t>3·5</t>
        </is>
      </c>
      <c r="E4132" s="45" t="inlineStr"/>
      <c r="F4132" s="45" t="inlineStr"/>
    </row>
    <row r="4133" ht="13" customHeight="1">
      <c r="A4133" s="49" t="inlineStr">
        <is>
          <t>39233</t>
        </is>
      </c>
      <c r="B4133" s="49" t="inlineStr">
        <is>
          <t>1766</t>
        </is>
      </c>
      <c r="C4133" s="49" t="inlineStr">
        <is>
          <t>2×883</t>
        </is>
      </c>
      <c r="D4133" s="49" t="inlineStr">
        <is>
          <t>2</t>
        </is>
      </c>
      <c r="E4133" s="49" t="inlineStr"/>
      <c r="F4133" s="49" t="inlineStr"/>
    </row>
    <row r="4134" ht="13" customHeight="1">
      <c r="A4134" s="50" t="inlineStr">
        <is>
          <t>39239</t>
        </is>
      </c>
      <c r="B4134" s="50" t="inlineStr">
        <is>
          <t>3347</t>
        </is>
      </c>
      <c r="C4134" s="50" t="inlineStr">
        <is>
          <t>3347</t>
        </is>
      </c>
      <c r="D4134" s="50" t="inlineStr">
        <is>
          <t>—</t>
        </is>
      </c>
      <c r="E4134" s="50" t="inlineStr"/>
      <c r="F4134" s="50" t="inlineStr"/>
    </row>
    <row r="4135" ht="13" customHeight="1">
      <c r="A4135" s="43" t="inlineStr">
        <is>
          <t>39241</t>
        </is>
      </c>
      <c r="B4135" s="43" t="inlineStr">
        <is>
          <t>22561</t>
        </is>
      </c>
      <c r="C4135" s="43" t="inlineStr">
        <is>
          <t>7×11×293</t>
        </is>
      </c>
      <c r="D4135" s="43" t="inlineStr">
        <is>
          <t>7·11</t>
        </is>
      </c>
      <c r="E4135" s="43" t="inlineStr"/>
      <c r="F4135" s="43" t="inlineStr"/>
    </row>
    <row r="4136" ht="13" customHeight="1">
      <c r="A4136" s="45" t="inlineStr">
        <is>
          <t>39251</t>
        </is>
      </c>
      <c r="B4136" s="45" t="inlineStr">
        <is>
          <t>5385</t>
        </is>
      </c>
      <c r="C4136" s="45" t="inlineStr">
        <is>
          <t>3×5×359</t>
        </is>
      </c>
      <c r="D4136" s="45" t="inlineStr">
        <is>
          <t>3·5</t>
        </is>
      </c>
      <c r="E4136" s="45" t="inlineStr"/>
      <c r="F4136" s="45" t="inlineStr"/>
    </row>
    <row r="4137" ht="13" customHeight="1">
      <c r="A4137" s="49" t="inlineStr">
        <is>
          <t>39293</t>
        </is>
      </c>
      <c r="B4137" s="49" t="inlineStr">
        <is>
          <t>41581</t>
        </is>
      </c>
      <c r="C4137" s="49" t="inlineStr">
        <is>
          <t>43×967</t>
        </is>
      </c>
      <c r="D4137" s="49" t="inlineStr">
        <is>
          <t>—</t>
        </is>
      </c>
      <c r="E4137" s="49" t="inlineStr"/>
      <c r="F4137" s="49" t="inlineStr"/>
    </row>
    <row r="4138" ht="13" customHeight="1">
      <c r="A4138" s="45" t="inlineStr">
        <is>
          <t>39301</t>
        </is>
      </c>
      <c r="B4138" s="45" t="inlineStr">
        <is>
          <t>19400</t>
        </is>
      </c>
      <c r="C4138" s="45" t="inlineStr">
        <is>
          <t>2×2×2×5×5×97</t>
        </is>
      </c>
      <c r="D4138" s="45" t="inlineStr">
        <is>
          <t>2·5</t>
        </is>
      </c>
      <c r="E4138" s="45" t="inlineStr"/>
      <c r="F4138" s="45" t="inlineStr"/>
    </row>
    <row r="4139" ht="13" customHeight="1">
      <c r="A4139" s="51" t="inlineStr">
        <is>
          <t>39313</t>
        </is>
      </c>
      <c r="B4139" s="51" t="inlineStr">
        <is>
          <t>37962</t>
        </is>
      </c>
      <c r="C4139" s="51" t="inlineStr">
        <is>
          <t>2×3×3×3×19×37</t>
        </is>
      </c>
      <c r="D4139" s="51" t="inlineStr">
        <is>
          <t>2·3·19</t>
        </is>
      </c>
      <c r="E4139" s="51" t="inlineStr"/>
      <c r="F4139" s="51" t="inlineStr"/>
    </row>
    <row r="4140" ht="13" customHeight="1">
      <c r="A4140" s="45" t="inlineStr">
        <is>
          <t>39317</t>
        </is>
      </c>
      <c r="B4140" s="45" t="inlineStr">
        <is>
          <t>894</t>
        </is>
      </c>
      <c r="C4140" s="45" t="inlineStr">
        <is>
          <t>2×3×149</t>
        </is>
      </c>
      <c r="D4140" s="45" t="inlineStr">
        <is>
          <t>2·3</t>
        </is>
      </c>
      <c r="E4140" s="45" t="inlineStr"/>
      <c r="F4140" s="45" t="inlineStr"/>
    </row>
    <row r="4141" ht="13" customHeight="1">
      <c r="A4141" s="51" t="inlineStr">
        <is>
          <t>39323</t>
        </is>
      </c>
      <c r="B4141" s="51" t="inlineStr">
        <is>
          <t>34447</t>
        </is>
      </c>
      <c r="C4141" s="51" t="inlineStr">
        <is>
          <t>7×7×19×37</t>
        </is>
      </c>
      <c r="D4141" s="51" t="inlineStr">
        <is>
          <t>7·19</t>
        </is>
      </c>
      <c r="E4141" s="51" t="inlineStr"/>
      <c r="F4141" s="51" t="inlineStr"/>
    </row>
    <row r="4142" ht="13" customHeight="1">
      <c r="A4142" s="45" t="inlineStr">
        <is>
          <t>39341</t>
        </is>
      </c>
      <c r="B4142" s="45" t="inlineStr">
        <is>
          <t>36045</t>
        </is>
      </c>
      <c r="C4142" s="45" t="inlineStr">
        <is>
          <t>3×3×3×3×5×89</t>
        </is>
      </c>
      <c r="D4142" s="45" t="inlineStr">
        <is>
          <t>3·5</t>
        </is>
      </c>
      <c r="E4142" s="45" t="inlineStr"/>
      <c r="F4142" s="45" t="inlineStr"/>
    </row>
    <row r="4143" ht="13" customHeight="1">
      <c r="A4143" s="41" t="inlineStr">
        <is>
          <t>39343</t>
        </is>
      </c>
      <c r="B4143" s="41" t="inlineStr">
        <is>
          <t>26061</t>
        </is>
      </c>
      <c r="C4143" s="41" t="inlineStr">
        <is>
          <t>3×7×17×73</t>
        </is>
      </c>
      <c r="D4143" s="41" t="inlineStr">
        <is>
          <t>3·7·17</t>
        </is>
      </c>
      <c r="E4143" s="41" t="inlineStr"/>
      <c r="F4143" s="41" t="inlineStr"/>
    </row>
    <row r="4144" ht="13" customHeight="1">
      <c r="A4144" s="45" t="inlineStr">
        <is>
          <t>39359</t>
        </is>
      </c>
      <c r="B4144" s="45" t="inlineStr">
        <is>
          <t>37863</t>
        </is>
      </c>
      <c r="C4144" s="45" t="inlineStr">
        <is>
          <t>3×3×7×601</t>
        </is>
      </c>
      <c r="D4144" s="45" t="inlineStr">
        <is>
          <t>3·7</t>
        </is>
      </c>
      <c r="E4144" s="45" t="inlineStr"/>
      <c r="F4144" s="45" t="inlineStr"/>
    </row>
    <row r="4145" ht="13" customHeight="1">
      <c r="A4145" s="49" t="inlineStr">
        <is>
          <t>39367</t>
        </is>
      </c>
      <c r="B4145" s="49" t="inlineStr">
        <is>
          <t>39961</t>
        </is>
      </c>
      <c r="C4145" s="49" t="inlineStr">
        <is>
          <t>89×449</t>
        </is>
      </c>
      <c r="D4145" s="49" t="inlineStr">
        <is>
          <t>—</t>
        </is>
      </c>
      <c r="E4145" s="49" t="inlineStr"/>
      <c r="F4145" s="49" t="inlineStr"/>
    </row>
    <row r="4146" ht="13" customHeight="1">
      <c r="A4146" s="45" t="inlineStr">
        <is>
          <t>39371</t>
        </is>
      </c>
      <c r="B4146" s="45" t="inlineStr">
        <is>
          <t>1363</t>
        </is>
      </c>
      <c r="C4146" s="45" t="inlineStr">
        <is>
          <t>29×47</t>
        </is>
      </c>
      <c r="D4146" s="45" t="inlineStr">
        <is>
          <t>—</t>
        </is>
      </c>
      <c r="E4146" s="45" t="inlineStr"/>
      <c r="F4146" s="45" t="inlineStr"/>
    </row>
    <row r="4147" ht="13" customHeight="1">
      <c r="A4147" s="50" t="inlineStr">
        <is>
          <t>39373</t>
        </is>
      </c>
      <c r="B4147" s="50" t="inlineStr">
        <is>
          <t>21739</t>
        </is>
      </c>
      <c r="C4147" s="50" t="inlineStr">
        <is>
          <t>21739</t>
        </is>
      </c>
      <c r="D4147" s="50" t="inlineStr">
        <is>
          <t>—</t>
        </is>
      </c>
      <c r="E4147" s="50" t="inlineStr"/>
      <c r="F4147" s="50" t="inlineStr"/>
    </row>
    <row r="4148" ht="13" customHeight="1">
      <c r="A4148" s="43" t="inlineStr">
        <is>
          <t>39383</t>
        </is>
      </c>
      <c r="B4148" s="43" t="inlineStr">
        <is>
          <t>8195</t>
        </is>
      </c>
      <c r="C4148" s="43" t="inlineStr">
        <is>
          <t>5×11×149</t>
        </is>
      </c>
      <c r="D4148" s="43" t="inlineStr">
        <is>
          <t>5·11</t>
        </is>
      </c>
      <c r="E4148" s="43" t="inlineStr"/>
      <c r="F4148" s="43" t="inlineStr"/>
    </row>
    <row r="4149" ht="13" customHeight="1">
      <c r="A4149" s="51" t="inlineStr">
        <is>
          <t>39397</t>
        </is>
      </c>
      <c r="B4149" s="51" t="inlineStr">
        <is>
          <t>21660</t>
        </is>
      </c>
      <c r="C4149" s="51" t="inlineStr">
        <is>
          <t>2×2×3×5×19×19</t>
        </is>
      </c>
      <c r="D4149" s="51" t="inlineStr">
        <is>
          <t>2·3·5·19</t>
        </is>
      </c>
      <c r="E4149" s="51" t="inlineStr"/>
      <c r="F4149" s="51" t="inlineStr"/>
    </row>
    <row r="4150" ht="13" customHeight="1">
      <c r="A4150" s="41" t="inlineStr">
        <is>
          <t>39409</t>
        </is>
      </c>
      <c r="B4150" s="41" t="inlineStr">
        <is>
          <t>41717</t>
        </is>
      </c>
      <c r="C4150" s="41" t="inlineStr">
        <is>
          <t>13×3209</t>
        </is>
      </c>
      <c r="D4150" s="41" t="inlineStr">
        <is>
          <t>13</t>
        </is>
      </c>
      <c r="E4150" s="41" t="inlineStr"/>
      <c r="F4150" s="41" t="inlineStr"/>
    </row>
    <row r="4151" ht="13" customHeight="1">
      <c r="A4151" s="49" t="inlineStr">
        <is>
          <t>39419</t>
        </is>
      </c>
      <c r="B4151" s="49" t="inlineStr">
        <is>
          <t>5349</t>
        </is>
      </c>
      <c r="C4151" s="49" t="inlineStr">
        <is>
          <t>3×1783</t>
        </is>
      </c>
      <c r="D4151" s="49" t="inlineStr">
        <is>
          <t>3</t>
        </is>
      </c>
      <c r="E4151" s="49" t="inlineStr"/>
      <c r="F4151" s="49" t="inlineStr"/>
    </row>
    <row r="4152" ht="13" customHeight="1">
      <c r="A4152" s="51" t="inlineStr">
        <is>
          <t>39439</t>
        </is>
      </c>
      <c r="B4152" s="51" t="inlineStr">
        <is>
          <t>5073</t>
        </is>
      </c>
      <c r="C4152" s="51" t="inlineStr">
        <is>
          <t>3×19×89</t>
        </is>
      </c>
      <c r="D4152" s="51" t="inlineStr">
        <is>
          <t>3·19</t>
        </is>
      </c>
      <c r="E4152" s="51" t="inlineStr"/>
      <c r="F4152" s="51" t="inlineStr"/>
    </row>
    <row r="4153" ht="13" customHeight="1">
      <c r="A4153" s="39" t="inlineStr">
        <is>
          <t>39443</t>
        </is>
      </c>
      <c r="B4153" s="39" t="inlineStr">
        <is>
          <t>8505</t>
        </is>
      </c>
      <c r="C4153" s="39" t="inlineStr">
        <is>
          <t>3×3×3×3×3×5×7</t>
        </is>
      </c>
      <c r="D4153" s="39" t="inlineStr">
        <is>
          <t>3·5·7</t>
        </is>
      </c>
      <c r="E4153" s="39" t="inlineStr"/>
      <c r="F4153" s="39" t="inlineStr"/>
    </row>
    <row r="4154" ht="13" customHeight="1">
      <c r="A4154" s="41" t="inlineStr">
        <is>
          <t>39451</t>
        </is>
      </c>
      <c r="B4154" s="41" t="inlineStr">
        <is>
          <t>25571</t>
        </is>
      </c>
      <c r="C4154" s="41" t="inlineStr">
        <is>
          <t>7×13×281</t>
        </is>
      </c>
      <c r="D4154" s="41" t="inlineStr">
        <is>
          <t>7·13</t>
        </is>
      </c>
      <c r="E4154" s="41" t="inlineStr"/>
      <c r="F4154" s="41" t="inlineStr"/>
    </row>
    <row r="4155" ht="13" customHeight="1">
      <c r="A4155" s="49" t="inlineStr">
        <is>
          <t>39461</t>
        </is>
      </c>
      <c r="B4155" s="49" t="inlineStr">
        <is>
          <t>11524</t>
        </is>
      </c>
      <c r="C4155" s="49" t="inlineStr">
        <is>
          <t>2×2×43×67</t>
        </is>
      </c>
      <c r="D4155" s="49" t="inlineStr">
        <is>
          <t>2</t>
        </is>
      </c>
      <c r="E4155" s="49" t="inlineStr"/>
      <c r="F4155" s="49" t="inlineStr"/>
    </row>
    <row r="4156" ht="13" customHeight="1">
      <c r="A4156" s="43" t="inlineStr">
        <is>
          <t>39499</t>
        </is>
      </c>
      <c r="B4156" s="43" t="inlineStr">
        <is>
          <t>26499</t>
        </is>
      </c>
      <c r="C4156" s="43" t="inlineStr">
        <is>
          <t>3×11×11×73</t>
        </is>
      </c>
      <c r="D4156" s="43" t="inlineStr">
        <is>
          <t>3·11</t>
        </is>
      </c>
      <c r="E4156" s="43" t="inlineStr"/>
      <c r="F4156" s="43" t="inlineStr"/>
    </row>
    <row r="4157" ht="13" customHeight="1">
      <c r="A4157" s="49" t="inlineStr">
        <is>
          <t>39503</t>
        </is>
      </c>
      <c r="B4157" s="49" t="inlineStr">
        <is>
          <t>3158</t>
        </is>
      </c>
      <c r="C4157" s="49" t="inlineStr">
        <is>
          <t>2×1579</t>
        </is>
      </c>
      <c r="D4157" s="49" t="inlineStr">
        <is>
          <t>2</t>
        </is>
      </c>
      <c r="E4157" s="49" t="inlineStr"/>
      <c r="F4157" s="49" t="inlineStr"/>
    </row>
    <row r="4158" ht="13" customHeight="1">
      <c r="A4158" s="45" t="inlineStr">
        <is>
          <t>39509</t>
        </is>
      </c>
      <c r="B4158" s="45" t="inlineStr">
        <is>
          <t>20797</t>
        </is>
      </c>
      <c r="C4158" s="45" t="inlineStr">
        <is>
          <t>7×2971</t>
        </is>
      </c>
      <c r="D4158" s="45" t="inlineStr">
        <is>
          <t>7</t>
        </is>
      </c>
      <c r="E4158" s="45" t="inlineStr"/>
      <c r="F4158" s="45" t="inlineStr"/>
    </row>
    <row r="4159" ht="13" customHeight="1">
      <c r="A4159" s="49" t="inlineStr">
        <is>
          <t>39511</t>
        </is>
      </c>
      <c r="B4159" s="49" t="inlineStr">
        <is>
          <t>2826</t>
        </is>
      </c>
      <c r="C4159" s="49" t="inlineStr">
        <is>
          <t>2×3×3×157</t>
        </is>
      </c>
      <c r="D4159" s="49" t="inlineStr">
        <is>
          <t>2·3</t>
        </is>
      </c>
      <c r="E4159" s="49" t="inlineStr"/>
      <c r="F4159" s="49" t="inlineStr"/>
    </row>
    <row r="4160" ht="13" customHeight="1">
      <c r="A4160" s="43" t="inlineStr">
        <is>
          <t>39521</t>
        </is>
      </c>
      <c r="B4160" s="43" t="inlineStr">
        <is>
          <t>14465</t>
        </is>
      </c>
      <c r="C4160" s="43" t="inlineStr">
        <is>
          <t>5×11×263</t>
        </is>
      </c>
      <c r="D4160" s="43" t="inlineStr">
        <is>
          <t>5·11</t>
        </is>
      </c>
      <c r="E4160" s="43" t="inlineStr"/>
      <c r="F4160" s="43" t="inlineStr"/>
    </row>
    <row r="4161" ht="13" customHeight="1">
      <c r="A4161" s="41" t="inlineStr">
        <is>
          <t>39541</t>
        </is>
      </c>
      <c r="B4161" s="41" t="inlineStr">
        <is>
          <t>37774</t>
        </is>
      </c>
      <c r="C4161" s="41" t="inlineStr">
        <is>
          <t>2×11×17×101</t>
        </is>
      </c>
      <c r="D4161" s="41" t="inlineStr">
        <is>
          <t>2·11·17</t>
        </is>
      </c>
      <c r="E4161" s="41" t="inlineStr"/>
      <c r="F4161" s="41" t="inlineStr"/>
    </row>
    <row r="4162" ht="13" customHeight="1">
      <c r="A4162" s="45" t="inlineStr">
        <is>
          <t>39551</t>
        </is>
      </c>
      <c r="B4162" s="45" t="inlineStr">
        <is>
          <t>20448</t>
        </is>
      </c>
      <c r="C4162" s="45" t="inlineStr">
        <is>
          <t>2×2×2×2×2×3×3×71</t>
        </is>
      </c>
      <c r="D4162" s="45" t="inlineStr">
        <is>
          <t>2·3</t>
        </is>
      </c>
      <c r="E4162" s="45" t="inlineStr"/>
      <c r="F4162" s="45" t="inlineStr"/>
    </row>
    <row r="4163" ht="13" customHeight="1">
      <c r="A4163" s="49" t="inlineStr">
        <is>
          <t>39563</t>
        </is>
      </c>
      <c r="B4163" s="49" t="inlineStr">
        <is>
          <t>13985</t>
        </is>
      </c>
      <c r="C4163" s="49" t="inlineStr">
        <is>
          <t>5×2797</t>
        </is>
      </c>
      <c r="D4163" s="49" t="inlineStr">
        <is>
          <t>5</t>
        </is>
      </c>
      <c r="E4163" s="49" t="inlineStr"/>
      <c r="F4163" s="49" t="inlineStr"/>
    </row>
    <row r="4164" ht="13" customHeight="1">
      <c r="A4164" s="45" t="inlineStr">
        <is>
          <t>39569</t>
        </is>
      </c>
      <c r="B4164" s="45" t="inlineStr">
        <is>
          <t>1035</t>
        </is>
      </c>
      <c r="C4164" s="45" t="inlineStr">
        <is>
          <t>3×3×5×23</t>
        </is>
      </c>
      <c r="D4164" s="45" t="inlineStr">
        <is>
          <t>3·5</t>
        </is>
      </c>
      <c r="E4164" s="45" t="inlineStr"/>
      <c r="F4164" s="45" t="inlineStr"/>
    </row>
    <row r="4165" ht="13" customHeight="1">
      <c r="A4165" s="51" t="inlineStr">
        <is>
          <t>39581</t>
        </is>
      </c>
      <c r="B4165" s="51" t="inlineStr">
        <is>
          <t>12673</t>
        </is>
      </c>
      <c r="C4165" s="51" t="inlineStr">
        <is>
          <t>19×23×29</t>
        </is>
      </c>
      <c r="D4165" s="51" t="inlineStr">
        <is>
          <t>19</t>
        </is>
      </c>
      <c r="E4165" s="51" t="inlineStr"/>
      <c r="F4165" s="51" t="inlineStr"/>
    </row>
    <row r="4166" ht="13" customHeight="1">
      <c r="A4166" s="45" t="inlineStr">
        <is>
          <t>39607</t>
        </is>
      </c>
      <c r="B4166" s="45" t="inlineStr">
        <is>
          <t>17287</t>
        </is>
      </c>
      <c r="C4166" s="45" t="inlineStr">
        <is>
          <t>59×293</t>
        </is>
      </c>
      <c r="D4166" s="45" t="inlineStr">
        <is>
          <t>—</t>
        </is>
      </c>
      <c r="E4166" s="45" t="inlineStr"/>
      <c r="F4166" s="45" t="inlineStr"/>
    </row>
    <row r="4167" ht="13" customHeight="1">
      <c r="A4167" s="50" t="inlineStr">
        <is>
          <t>39619</t>
        </is>
      </c>
      <c r="B4167" s="50" t="inlineStr">
        <is>
          <t>16811</t>
        </is>
      </c>
      <c r="C4167" s="50" t="inlineStr">
        <is>
          <t>16811</t>
        </is>
      </c>
      <c r="D4167" s="50" t="inlineStr">
        <is>
          <t>—</t>
        </is>
      </c>
      <c r="E4167" s="50" t="inlineStr"/>
      <c r="F4167" s="50" t="inlineStr"/>
    </row>
    <row r="4168" ht="13" customHeight="1">
      <c r="A4168" s="45" t="inlineStr">
        <is>
          <t>39623</t>
        </is>
      </c>
      <c r="B4168" s="45" t="inlineStr">
        <is>
          <t>31656</t>
        </is>
      </c>
      <c r="C4168" s="45" t="inlineStr">
        <is>
          <t>2×2×2×3×1319</t>
        </is>
      </c>
      <c r="D4168" s="45" t="inlineStr">
        <is>
          <t>2·3</t>
        </is>
      </c>
      <c r="E4168" s="45" t="inlineStr"/>
      <c r="F4168" s="45" t="inlineStr"/>
    </row>
    <row r="4169" ht="13" customHeight="1">
      <c r="A4169" s="49" t="inlineStr">
        <is>
          <t>39631</t>
        </is>
      </c>
      <c r="B4169" s="49" t="inlineStr">
        <is>
          <t>14954</t>
        </is>
      </c>
      <c r="C4169" s="49" t="inlineStr">
        <is>
          <t>2×7477</t>
        </is>
      </c>
      <c r="D4169" s="49" t="inlineStr">
        <is>
          <t>2</t>
        </is>
      </c>
      <c r="E4169" s="49" t="inlineStr"/>
      <c r="F4169" s="49" t="inlineStr"/>
    </row>
    <row r="4170" ht="13" customHeight="1">
      <c r="A4170" s="41" t="inlineStr">
        <is>
          <t>39659</t>
        </is>
      </c>
      <c r="B4170" s="41" t="inlineStr">
        <is>
          <t>34606</t>
        </is>
      </c>
      <c r="C4170" s="41" t="inlineStr">
        <is>
          <t>2×11×11×11×13</t>
        </is>
      </c>
      <c r="D4170" s="41" t="inlineStr">
        <is>
          <t>2·11·13</t>
        </is>
      </c>
      <c r="E4170" s="41" t="inlineStr"/>
      <c r="F4170" s="41" t="inlineStr"/>
    </row>
    <row r="4171" ht="13" customHeight="1">
      <c r="A4171" s="49" t="inlineStr">
        <is>
          <t>39667</t>
        </is>
      </c>
      <c r="B4171" s="49" t="inlineStr">
        <is>
          <t>40302</t>
        </is>
      </c>
      <c r="C4171" s="49" t="inlineStr">
        <is>
          <t>2×3×3×2239</t>
        </is>
      </c>
      <c r="D4171" s="49" t="inlineStr">
        <is>
          <t>2·3</t>
        </is>
      </c>
      <c r="E4171" s="49" t="inlineStr"/>
      <c r="F4171" s="49" t="inlineStr"/>
    </row>
    <row r="4172" ht="13" customHeight="1">
      <c r="A4172" s="45" t="inlineStr">
        <is>
          <t>39671</t>
        </is>
      </c>
      <c r="B4172" s="45" t="inlineStr">
        <is>
          <t>27451</t>
        </is>
      </c>
      <c r="C4172" s="45" t="inlineStr">
        <is>
          <t>97×283</t>
        </is>
      </c>
      <c r="D4172" s="45" t="inlineStr">
        <is>
          <t>—</t>
        </is>
      </c>
      <c r="E4172" s="45" t="inlineStr"/>
      <c r="F4172" s="45" t="inlineStr"/>
    </row>
    <row r="4173" ht="13" customHeight="1">
      <c r="A4173" s="50" t="inlineStr">
        <is>
          <t>39679</t>
        </is>
      </c>
      <c r="B4173" s="50" t="inlineStr">
        <is>
          <t>21157</t>
        </is>
      </c>
      <c r="C4173" s="50" t="inlineStr">
        <is>
          <t>21157</t>
        </is>
      </c>
      <c r="D4173" s="50" t="inlineStr">
        <is>
          <t>—</t>
        </is>
      </c>
      <c r="E4173" s="50" t="inlineStr"/>
      <c r="F4173" s="50" t="inlineStr"/>
    </row>
    <row r="4174" ht="13" customHeight="1">
      <c r="A4174" s="45" t="inlineStr">
        <is>
          <t>39703</t>
        </is>
      </c>
      <c r="B4174" s="45" t="inlineStr">
        <is>
          <t>4762</t>
        </is>
      </c>
      <c r="C4174" s="45" t="inlineStr">
        <is>
          <t>2×2381</t>
        </is>
      </c>
      <c r="D4174" s="45" t="inlineStr">
        <is>
          <t>2</t>
        </is>
      </c>
      <c r="E4174" s="45" t="inlineStr"/>
      <c r="F4174" s="45" t="inlineStr"/>
    </row>
    <row r="4175" ht="13" customHeight="1">
      <c r="A4175" s="41" t="inlineStr">
        <is>
          <t>39709</t>
        </is>
      </c>
      <c r="B4175" s="41" t="inlineStr">
        <is>
          <t>18326</t>
        </is>
      </c>
      <c r="C4175" s="41" t="inlineStr">
        <is>
          <t>2×7×7×11×17</t>
        </is>
      </c>
      <c r="D4175" s="41" t="inlineStr">
        <is>
          <t>2·7·11·17</t>
        </is>
      </c>
      <c r="E4175" s="41" t="inlineStr"/>
      <c r="F4175" s="41" t="inlineStr"/>
    </row>
    <row r="4176" ht="13" customHeight="1">
      <c r="A4176" s="45" t="inlineStr">
        <is>
          <t>39719</t>
        </is>
      </c>
      <c r="B4176" s="45" t="inlineStr">
        <is>
          <t>4390</t>
        </is>
      </c>
      <c r="C4176" s="45" t="inlineStr">
        <is>
          <t>2×5×439</t>
        </is>
      </c>
      <c r="D4176" s="45" t="inlineStr">
        <is>
          <t>2·5</t>
        </is>
      </c>
      <c r="E4176" s="45" t="inlineStr"/>
      <c r="F4176" s="45" t="inlineStr"/>
    </row>
    <row r="4177" ht="13" customHeight="1">
      <c r="A4177" s="50" t="inlineStr">
        <is>
          <t>39727</t>
        </is>
      </c>
      <c r="B4177" s="50" t="inlineStr">
        <is>
          <t>42569</t>
        </is>
      </c>
      <c r="C4177" s="50" t="inlineStr">
        <is>
          <t>42569</t>
        </is>
      </c>
      <c r="D4177" s="50" t="inlineStr">
        <is>
          <t>—</t>
        </is>
      </c>
      <c r="E4177" s="50" t="inlineStr"/>
      <c r="F4177" s="50" t="inlineStr"/>
    </row>
    <row r="4178" ht="13" customHeight="1">
      <c r="A4178" s="45" t="inlineStr">
        <is>
          <t>39733</t>
        </is>
      </c>
      <c r="B4178" s="45" t="inlineStr">
        <is>
          <t>20015</t>
        </is>
      </c>
      <c r="C4178" s="45" t="inlineStr">
        <is>
          <t>5×4003</t>
        </is>
      </c>
      <c r="D4178" s="45" t="inlineStr">
        <is>
          <t>5</t>
        </is>
      </c>
      <c r="E4178" s="45" t="inlineStr"/>
      <c r="F4178" s="45" t="inlineStr"/>
    </row>
    <row r="4179" ht="13" customHeight="1">
      <c r="A4179" s="43" t="inlineStr">
        <is>
          <t>39749</t>
        </is>
      </c>
      <c r="B4179" s="43" t="inlineStr">
        <is>
          <t>42119</t>
        </is>
      </c>
      <c r="C4179" s="43" t="inlineStr">
        <is>
          <t>7×11×547</t>
        </is>
      </c>
      <c r="D4179" s="43" t="inlineStr">
        <is>
          <t>7·11</t>
        </is>
      </c>
      <c r="E4179" s="43" t="inlineStr"/>
      <c r="F4179" s="43" t="inlineStr"/>
    </row>
    <row r="4180" ht="13" customHeight="1">
      <c r="A4180" s="45" t="inlineStr">
        <is>
          <t>39761</t>
        </is>
      </c>
      <c r="B4180" s="45" t="inlineStr">
        <is>
          <t>1757</t>
        </is>
      </c>
      <c r="C4180" s="45" t="inlineStr">
        <is>
          <t>7×251</t>
        </is>
      </c>
      <c r="D4180" s="45" t="inlineStr">
        <is>
          <t>7</t>
        </is>
      </c>
      <c r="E4180" s="45" t="inlineStr"/>
      <c r="F4180" s="45" t="inlineStr"/>
    </row>
    <row r="4181" ht="13" customHeight="1">
      <c r="A4181" s="49" t="inlineStr">
        <is>
          <t>39769</t>
        </is>
      </c>
      <c r="B4181" s="49" t="inlineStr">
        <is>
          <t>6663</t>
        </is>
      </c>
      <c r="C4181" s="49" t="inlineStr">
        <is>
          <t>3×2221</t>
        </is>
      </c>
      <c r="D4181" s="49" t="inlineStr">
        <is>
          <t>3</t>
        </is>
      </c>
      <c r="E4181" s="49" t="inlineStr"/>
      <c r="F4181" s="49" t="inlineStr"/>
    </row>
    <row r="4182" ht="13" customHeight="1">
      <c r="A4182" s="45" t="inlineStr">
        <is>
          <t>39779</t>
        </is>
      </c>
      <c r="B4182" s="45" t="inlineStr">
        <is>
          <t>18730</t>
        </is>
      </c>
      <c r="C4182" s="45" t="inlineStr">
        <is>
          <t>2×5×1873</t>
        </is>
      </c>
      <c r="D4182" s="45" t="inlineStr">
        <is>
          <t>2·5</t>
        </is>
      </c>
      <c r="E4182" s="45" t="inlineStr"/>
      <c r="F4182" s="45" t="inlineStr"/>
    </row>
    <row r="4183" ht="13" customHeight="1">
      <c r="A4183" s="41" t="inlineStr">
        <is>
          <t>39791</t>
        </is>
      </c>
      <c r="B4183" s="41" t="inlineStr">
        <is>
          <t>32147</t>
        </is>
      </c>
      <c r="C4183" s="41" t="inlineStr">
        <is>
          <t>17×31×61</t>
        </is>
      </c>
      <c r="D4183" s="41" t="inlineStr">
        <is>
          <t>17</t>
        </is>
      </c>
      <c r="E4183" s="41" t="inlineStr"/>
      <c r="F4183" s="41" t="inlineStr"/>
    </row>
    <row r="4184" ht="13" customHeight="1">
      <c r="A4184" s="45" t="inlineStr">
        <is>
          <t>39799</t>
        </is>
      </c>
      <c r="B4184" s="45" t="inlineStr">
        <is>
          <t>18141</t>
        </is>
      </c>
      <c r="C4184" s="45" t="inlineStr">
        <is>
          <t>3×6047</t>
        </is>
      </c>
      <c r="D4184" s="45" t="inlineStr">
        <is>
          <t>3</t>
        </is>
      </c>
      <c r="E4184" s="45" t="inlineStr"/>
      <c r="F4184" s="45" t="inlineStr"/>
    </row>
    <row r="4185" ht="13" customHeight="1">
      <c r="A4185" s="49" t="inlineStr">
        <is>
          <t>39821</t>
        </is>
      </c>
      <c r="B4185" s="49" t="inlineStr">
        <is>
          <t>23901</t>
        </is>
      </c>
      <c r="C4185" s="49" t="inlineStr">
        <is>
          <t>3×31×257</t>
        </is>
      </c>
      <c r="D4185" s="49" t="inlineStr">
        <is>
          <t>3</t>
        </is>
      </c>
      <c r="E4185" s="49" t="inlineStr"/>
      <c r="F4185" s="49" t="inlineStr"/>
    </row>
    <row r="4186" ht="13" customHeight="1">
      <c r="A4186" s="45" t="inlineStr">
        <is>
          <t>39827</t>
        </is>
      </c>
      <c r="B4186" s="45" t="inlineStr">
        <is>
          <t>34347</t>
        </is>
      </c>
      <c r="C4186" s="45" t="inlineStr">
        <is>
          <t>3×107×107</t>
        </is>
      </c>
      <c r="D4186" s="45" t="inlineStr">
        <is>
          <t>3</t>
        </is>
      </c>
      <c r="E4186" s="45" t="inlineStr"/>
      <c r="F4186" s="45" t="inlineStr"/>
    </row>
    <row r="4187" ht="13" customHeight="1">
      <c r="A4187" s="41" t="inlineStr">
        <is>
          <t>39829</t>
        </is>
      </c>
      <c r="B4187" s="41" t="inlineStr">
        <is>
          <t>31460</t>
        </is>
      </c>
      <c r="C4187" s="41" t="inlineStr">
        <is>
          <t>2×2×5×11×11×13</t>
        </is>
      </c>
      <c r="D4187" s="41" t="inlineStr">
        <is>
          <t>2·5·11·13</t>
        </is>
      </c>
      <c r="E4187" s="41" t="inlineStr"/>
      <c r="F4187" s="41" t="inlineStr"/>
    </row>
    <row r="4188" ht="13" customHeight="1">
      <c r="A4188" s="43" t="inlineStr">
        <is>
          <t>39839</t>
        </is>
      </c>
      <c r="B4188" s="43" t="inlineStr">
        <is>
          <t>29843</t>
        </is>
      </c>
      <c r="C4188" s="43" t="inlineStr">
        <is>
          <t>11×2713</t>
        </is>
      </c>
      <c r="D4188" s="43" t="inlineStr">
        <is>
          <t>11</t>
        </is>
      </c>
      <c r="E4188" s="43" t="inlineStr"/>
      <c r="F4188" s="43" t="inlineStr"/>
    </row>
    <row r="4189" ht="13" customHeight="1">
      <c r="A4189" s="49" t="inlineStr">
        <is>
          <t>39841</t>
        </is>
      </c>
      <c r="B4189" s="49" t="inlineStr">
        <is>
          <t>18970</t>
        </is>
      </c>
      <c r="C4189" s="49" t="inlineStr">
        <is>
          <t>2×5×7×271</t>
        </is>
      </c>
      <c r="D4189" s="49" t="inlineStr">
        <is>
          <t>2·5·7</t>
        </is>
      </c>
      <c r="E4189" s="49" t="inlineStr"/>
      <c r="F4189" s="49" t="inlineStr"/>
    </row>
    <row r="4190" ht="13" customHeight="1">
      <c r="A4190" s="45" t="inlineStr">
        <is>
          <t>39847</t>
        </is>
      </c>
      <c r="B4190" s="45" t="inlineStr">
        <is>
          <t>24704</t>
        </is>
      </c>
      <c r="C4190" s="45" t="inlineStr">
        <is>
          <t>2×2×2×2×2×2×2×193</t>
        </is>
      </c>
      <c r="D4190" s="45" t="inlineStr">
        <is>
          <t>2</t>
        </is>
      </c>
      <c r="E4190" s="45" t="inlineStr"/>
      <c r="F4190" s="45" t="inlineStr"/>
    </row>
    <row r="4191" ht="13" customHeight="1">
      <c r="A4191" s="51" t="inlineStr">
        <is>
          <t>39857</t>
        </is>
      </c>
      <c r="B4191" s="51" t="inlineStr">
        <is>
          <t>22534</t>
        </is>
      </c>
      <c r="C4191" s="51" t="inlineStr">
        <is>
          <t>2×19×593</t>
        </is>
      </c>
      <c r="D4191" s="51" t="inlineStr">
        <is>
          <t>2·19</t>
        </is>
      </c>
      <c r="E4191" s="51" t="inlineStr"/>
      <c r="F4191" s="51" t="inlineStr"/>
    </row>
    <row r="4192" ht="13" customHeight="1">
      <c r="A4192" s="41" t="inlineStr">
        <is>
          <t>39863</t>
        </is>
      </c>
      <c r="B4192" s="41" t="inlineStr">
        <is>
          <t>9230</t>
        </is>
      </c>
      <c r="C4192" s="41" t="inlineStr">
        <is>
          <t>2×5×13×71</t>
        </is>
      </c>
      <c r="D4192" s="41" t="inlineStr">
        <is>
          <t>2·5·13</t>
        </is>
      </c>
      <c r="E4192" s="41" t="inlineStr"/>
      <c r="F4192" s="41" t="inlineStr"/>
    </row>
    <row r="4193" ht="13" customHeight="1">
      <c r="A4193" s="49" t="inlineStr">
        <is>
          <t>39869</t>
        </is>
      </c>
      <c r="B4193" s="49" t="inlineStr">
        <is>
          <t>28555</t>
        </is>
      </c>
      <c r="C4193" s="49" t="inlineStr">
        <is>
          <t>5×5711</t>
        </is>
      </c>
      <c r="D4193" s="49" t="inlineStr">
        <is>
          <t>5</t>
        </is>
      </c>
      <c r="E4193" s="49" t="inlineStr"/>
      <c r="F4193" s="49" t="inlineStr"/>
    </row>
    <row r="4194" ht="13" customHeight="1">
      <c r="A4194" s="45" t="inlineStr">
        <is>
          <t>39877</t>
        </is>
      </c>
      <c r="B4194" s="45" t="inlineStr">
        <is>
          <t>24163</t>
        </is>
      </c>
      <c r="C4194" s="45" t="inlineStr">
        <is>
          <t>73×331</t>
        </is>
      </c>
      <c r="D4194" s="45" t="inlineStr">
        <is>
          <t>—</t>
        </is>
      </c>
      <c r="E4194" s="45" t="inlineStr"/>
      <c r="F4194" s="45" t="inlineStr"/>
    </row>
    <row r="4195" ht="13" customHeight="1">
      <c r="A4195" s="49" t="inlineStr">
        <is>
          <t>39883</t>
        </is>
      </c>
      <c r="B4195" s="49" t="inlineStr">
        <is>
          <t>23246</t>
        </is>
      </c>
      <c r="C4195" s="49" t="inlineStr">
        <is>
          <t>2×59×197</t>
        </is>
      </c>
      <c r="D4195" s="49" t="inlineStr">
        <is>
          <t>2</t>
        </is>
      </c>
      <c r="E4195" s="49" t="inlineStr"/>
      <c r="F4195" s="49" t="inlineStr"/>
    </row>
    <row r="4196" ht="13" customHeight="1">
      <c r="A4196" s="43" t="inlineStr">
        <is>
          <t>39887</t>
        </is>
      </c>
      <c r="B4196" s="43" t="inlineStr">
        <is>
          <t>31625</t>
        </is>
      </c>
      <c r="C4196" s="43" t="inlineStr">
        <is>
          <t>5×5×5×11×23</t>
        </is>
      </c>
      <c r="D4196" s="43" t="inlineStr">
        <is>
          <t>5·11</t>
        </is>
      </c>
      <c r="E4196" s="43" t="inlineStr"/>
      <c r="F4196" s="43" t="inlineStr"/>
    </row>
    <row r="4197" ht="13" customHeight="1">
      <c r="A4197" s="50" t="inlineStr">
        <is>
          <t>39901</t>
        </is>
      </c>
      <c r="B4197" s="50" t="inlineStr">
        <is>
          <t>26479</t>
        </is>
      </c>
      <c r="C4197" s="50" t="inlineStr">
        <is>
          <t>26479</t>
        </is>
      </c>
      <c r="D4197" s="50" t="inlineStr">
        <is>
          <t>—</t>
        </is>
      </c>
      <c r="E4197" s="50" t="inlineStr"/>
      <c r="F4197" s="50" t="inlineStr"/>
    </row>
    <row r="4198" ht="13" customHeight="1">
      <c r="A4198" s="43" t="inlineStr">
        <is>
          <t>39929</t>
        </is>
      </c>
      <c r="B4198" s="43" t="inlineStr">
        <is>
          <t>5907</t>
        </is>
      </c>
      <c r="C4198" s="43" t="inlineStr">
        <is>
          <t>3×11×179</t>
        </is>
      </c>
      <c r="D4198" s="43" t="inlineStr">
        <is>
          <t>3·11</t>
        </is>
      </c>
      <c r="E4198" s="43" t="inlineStr"/>
      <c r="F4198" s="43" t="inlineStr"/>
    </row>
    <row r="4199" ht="13" customHeight="1">
      <c r="A4199" s="50" t="inlineStr">
        <is>
          <t>39937</t>
        </is>
      </c>
      <c r="B4199" s="50" t="inlineStr">
        <is>
          <t>23977</t>
        </is>
      </c>
      <c r="C4199" s="50" t="inlineStr">
        <is>
          <t>23977</t>
        </is>
      </c>
      <c r="D4199" s="50" t="inlineStr">
        <is>
          <t>—</t>
        </is>
      </c>
      <c r="E4199" s="50" t="inlineStr"/>
      <c r="F4199" s="50" t="inlineStr"/>
    </row>
    <row r="4200" ht="13" customHeight="1">
      <c r="A4200" s="43" t="inlineStr">
        <is>
          <t>39953</t>
        </is>
      </c>
      <c r="B4200" s="43" t="inlineStr">
        <is>
          <t>11308</t>
        </is>
      </c>
      <c r="C4200" s="43" t="inlineStr">
        <is>
          <t>2×2×11×257</t>
        </is>
      </c>
      <c r="D4200" s="43" t="inlineStr">
        <is>
          <t>2·11</t>
        </is>
      </c>
      <c r="E4200" s="43" t="inlineStr"/>
      <c r="F4200" s="43" t="inlineStr"/>
    </row>
    <row r="4201" ht="13" customHeight="1">
      <c r="A4201" s="49" t="inlineStr">
        <is>
          <t>39971</t>
        </is>
      </c>
      <c r="B4201" s="49" t="inlineStr">
        <is>
          <t>28995</t>
        </is>
      </c>
      <c r="C4201" s="49" t="inlineStr">
        <is>
          <t>3×5×1933</t>
        </is>
      </c>
      <c r="D4201" s="49" t="inlineStr">
        <is>
          <t>3·5</t>
        </is>
      </c>
      <c r="E4201" s="49" t="inlineStr"/>
      <c r="F4201" s="49" t="inlineStr"/>
    </row>
    <row r="4202" ht="13" customHeight="1">
      <c r="A4202" s="41" t="inlineStr">
        <is>
          <t>39979</t>
        </is>
      </c>
      <c r="B4202" s="41" t="inlineStr">
        <is>
          <t>34515</t>
        </is>
      </c>
      <c r="C4202" s="41" t="inlineStr">
        <is>
          <t>3×3×5×13×59</t>
        </is>
      </c>
      <c r="D4202" s="41" t="inlineStr">
        <is>
          <t>3·5·13</t>
        </is>
      </c>
      <c r="E4202" s="41" t="inlineStr"/>
      <c r="F4202" s="41" t="inlineStr"/>
    </row>
    <row r="4203" ht="13" customHeight="1">
      <c r="A4203" s="49" t="inlineStr">
        <is>
          <t>39983</t>
        </is>
      </c>
      <c r="B4203" s="49" t="inlineStr">
        <is>
          <t>16142</t>
        </is>
      </c>
      <c r="C4203" s="49" t="inlineStr">
        <is>
          <t>2×7×1153</t>
        </is>
      </c>
      <c r="D4203" s="49" t="inlineStr">
        <is>
          <t>2·7</t>
        </is>
      </c>
      <c r="E4203" s="49" t="inlineStr"/>
      <c r="F4203" s="49" t="inlineStr"/>
    </row>
    <row r="4204" ht="13" customHeight="1">
      <c r="A4204" s="45" t="inlineStr">
        <is>
          <t>39989</t>
        </is>
      </c>
      <c r="B4204" s="45" t="inlineStr">
        <is>
          <t>6898</t>
        </is>
      </c>
      <c r="C4204" s="45" t="inlineStr">
        <is>
          <t>2×3449</t>
        </is>
      </c>
      <c r="D4204" s="45" t="inlineStr">
        <is>
          <t>2</t>
        </is>
      </c>
      <c r="E4204" s="45" t="inlineStr"/>
      <c r="F4204" s="45" t="inlineStr"/>
    </row>
    <row r="4205" ht="13" customHeight="1">
      <c r="A4205" s="49" t="inlineStr">
        <is>
          <t>40009</t>
        </is>
      </c>
      <c r="B4205" s="49" t="inlineStr">
        <is>
          <t>26982</t>
        </is>
      </c>
      <c r="C4205" s="49" t="inlineStr">
        <is>
          <t>2×3×3×1499</t>
        </is>
      </c>
      <c r="D4205" s="49" t="inlineStr">
        <is>
          <t>2·3</t>
        </is>
      </c>
      <c r="E4205" s="49" t="inlineStr"/>
      <c r="F4205" s="49" t="inlineStr"/>
    </row>
    <row r="4206" ht="13" customHeight="1">
      <c r="A4206" s="43" t="inlineStr">
        <is>
          <t>40013</t>
        </is>
      </c>
      <c r="B4206" s="43" t="inlineStr">
        <is>
          <t>35508</t>
        </is>
      </c>
      <c r="C4206" s="43" t="inlineStr">
        <is>
          <t>2×2×3×11×269</t>
        </is>
      </c>
      <c r="D4206" s="43" t="inlineStr">
        <is>
          <t>2·3·11</t>
        </is>
      </c>
      <c r="E4206" s="43" t="inlineStr"/>
      <c r="F4206" s="43" t="inlineStr"/>
    </row>
    <row r="4207" ht="13" customHeight="1">
      <c r="A4207" s="49" t="inlineStr">
        <is>
          <t>40031</t>
        </is>
      </c>
      <c r="B4207" s="49" t="inlineStr">
        <is>
          <t>41358</t>
        </is>
      </c>
      <c r="C4207" s="49" t="inlineStr">
        <is>
          <t>2×3×61×113</t>
        </is>
      </c>
      <c r="D4207" s="49" t="inlineStr">
        <is>
          <t>2·3</t>
        </is>
      </c>
      <c r="E4207" s="49" t="inlineStr"/>
      <c r="F4207" s="49" t="inlineStr"/>
    </row>
    <row r="4208" ht="13" customHeight="1">
      <c r="A4208" s="45" t="inlineStr">
        <is>
          <t>40037</t>
        </is>
      </c>
      <c r="B4208" s="45" t="inlineStr">
        <is>
          <t>39346</t>
        </is>
      </c>
      <c r="C4208" s="45" t="inlineStr">
        <is>
          <t>2×103×191</t>
        </is>
      </c>
      <c r="D4208" s="45" t="inlineStr">
        <is>
          <t>2</t>
        </is>
      </c>
      <c r="E4208" s="45" t="inlineStr"/>
      <c r="F4208" s="45" t="inlineStr"/>
    </row>
    <row r="4209" ht="13" customHeight="1">
      <c r="A4209" s="49" t="inlineStr">
        <is>
          <t>40039</t>
        </is>
      </c>
      <c r="B4209" s="49" t="inlineStr">
        <is>
          <t>16195</t>
        </is>
      </c>
      <c r="C4209" s="49" t="inlineStr">
        <is>
          <t>5×41×79</t>
        </is>
      </c>
      <c r="D4209" s="49" t="inlineStr">
        <is>
          <t>5</t>
        </is>
      </c>
      <c r="E4209" s="49" t="inlineStr"/>
      <c r="F4209" s="49" t="inlineStr"/>
    </row>
    <row r="4210" ht="13" customHeight="1">
      <c r="A4210" s="41" t="inlineStr">
        <is>
          <t>40063</t>
        </is>
      </c>
      <c r="B4210" s="41" t="inlineStr">
        <is>
          <t>33354</t>
        </is>
      </c>
      <c r="C4210" s="41" t="inlineStr">
        <is>
          <t>2×3×3×17×109</t>
        </is>
      </c>
      <c r="D4210" s="41" t="inlineStr">
        <is>
          <t>2·3·17</t>
        </is>
      </c>
      <c r="E4210" s="41" t="inlineStr"/>
      <c r="F4210" s="41" t="inlineStr"/>
    </row>
    <row r="4211" ht="13" customHeight="1">
      <c r="A4211" s="49" t="inlineStr">
        <is>
          <t>40087</t>
        </is>
      </c>
      <c r="B4211" s="49" t="inlineStr">
        <is>
          <t>8122</t>
        </is>
      </c>
      <c r="C4211" s="49" t="inlineStr">
        <is>
          <t>2×31×131</t>
        </is>
      </c>
      <c r="D4211" s="49" t="inlineStr">
        <is>
          <t>2</t>
        </is>
      </c>
      <c r="E4211" s="49" t="inlineStr"/>
      <c r="F4211" s="49" t="inlineStr"/>
    </row>
    <row r="4212" ht="13" customHeight="1">
      <c r="A4212" s="43" t="inlineStr">
        <is>
          <t>40093</t>
        </is>
      </c>
      <c r="B4212" s="43" t="inlineStr">
        <is>
          <t>13200</t>
        </is>
      </c>
      <c r="C4212" s="43" t="inlineStr">
        <is>
          <t>2×2×2×2×3×5×5×11</t>
        </is>
      </c>
      <c r="D4212" s="43" t="inlineStr">
        <is>
          <t>2·3·5·11</t>
        </is>
      </c>
      <c r="E4212" s="43" t="inlineStr"/>
      <c r="F4212" s="43" t="inlineStr"/>
    </row>
    <row r="4213" ht="13" customHeight="1">
      <c r="A4213" s="49" t="inlineStr">
        <is>
          <t>40099</t>
        </is>
      </c>
      <c r="B4213" s="49" t="inlineStr">
        <is>
          <t>9853</t>
        </is>
      </c>
      <c r="C4213" s="49" t="inlineStr">
        <is>
          <t>59×167</t>
        </is>
      </c>
      <c r="D4213" s="49" t="inlineStr">
        <is>
          <t>—</t>
        </is>
      </c>
      <c r="E4213" s="49" t="inlineStr"/>
      <c r="F4213" s="49" t="inlineStr"/>
    </row>
    <row r="4214" ht="13" customHeight="1">
      <c r="A4214" s="45" t="inlineStr">
        <is>
          <t>40111</t>
        </is>
      </c>
      <c r="B4214" s="45" t="inlineStr">
        <is>
          <t>16857</t>
        </is>
      </c>
      <c r="C4214" s="45" t="inlineStr">
        <is>
          <t>3×3×1873</t>
        </is>
      </c>
      <c r="D4214" s="45" t="inlineStr">
        <is>
          <t>3</t>
        </is>
      </c>
      <c r="E4214" s="45" t="inlineStr"/>
      <c r="F4214" s="45" t="inlineStr"/>
    </row>
    <row r="4215" ht="13" customHeight="1">
      <c r="A4215" s="41" t="inlineStr">
        <is>
          <t>40123</t>
        </is>
      </c>
      <c r="B4215" s="41" t="inlineStr">
        <is>
          <t>27166</t>
        </is>
      </c>
      <c r="C4215" s="41" t="inlineStr">
        <is>
          <t>2×17×17×47</t>
        </is>
      </c>
      <c r="D4215" s="41" t="inlineStr">
        <is>
          <t>2·17</t>
        </is>
      </c>
      <c r="E4215" s="41" t="inlineStr"/>
      <c r="F4215" s="41" t="inlineStr"/>
    </row>
    <row r="4216" ht="13" customHeight="1">
      <c r="A4216" s="50" t="inlineStr">
        <is>
          <t>40127</t>
        </is>
      </c>
      <c r="B4216" s="50" t="inlineStr">
        <is>
          <t>24137</t>
        </is>
      </c>
      <c r="C4216" s="50" t="inlineStr">
        <is>
          <t>24137</t>
        </is>
      </c>
      <c r="D4216" s="50" t="inlineStr">
        <is>
          <t>—</t>
        </is>
      </c>
      <c r="E4216" s="50" t="inlineStr"/>
      <c r="F4216" s="50" t="inlineStr"/>
    </row>
    <row r="4217" ht="13" customHeight="1">
      <c r="A4217" s="49" t="inlineStr">
        <is>
          <t>40129</t>
        </is>
      </c>
      <c r="B4217" s="49" t="inlineStr">
        <is>
          <t>24172</t>
        </is>
      </c>
      <c r="C4217" s="49" t="inlineStr">
        <is>
          <t>2×2×6043</t>
        </is>
      </c>
      <c r="D4217" s="49" t="inlineStr">
        <is>
          <t>2</t>
        </is>
      </c>
      <c r="E4217" s="49" t="inlineStr"/>
      <c r="F4217" s="49" t="inlineStr"/>
    </row>
    <row r="4218" ht="13" customHeight="1">
      <c r="A4218" s="45" t="inlineStr">
        <is>
          <t>40151</t>
        </is>
      </c>
      <c r="B4218" s="45" t="inlineStr">
        <is>
          <t>24403</t>
        </is>
      </c>
      <c r="C4218" s="45" t="inlineStr">
        <is>
          <t>23×1061</t>
        </is>
      </c>
      <c r="D4218" s="45" t="inlineStr">
        <is>
          <t>—</t>
        </is>
      </c>
      <c r="E4218" s="45" t="inlineStr"/>
      <c r="F4218" s="45" t="inlineStr"/>
    </row>
    <row r="4219" ht="13" customHeight="1">
      <c r="A4219" s="49" t="inlineStr">
        <is>
          <t>40153</t>
        </is>
      </c>
      <c r="B4219" s="49" t="inlineStr">
        <is>
          <t>3197</t>
        </is>
      </c>
      <c r="C4219" s="49" t="inlineStr">
        <is>
          <t>23×139</t>
        </is>
      </c>
      <c r="D4219" s="49" t="inlineStr">
        <is>
          <t>—</t>
        </is>
      </c>
      <c r="E4219" s="49" t="inlineStr"/>
      <c r="F4219" s="49" t="inlineStr"/>
    </row>
    <row r="4220" ht="13" customHeight="1">
      <c r="A4220" s="51" t="inlineStr">
        <is>
          <t>40163</t>
        </is>
      </c>
      <c r="B4220" s="51" t="inlineStr">
        <is>
          <t>33668</t>
        </is>
      </c>
      <c r="C4220" s="51" t="inlineStr">
        <is>
          <t>2×2×19×443</t>
        </is>
      </c>
      <c r="D4220" s="51" t="inlineStr">
        <is>
          <t>2·19</t>
        </is>
      </c>
      <c r="E4220" s="51" t="inlineStr"/>
      <c r="F4220" s="51" t="inlineStr"/>
    </row>
    <row r="4221" ht="13" customHeight="1">
      <c r="A4221" s="49" t="inlineStr">
        <is>
          <t>40169</t>
        </is>
      </c>
      <c r="B4221" s="49" t="inlineStr">
        <is>
          <t>3096</t>
        </is>
      </c>
      <c r="C4221" s="49" t="inlineStr">
        <is>
          <t>2×2×2×3×3×43</t>
        </is>
      </c>
      <c r="D4221" s="49" t="inlineStr">
        <is>
          <t>2·3</t>
        </is>
      </c>
      <c r="E4221" s="49" t="inlineStr"/>
      <c r="F4221" s="49" t="inlineStr"/>
    </row>
    <row r="4222" ht="13" customHeight="1">
      <c r="A4222" s="43" t="inlineStr">
        <is>
          <t>40177</t>
        </is>
      </c>
      <c r="B4222" s="43" t="inlineStr">
        <is>
          <t>24783</t>
        </is>
      </c>
      <c r="C4222" s="43" t="inlineStr">
        <is>
          <t>3×11×751</t>
        </is>
      </c>
      <c r="D4222" s="43" t="inlineStr">
        <is>
          <t>3·11</t>
        </is>
      </c>
      <c r="E4222" s="43" t="inlineStr"/>
      <c r="F4222" s="43" t="inlineStr"/>
    </row>
    <row r="4223" ht="13" customHeight="1">
      <c r="A4223" s="49" t="inlineStr">
        <is>
          <t>40189</t>
        </is>
      </c>
      <c r="B4223" s="49" t="inlineStr">
        <is>
          <t>8578</t>
        </is>
      </c>
      <c r="C4223" s="49" t="inlineStr">
        <is>
          <t>2×4289</t>
        </is>
      </c>
      <c r="D4223" s="49" t="inlineStr">
        <is>
          <t>2</t>
        </is>
      </c>
      <c r="E4223" s="49" t="inlineStr"/>
      <c r="F4223" s="49" t="inlineStr"/>
    </row>
    <row r="4224" ht="13" customHeight="1">
      <c r="A4224" s="45" t="inlineStr">
        <is>
          <t>40193</t>
        </is>
      </c>
      <c r="B4224" s="45" t="inlineStr">
        <is>
          <t>2742</t>
        </is>
      </c>
      <c r="C4224" s="45" t="inlineStr">
        <is>
          <t>2×3×457</t>
        </is>
      </c>
      <c r="D4224" s="45" t="inlineStr">
        <is>
          <t>2·3</t>
        </is>
      </c>
      <c r="E4224" s="45" t="inlineStr"/>
      <c r="F4224" s="45" t="inlineStr"/>
    </row>
    <row r="4225" ht="13" customHeight="1">
      <c r="A4225" s="49" t="inlineStr">
        <is>
          <t>40213</t>
        </is>
      </c>
      <c r="B4225" s="49" t="inlineStr">
        <is>
          <t>15644</t>
        </is>
      </c>
      <c r="C4225" s="49" t="inlineStr">
        <is>
          <t>2×2×3911</t>
        </is>
      </c>
      <c r="D4225" s="49" t="inlineStr">
        <is>
          <t>2</t>
        </is>
      </c>
      <c r="E4225" s="49" t="inlineStr"/>
      <c r="F4225" s="49" t="inlineStr"/>
    </row>
    <row r="4226" ht="13" customHeight="1">
      <c r="A4226" s="41" t="inlineStr">
        <is>
          <t>40231</t>
        </is>
      </c>
      <c r="B4226" s="41" t="inlineStr">
        <is>
          <t>21671</t>
        </is>
      </c>
      <c r="C4226" s="41" t="inlineStr">
        <is>
          <t>13×1667</t>
        </is>
      </c>
      <c r="D4226" s="41" t="inlineStr">
        <is>
          <t>13</t>
        </is>
      </c>
      <c r="E4226" s="41" t="inlineStr"/>
      <c r="F4226" s="41" t="inlineStr"/>
    </row>
    <row r="4227" ht="13" customHeight="1">
      <c r="A4227" s="49" t="inlineStr">
        <is>
          <t>40237</t>
        </is>
      </c>
      <c r="B4227" s="49" t="inlineStr">
        <is>
          <t>21410</t>
        </is>
      </c>
      <c r="C4227" s="49" t="inlineStr">
        <is>
          <t>2×5×2141</t>
        </is>
      </c>
      <c r="D4227" s="49" t="inlineStr">
        <is>
          <t>2·5</t>
        </is>
      </c>
      <c r="E4227" s="49" t="inlineStr"/>
      <c r="F4227" s="49" t="inlineStr"/>
    </row>
    <row r="4228" ht="13" customHeight="1">
      <c r="A4228" s="41" t="inlineStr">
        <is>
          <t>40241</t>
        </is>
      </c>
      <c r="B4228" s="41" t="inlineStr">
        <is>
          <t>41888</t>
        </is>
      </c>
      <c r="C4228" s="41" t="inlineStr">
        <is>
          <t>2×2×2×2×2×7×11×17</t>
        </is>
      </c>
      <c r="D4228" s="41" t="inlineStr">
        <is>
          <t>2·7·11·17</t>
        </is>
      </c>
      <c r="E4228" s="41" t="inlineStr"/>
      <c r="F4228" s="41" t="inlineStr"/>
    </row>
    <row r="4229" ht="13" customHeight="1">
      <c r="A4229" s="49" t="inlineStr">
        <is>
          <t>40253</t>
        </is>
      </c>
      <c r="B4229" s="49" t="inlineStr">
        <is>
          <t>11797</t>
        </is>
      </c>
      <c r="C4229" s="49" t="inlineStr">
        <is>
          <t>47×251</t>
        </is>
      </c>
      <c r="D4229" s="49" t="inlineStr">
        <is>
          <t>—</t>
        </is>
      </c>
      <c r="E4229" s="49" t="inlineStr"/>
      <c r="F4229" s="49" t="inlineStr"/>
    </row>
    <row r="4230" ht="13" customHeight="1">
      <c r="A4230" s="45" t="inlineStr">
        <is>
          <t>40277</t>
        </is>
      </c>
      <c r="B4230" s="45" t="inlineStr">
        <is>
          <t>38253</t>
        </is>
      </c>
      <c r="C4230" s="45" t="inlineStr">
        <is>
          <t>3×41×311</t>
        </is>
      </c>
      <c r="D4230" s="45" t="inlineStr">
        <is>
          <t>3</t>
        </is>
      </c>
      <c r="E4230" s="45" t="inlineStr"/>
      <c r="F4230" s="45" t="inlineStr"/>
    </row>
    <row r="4231" ht="13" customHeight="1">
      <c r="A4231" s="41" t="inlineStr">
        <is>
          <t>40283</t>
        </is>
      </c>
      <c r="B4231" s="41" t="inlineStr">
        <is>
          <t>27727</t>
        </is>
      </c>
      <c r="C4231" s="41" t="inlineStr">
        <is>
          <t>7×17×233</t>
        </is>
      </c>
      <c r="D4231" s="41" t="inlineStr">
        <is>
          <t>7·17</t>
        </is>
      </c>
      <c r="E4231" s="41" t="inlineStr"/>
      <c r="F4231" s="41" t="inlineStr"/>
    </row>
    <row r="4232" ht="13" customHeight="1">
      <c r="A4232" s="45" t="inlineStr">
        <is>
          <t>40289</t>
        </is>
      </c>
      <c r="B4232" s="45" t="inlineStr">
        <is>
          <t>24664</t>
        </is>
      </c>
      <c r="C4232" s="45" t="inlineStr">
        <is>
          <t>2×2×2×3083</t>
        </is>
      </c>
      <c r="D4232" s="45" t="inlineStr">
        <is>
          <t>2</t>
        </is>
      </c>
      <c r="E4232" s="45" t="inlineStr"/>
      <c r="F4232" s="45" t="inlineStr"/>
    </row>
    <row r="4233" ht="13" customHeight="1">
      <c r="A4233" s="49" t="inlineStr">
        <is>
          <t>40343</t>
        </is>
      </c>
      <c r="B4233" s="49" t="inlineStr">
        <is>
          <t>27206</t>
        </is>
      </c>
      <c r="C4233" s="49" t="inlineStr">
        <is>
          <t>2×61×223</t>
        </is>
      </c>
      <c r="D4233" s="49" t="inlineStr">
        <is>
          <t>2</t>
        </is>
      </c>
      <c r="E4233" s="49" t="inlineStr"/>
      <c r="F4233" s="49" t="inlineStr"/>
    </row>
    <row r="4234" ht="13" customHeight="1">
      <c r="A4234" s="45" t="inlineStr">
        <is>
          <t>40351</t>
        </is>
      </c>
      <c r="B4234" s="45" t="inlineStr">
        <is>
          <t>40182</t>
        </is>
      </c>
      <c r="C4234" s="45" t="inlineStr">
        <is>
          <t>2×3×37×181</t>
        </is>
      </c>
      <c r="D4234" s="45" t="inlineStr">
        <is>
          <t>2·3</t>
        </is>
      </c>
      <c r="E4234" s="45" t="inlineStr"/>
      <c r="F4234" s="45" t="inlineStr"/>
    </row>
    <row r="4235" ht="13" customHeight="1">
      <c r="A4235" s="49" t="inlineStr">
        <is>
          <t>40357</t>
        </is>
      </c>
      <c r="B4235" s="49" t="inlineStr">
        <is>
          <t>10354</t>
        </is>
      </c>
      <c r="C4235" s="49" t="inlineStr">
        <is>
          <t>2×31×167</t>
        </is>
      </c>
      <c r="D4235" s="49" t="inlineStr">
        <is>
          <t>2</t>
        </is>
      </c>
      <c r="E4235" s="49" t="inlineStr"/>
      <c r="F4235" s="49" t="inlineStr"/>
    </row>
    <row r="4236" ht="13" customHeight="1">
      <c r="A4236" s="45" t="inlineStr">
        <is>
          <t>40361</t>
        </is>
      </c>
      <c r="B4236" s="45" t="inlineStr">
        <is>
          <t>11729</t>
        </is>
      </c>
      <c r="C4236" s="45" t="inlineStr">
        <is>
          <t>37×317</t>
        </is>
      </c>
      <c r="D4236" s="45" t="inlineStr">
        <is>
          <t>—</t>
        </is>
      </c>
      <c r="E4236" s="45" t="inlineStr"/>
      <c r="F4236" s="45" t="inlineStr"/>
    </row>
    <row r="4237" ht="13" customHeight="1">
      <c r="A4237" s="43" t="inlineStr">
        <is>
          <t>40387</t>
        </is>
      </c>
      <c r="B4237" s="43" t="inlineStr">
        <is>
          <t>39138</t>
        </is>
      </c>
      <c r="C4237" s="43" t="inlineStr">
        <is>
          <t>2×3×11×593</t>
        </is>
      </c>
      <c r="D4237" s="43" t="inlineStr">
        <is>
          <t>2·3·11</t>
        </is>
      </c>
      <c r="E4237" s="43" t="inlineStr"/>
      <c r="F4237" s="43" t="inlineStr"/>
    </row>
    <row r="4238" ht="13" customHeight="1">
      <c r="A4238" s="45" t="inlineStr">
        <is>
          <t>40423</t>
        </is>
      </c>
      <c r="B4238" s="45" t="inlineStr">
        <is>
          <t>7424</t>
        </is>
      </c>
      <c r="C4238" s="45" t="inlineStr">
        <is>
          <t>2×2×2×2×2×2×2×2×29</t>
        </is>
      </c>
      <c r="D4238" s="45" t="inlineStr">
        <is>
          <t>2</t>
        </is>
      </c>
      <c r="E4238" s="45" t="inlineStr"/>
      <c r="F4238" s="45" t="inlineStr"/>
    </row>
    <row r="4239" ht="13" customHeight="1">
      <c r="A4239" s="49" t="inlineStr">
        <is>
          <t>40427</t>
        </is>
      </c>
      <c r="B4239" s="49" t="inlineStr">
        <is>
          <t>40772</t>
        </is>
      </c>
      <c r="C4239" s="49" t="inlineStr">
        <is>
          <t>2×2×10193</t>
        </is>
      </c>
      <c r="D4239" s="49" t="inlineStr">
        <is>
          <t>2</t>
        </is>
      </c>
      <c r="E4239" s="49" t="inlineStr"/>
      <c r="F4239" s="49" t="inlineStr"/>
    </row>
    <row r="4240" ht="13" customHeight="1">
      <c r="A4240" s="45" t="inlineStr">
        <is>
          <t>40429</t>
        </is>
      </c>
      <c r="B4240" s="45" t="inlineStr">
        <is>
          <t>39206</t>
        </is>
      </c>
      <c r="C4240" s="45" t="inlineStr">
        <is>
          <t>2×19603</t>
        </is>
      </c>
      <c r="D4240" s="45" t="inlineStr">
        <is>
          <t>2</t>
        </is>
      </c>
      <c r="E4240" s="45" t="inlineStr"/>
      <c r="F4240" s="45" t="inlineStr"/>
    </row>
    <row r="4241" ht="13" customHeight="1">
      <c r="A4241" s="49" t="inlineStr">
        <is>
          <t>40433</t>
        </is>
      </c>
      <c r="B4241" s="49" t="inlineStr">
        <is>
          <t>23838</t>
        </is>
      </c>
      <c r="C4241" s="49" t="inlineStr">
        <is>
          <t>2×3×29×137</t>
        </is>
      </c>
      <c r="D4241" s="49" t="inlineStr">
        <is>
          <t>2·3</t>
        </is>
      </c>
      <c r="E4241" s="49" t="inlineStr"/>
      <c r="F4241" s="49" t="inlineStr"/>
    </row>
    <row r="4242" ht="13" customHeight="1">
      <c r="A4242" s="45" t="inlineStr">
        <is>
          <t>40459</t>
        </is>
      </c>
      <c r="B4242" s="45" t="inlineStr">
        <is>
          <t>26160</t>
        </is>
      </c>
      <c r="C4242" s="45" t="inlineStr">
        <is>
          <t>2×2×2×2×3×5×109</t>
        </is>
      </c>
      <c r="D4242" s="45" t="inlineStr">
        <is>
          <t>2·3·5</t>
        </is>
      </c>
      <c r="E4242" s="45" t="inlineStr"/>
      <c r="F4242" s="45" t="inlineStr"/>
    </row>
    <row r="4243" ht="13" customHeight="1">
      <c r="A4243" s="51" t="inlineStr">
        <is>
          <t>40471</t>
        </is>
      </c>
      <c r="B4243" s="51" t="inlineStr">
        <is>
          <t>21014</t>
        </is>
      </c>
      <c r="C4243" s="51" t="inlineStr">
        <is>
          <t>2×7×19×79</t>
        </is>
      </c>
      <c r="D4243" s="51" t="inlineStr">
        <is>
          <t>2·7·19</t>
        </is>
      </c>
      <c r="E4243" s="51" t="inlineStr"/>
      <c r="F4243" s="51" t="inlineStr"/>
    </row>
    <row r="4244" ht="13" customHeight="1">
      <c r="A4244" s="45" t="inlineStr">
        <is>
          <t>40483</t>
        </is>
      </c>
      <c r="B4244" s="45" t="inlineStr">
        <is>
          <t>7376</t>
        </is>
      </c>
      <c r="C4244" s="45" t="inlineStr">
        <is>
          <t>2×2×2×2×461</t>
        </is>
      </c>
      <c r="D4244" s="45" t="inlineStr">
        <is>
          <t>2</t>
        </is>
      </c>
      <c r="E4244" s="45" t="inlineStr"/>
      <c r="F4244" s="45" t="inlineStr"/>
    </row>
    <row r="4245" ht="13" customHeight="1">
      <c r="A4245" s="49" t="inlineStr">
        <is>
          <t>40487</t>
        </is>
      </c>
      <c r="B4245" s="49" t="inlineStr">
        <is>
          <t>36255</t>
        </is>
      </c>
      <c r="C4245" s="49" t="inlineStr">
        <is>
          <t>3×5×2417</t>
        </is>
      </c>
      <c r="D4245" s="49" t="inlineStr">
        <is>
          <t>3·5</t>
        </is>
      </c>
      <c r="E4245" s="49" t="inlineStr"/>
      <c r="F4245" s="49" t="inlineStr"/>
    </row>
    <row r="4246" ht="13" customHeight="1">
      <c r="A4246" s="45" t="inlineStr">
        <is>
          <t>40493</t>
        </is>
      </c>
      <c r="B4246" s="45" t="inlineStr">
        <is>
          <t>1233</t>
        </is>
      </c>
      <c r="C4246" s="45" t="inlineStr">
        <is>
          <t>3×3×137</t>
        </is>
      </c>
      <c r="D4246" s="45" t="inlineStr">
        <is>
          <t>3</t>
        </is>
      </c>
      <c r="E4246" s="45" t="inlineStr"/>
      <c r="F4246" s="45" t="inlineStr"/>
    </row>
    <row r="4247" ht="13" customHeight="1">
      <c r="A4247" s="43" t="inlineStr">
        <is>
          <t>40499</t>
        </is>
      </c>
      <c r="B4247" s="43" t="inlineStr">
        <is>
          <t>6281</t>
        </is>
      </c>
      <c r="C4247" s="43" t="inlineStr">
        <is>
          <t>11×571</t>
        </is>
      </c>
      <c r="D4247" s="43" t="inlineStr">
        <is>
          <t>11</t>
        </is>
      </c>
      <c r="E4247" s="43" t="inlineStr"/>
      <c r="F4247" s="43" t="inlineStr"/>
    </row>
    <row r="4248" ht="13" customHeight="1">
      <c r="A4248" s="45" t="inlineStr">
        <is>
          <t>40507</t>
        </is>
      </c>
      <c r="B4248" s="45" t="inlineStr">
        <is>
          <t>32842</t>
        </is>
      </c>
      <c r="C4248" s="45" t="inlineStr">
        <is>
          <t>2×16421</t>
        </is>
      </c>
      <c r="D4248" s="45" t="inlineStr">
        <is>
          <t>2</t>
        </is>
      </c>
      <c r="E4248" s="45" t="inlineStr"/>
      <c r="F4248" s="45" t="inlineStr"/>
    </row>
    <row r="4249" ht="13" customHeight="1">
      <c r="A4249" s="50" t="inlineStr">
        <is>
          <t>40519</t>
        </is>
      </c>
      <c r="B4249" s="50" t="inlineStr">
        <is>
          <t>20051</t>
        </is>
      </c>
      <c r="C4249" s="50" t="inlineStr">
        <is>
          <t>20051</t>
        </is>
      </c>
      <c r="D4249" s="50" t="inlineStr">
        <is>
          <t>—</t>
        </is>
      </c>
      <c r="E4249" s="50" t="inlineStr"/>
      <c r="F4249" s="50" t="inlineStr"/>
    </row>
    <row r="4250" ht="13" customHeight="1">
      <c r="A4250" s="41" t="inlineStr">
        <is>
          <t>40529</t>
        </is>
      </c>
      <c r="B4250" s="41" t="inlineStr">
        <is>
          <t>16822</t>
        </is>
      </c>
      <c r="C4250" s="41" t="inlineStr">
        <is>
          <t>2×13×647</t>
        </is>
      </c>
      <c r="D4250" s="41" t="inlineStr">
        <is>
          <t>2·13</t>
        </is>
      </c>
      <c r="E4250" s="41" t="inlineStr"/>
      <c r="F4250" s="41" t="inlineStr"/>
    </row>
    <row r="4251" ht="13" customHeight="1">
      <c r="A4251" s="41" t="inlineStr">
        <is>
          <t>40531</t>
        </is>
      </c>
      <c r="B4251" s="41" t="inlineStr">
        <is>
          <t>23530</t>
        </is>
      </c>
      <c r="C4251" s="41" t="inlineStr">
        <is>
          <t>2×5×13×181</t>
        </is>
      </c>
      <c r="D4251" s="41" t="inlineStr">
        <is>
          <t>2·5·13</t>
        </is>
      </c>
      <c r="E4251" s="41" t="inlineStr"/>
      <c r="F4251" s="41" t="inlineStr"/>
    </row>
    <row r="4252" ht="13" customHeight="1">
      <c r="A4252" s="45" t="inlineStr">
        <is>
          <t>40543</t>
        </is>
      </c>
      <c r="B4252" s="45" t="inlineStr">
        <is>
          <t>732</t>
        </is>
      </c>
      <c r="C4252" s="45" t="inlineStr">
        <is>
          <t>2×2×3×61</t>
        </is>
      </c>
      <c r="D4252" s="45" t="inlineStr">
        <is>
          <t>2·3</t>
        </is>
      </c>
      <c r="E4252" s="45" t="inlineStr"/>
      <c r="F4252" s="45" t="inlineStr"/>
    </row>
    <row r="4253" ht="13" customHeight="1">
      <c r="A4253" s="49" t="inlineStr">
        <is>
          <t>40559</t>
        </is>
      </c>
      <c r="B4253" s="49" t="inlineStr">
        <is>
          <t>10346</t>
        </is>
      </c>
      <c r="C4253" s="49" t="inlineStr">
        <is>
          <t>2×7×739</t>
        </is>
      </c>
      <c r="D4253" s="49" t="inlineStr">
        <is>
          <t>2·7</t>
        </is>
      </c>
      <c r="E4253" s="49" t="inlineStr"/>
      <c r="F4253" s="49" t="inlineStr"/>
    </row>
    <row r="4254" ht="13" customHeight="1">
      <c r="A4254" s="41" t="inlineStr">
        <is>
          <t>40577</t>
        </is>
      </c>
      <c r="B4254" s="41" t="inlineStr">
        <is>
          <t>18683</t>
        </is>
      </c>
      <c r="C4254" s="41" t="inlineStr">
        <is>
          <t>7×17×157</t>
        </is>
      </c>
      <c r="D4254" s="41" t="inlineStr">
        <is>
          <t>7·17</t>
        </is>
      </c>
      <c r="E4254" s="41" t="inlineStr"/>
      <c r="F4254" s="41" t="inlineStr"/>
    </row>
    <row r="4255" ht="13" customHeight="1">
      <c r="A4255" s="50" t="inlineStr">
        <is>
          <t>40583</t>
        </is>
      </c>
      <c r="B4255" s="50" t="inlineStr">
        <is>
          <t>6053</t>
        </is>
      </c>
      <c r="C4255" s="50" t="inlineStr">
        <is>
          <t>6053</t>
        </is>
      </c>
      <c r="D4255" s="50" t="inlineStr">
        <is>
          <t>—</t>
        </is>
      </c>
      <c r="E4255" s="50" t="inlineStr"/>
      <c r="F4255" s="50" t="inlineStr"/>
    </row>
    <row r="4256" ht="13" customHeight="1">
      <c r="A4256" s="45" t="inlineStr">
        <is>
          <t>40591</t>
        </is>
      </c>
      <c r="B4256" s="45" t="inlineStr">
        <is>
          <t>23973</t>
        </is>
      </c>
      <c r="C4256" s="45" t="inlineStr">
        <is>
          <t>3×61×131</t>
        </is>
      </c>
      <c r="D4256" s="45" t="inlineStr">
        <is>
          <t>3</t>
        </is>
      </c>
      <c r="E4256" s="45" t="inlineStr"/>
      <c r="F4256" s="45" t="inlineStr"/>
    </row>
    <row r="4257" ht="13" customHeight="1">
      <c r="A4257" s="49" t="inlineStr">
        <is>
          <t>40597</t>
        </is>
      </c>
      <c r="B4257" s="49" t="inlineStr">
        <is>
          <t>7420</t>
        </is>
      </c>
      <c r="C4257" s="49" t="inlineStr">
        <is>
          <t>2×2×5×7×53</t>
        </is>
      </c>
      <c r="D4257" s="49" t="inlineStr">
        <is>
          <t>2·5·7</t>
        </is>
      </c>
      <c r="E4257" s="49" t="inlineStr"/>
      <c r="F4257" s="49" t="inlineStr"/>
    </row>
    <row r="4258" ht="13" customHeight="1">
      <c r="A4258" s="45" t="inlineStr">
        <is>
          <t>40609</t>
        </is>
      </c>
      <c r="B4258" s="45" t="inlineStr">
        <is>
          <t>15420</t>
        </is>
      </c>
      <c r="C4258" s="45" t="inlineStr">
        <is>
          <t>2×2×3×5×257</t>
        </is>
      </c>
      <c r="D4258" s="45" t="inlineStr">
        <is>
          <t>2·3·5</t>
        </is>
      </c>
      <c r="E4258" s="45" t="inlineStr"/>
      <c r="F4258" s="45" t="inlineStr"/>
    </row>
    <row r="4259" ht="13" customHeight="1">
      <c r="A4259" s="49" t="inlineStr">
        <is>
          <t>40627</t>
        </is>
      </c>
      <c r="B4259" s="49" t="inlineStr">
        <is>
          <t>18495</t>
        </is>
      </c>
      <c r="C4259" s="49" t="inlineStr">
        <is>
          <t>3×3×3×5×137</t>
        </is>
      </c>
      <c r="D4259" s="49" t="inlineStr">
        <is>
          <t>3·5</t>
        </is>
      </c>
      <c r="E4259" s="49" t="inlineStr"/>
      <c r="F4259" s="49" t="inlineStr"/>
    </row>
    <row r="4260" ht="13" customHeight="1">
      <c r="A4260" s="45" t="inlineStr">
        <is>
          <t>40637</t>
        </is>
      </c>
      <c r="B4260" s="45" t="inlineStr">
        <is>
          <t>38241</t>
        </is>
      </c>
      <c r="C4260" s="45" t="inlineStr">
        <is>
          <t>3×3×7×607</t>
        </is>
      </c>
      <c r="D4260" s="45" t="inlineStr">
        <is>
          <t>3·7</t>
        </is>
      </c>
      <c r="E4260" s="45" t="inlineStr"/>
      <c r="F4260" s="45" t="inlineStr"/>
    </row>
    <row r="4261" ht="13" customHeight="1">
      <c r="A4261" s="49" t="inlineStr">
        <is>
          <t>40639</t>
        </is>
      </c>
      <c r="B4261" s="49" t="inlineStr">
        <is>
          <t>26948</t>
        </is>
      </c>
      <c r="C4261" s="49" t="inlineStr">
        <is>
          <t>2×2×6737</t>
        </is>
      </c>
      <c r="D4261" s="49" t="inlineStr">
        <is>
          <t>2</t>
        </is>
      </c>
      <c r="E4261" s="49" t="inlineStr"/>
      <c r="F4261" s="49" t="inlineStr"/>
    </row>
    <row r="4262" ht="13" customHeight="1">
      <c r="A4262" s="45" t="inlineStr">
        <is>
          <t>40693</t>
        </is>
      </c>
      <c r="B4262" s="45" t="inlineStr">
        <is>
          <t>15255</t>
        </is>
      </c>
      <c r="C4262" s="45" t="inlineStr">
        <is>
          <t>3×3×3×5×113</t>
        </is>
      </c>
      <c r="D4262" s="45" t="inlineStr">
        <is>
          <t>3·5</t>
        </is>
      </c>
      <c r="E4262" s="45" t="inlineStr"/>
      <c r="F4262" s="45" t="inlineStr"/>
    </row>
    <row r="4263" ht="13" customHeight="1">
      <c r="A4263" s="49" t="inlineStr">
        <is>
          <t>40697</t>
        </is>
      </c>
      <c r="B4263" s="49" t="inlineStr">
        <is>
          <t>24237</t>
        </is>
      </c>
      <c r="C4263" s="49" t="inlineStr">
        <is>
          <t>3×3×2693</t>
        </is>
      </c>
      <c r="D4263" s="49" t="inlineStr">
        <is>
          <t>3</t>
        </is>
      </c>
      <c r="E4263" s="49" t="inlineStr"/>
      <c r="F4263" s="49" t="inlineStr"/>
    </row>
    <row r="4264" ht="13" customHeight="1">
      <c r="A4264" s="45" t="inlineStr">
        <is>
          <t>40699</t>
        </is>
      </c>
      <c r="B4264" s="45" t="inlineStr">
        <is>
          <t>18901</t>
        </is>
      </c>
      <c r="C4264" s="45" t="inlineStr">
        <is>
          <t>41×461</t>
        </is>
      </c>
      <c r="D4264" s="45" t="inlineStr">
        <is>
          <t>—</t>
        </is>
      </c>
      <c r="E4264" s="45" t="inlineStr"/>
      <c r="F4264" s="45" t="inlineStr"/>
    </row>
    <row r="4265" ht="13" customHeight="1">
      <c r="A4265" s="50" t="inlineStr">
        <is>
          <t>40709</t>
        </is>
      </c>
      <c r="B4265" s="50" t="inlineStr">
        <is>
          <t>20323</t>
        </is>
      </c>
      <c r="C4265" s="50" t="inlineStr">
        <is>
          <t>20323</t>
        </is>
      </c>
      <c r="D4265" s="50" t="inlineStr">
        <is>
          <t>—</t>
        </is>
      </c>
      <c r="E4265" s="50" t="inlineStr"/>
      <c r="F4265" s="50" t="inlineStr"/>
    </row>
    <row r="4266" ht="13" customHeight="1">
      <c r="A4266" s="45" t="inlineStr">
        <is>
          <t>40739</t>
        </is>
      </c>
      <c r="B4266" s="45" t="inlineStr">
        <is>
          <t>34927</t>
        </is>
      </c>
      <c r="C4266" s="45" t="inlineStr">
        <is>
          <t>53×659</t>
        </is>
      </c>
      <c r="D4266" s="45" t="inlineStr">
        <is>
          <t>—</t>
        </is>
      </c>
      <c r="E4266" s="45" t="inlineStr"/>
      <c r="F4266" s="45" t="inlineStr"/>
    </row>
    <row r="4267" ht="13" customHeight="1">
      <c r="A4267" s="41" t="inlineStr">
        <is>
          <t>40751</t>
        </is>
      </c>
      <c r="B4267" s="41" t="inlineStr">
        <is>
          <t>22338</t>
        </is>
      </c>
      <c r="C4267" s="41" t="inlineStr">
        <is>
          <t>2×3×3×17×73</t>
        </is>
      </c>
      <c r="D4267" s="41" t="inlineStr">
        <is>
          <t>2·3·17</t>
        </is>
      </c>
      <c r="E4267" s="41" t="inlineStr"/>
      <c r="F4267" s="41" t="inlineStr"/>
    </row>
    <row r="4268" ht="13" customHeight="1">
      <c r="A4268" s="45" t="inlineStr">
        <is>
          <t>40759</t>
        </is>
      </c>
      <c r="B4268" s="45" t="inlineStr">
        <is>
          <t>15945</t>
        </is>
      </c>
      <c r="C4268" s="45" t="inlineStr">
        <is>
          <t>3×5×1063</t>
        </is>
      </c>
      <c r="D4268" s="45" t="inlineStr">
        <is>
          <t>3·5</t>
        </is>
      </c>
      <c r="E4268" s="45" t="inlineStr"/>
      <c r="F4268" s="45" t="inlineStr"/>
    </row>
    <row r="4269" ht="13" customHeight="1">
      <c r="A4269" s="49" t="inlineStr">
        <is>
          <t>40763</t>
        </is>
      </c>
      <c r="B4269" s="49" t="inlineStr">
        <is>
          <t>36757</t>
        </is>
      </c>
      <c r="C4269" s="49" t="inlineStr">
        <is>
          <t>7×59×89</t>
        </is>
      </c>
      <c r="D4269" s="49" t="inlineStr">
        <is>
          <t>7</t>
        </is>
      </c>
      <c r="E4269" s="49" t="inlineStr"/>
      <c r="F4269" s="49" t="inlineStr"/>
    </row>
    <row r="4270" ht="13" customHeight="1">
      <c r="A4270" s="45" t="inlineStr">
        <is>
          <t>40771</t>
        </is>
      </c>
      <c r="B4270" s="45" t="inlineStr">
        <is>
          <t>23002</t>
        </is>
      </c>
      <c r="C4270" s="45" t="inlineStr">
        <is>
          <t>2×7×31×53</t>
        </is>
      </c>
      <c r="D4270" s="45" t="inlineStr">
        <is>
          <t>2·7</t>
        </is>
      </c>
      <c r="E4270" s="45" t="inlineStr"/>
      <c r="F4270" s="45" t="inlineStr"/>
    </row>
    <row r="4271" ht="13" customHeight="1">
      <c r="A4271" s="49" t="inlineStr">
        <is>
          <t>40787</t>
        </is>
      </c>
      <c r="B4271" s="49" t="inlineStr">
        <is>
          <t>20920</t>
        </is>
      </c>
      <c r="C4271" s="49" t="inlineStr">
        <is>
          <t>2×2×2×5×523</t>
        </is>
      </c>
      <c r="D4271" s="49" t="inlineStr">
        <is>
          <t>2·5</t>
        </is>
      </c>
      <c r="E4271" s="49" t="inlineStr"/>
      <c r="F4271" s="49" t="inlineStr"/>
    </row>
    <row r="4272" ht="13" customHeight="1">
      <c r="A4272" s="41" t="inlineStr">
        <is>
          <t>40801</t>
        </is>
      </c>
      <c r="B4272" s="41" t="inlineStr">
        <is>
          <t>15626</t>
        </is>
      </c>
      <c r="C4272" s="41" t="inlineStr">
        <is>
          <t>2×13×601</t>
        </is>
      </c>
      <c r="D4272" s="41" t="inlineStr">
        <is>
          <t>2·13</t>
        </is>
      </c>
      <c r="E4272" s="41" t="inlineStr"/>
      <c r="F4272" s="41" t="inlineStr"/>
    </row>
    <row r="4273" ht="13" customHeight="1">
      <c r="A4273" s="50" t="inlineStr">
        <is>
          <t>40813</t>
        </is>
      </c>
      <c r="B4273" s="50" t="inlineStr">
        <is>
          <t>6763</t>
        </is>
      </c>
      <c r="C4273" s="50" t="inlineStr">
        <is>
          <t>6763</t>
        </is>
      </c>
      <c r="D4273" s="50" t="inlineStr">
        <is>
          <t>—</t>
        </is>
      </c>
      <c r="E4273" s="50" t="inlineStr"/>
      <c r="F4273" s="50" t="inlineStr"/>
    </row>
    <row r="4274" ht="13" customHeight="1">
      <c r="A4274" s="45" t="inlineStr">
        <is>
          <t>40819</t>
        </is>
      </c>
      <c r="B4274" s="45" t="inlineStr">
        <is>
          <t>29566</t>
        </is>
      </c>
      <c r="C4274" s="45" t="inlineStr">
        <is>
          <t>2×14783</t>
        </is>
      </c>
      <c r="D4274" s="45" t="inlineStr">
        <is>
          <t>2</t>
        </is>
      </c>
      <c r="E4274" s="45" t="inlineStr"/>
      <c r="F4274" s="45" t="inlineStr"/>
    </row>
    <row r="4275" ht="13" customHeight="1">
      <c r="A4275" s="49" t="inlineStr">
        <is>
          <t>40823</t>
        </is>
      </c>
      <c r="B4275" s="49" t="inlineStr">
        <is>
          <t>37541</t>
        </is>
      </c>
      <c r="C4275" s="49" t="inlineStr">
        <is>
          <t>7×31×173</t>
        </is>
      </c>
      <c r="D4275" s="49" t="inlineStr">
        <is>
          <t>7</t>
        </is>
      </c>
      <c r="E4275" s="49" t="inlineStr"/>
      <c r="F4275" s="49" t="inlineStr"/>
    </row>
    <row r="4276" ht="13" customHeight="1">
      <c r="A4276" s="45" t="inlineStr">
        <is>
          <t>40829</t>
        </is>
      </c>
      <c r="B4276" s="45" t="inlineStr">
        <is>
          <t>40350</t>
        </is>
      </c>
      <c r="C4276" s="45" t="inlineStr">
        <is>
          <t>2×3×5×5×269</t>
        </is>
      </c>
      <c r="D4276" s="45" t="inlineStr">
        <is>
          <t>2·3·5</t>
        </is>
      </c>
      <c r="E4276" s="45" t="inlineStr"/>
      <c r="F4276" s="45" t="inlineStr"/>
    </row>
    <row r="4277" ht="13" customHeight="1">
      <c r="A4277" s="50" t="inlineStr">
        <is>
          <t>40841</t>
        </is>
      </c>
      <c r="B4277" s="50" t="inlineStr">
        <is>
          <t>16843</t>
        </is>
      </c>
      <c r="C4277" s="50" t="inlineStr">
        <is>
          <t>16843</t>
        </is>
      </c>
      <c r="D4277" s="50" t="inlineStr">
        <is>
          <t>—</t>
        </is>
      </c>
      <c r="E4277" s="50" t="inlineStr"/>
      <c r="F4277" s="50" t="inlineStr"/>
    </row>
    <row r="4278" ht="13" customHeight="1">
      <c r="A4278" s="51" t="inlineStr">
        <is>
          <t>40847</t>
        </is>
      </c>
      <c r="B4278" s="51" t="inlineStr">
        <is>
          <t>11970</t>
        </is>
      </c>
      <c r="C4278" s="51" t="inlineStr">
        <is>
          <t>2×3×3×5×7×19</t>
        </is>
      </c>
      <c r="D4278" s="51" t="inlineStr">
        <is>
          <t>2·3·5·7·19</t>
        </is>
      </c>
      <c r="E4278" s="51" t="inlineStr"/>
      <c r="F4278" s="51" t="inlineStr"/>
    </row>
    <row r="4279" ht="13" customHeight="1">
      <c r="A4279" s="49" t="inlineStr">
        <is>
          <t>40849</t>
        </is>
      </c>
      <c r="B4279" s="49" t="inlineStr">
        <is>
          <t>13688</t>
        </is>
      </c>
      <c r="C4279" s="49" t="inlineStr">
        <is>
          <t>2×2×2×29×59</t>
        </is>
      </c>
      <c r="D4279" s="49" t="inlineStr">
        <is>
          <t>2</t>
        </is>
      </c>
      <c r="E4279" s="49" t="inlineStr"/>
      <c r="F4279" s="49" t="inlineStr"/>
    </row>
    <row r="4280" ht="13" customHeight="1">
      <c r="A4280" s="41" t="inlineStr">
        <is>
          <t>40853</t>
        </is>
      </c>
      <c r="B4280" s="41" t="inlineStr">
        <is>
          <t>43146</t>
        </is>
      </c>
      <c r="C4280" s="41" t="inlineStr">
        <is>
          <t>2×3×3×3×17×47</t>
        </is>
      </c>
      <c r="D4280" s="41" t="inlineStr">
        <is>
          <t>2·3·17</t>
        </is>
      </c>
      <c r="E4280" s="41" t="inlineStr"/>
      <c r="F4280" s="41" t="inlineStr"/>
    </row>
    <row r="4281" ht="13" customHeight="1">
      <c r="A4281" s="49" t="inlineStr">
        <is>
          <t>40867</t>
        </is>
      </c>
      <c r="B4281" s="49" t="inlineStr">
        <is>
          <t>9279</t>
        </is>
      </c>
      <c r="C4281" s="49" t="inlineStr">
        <is>
          <t>3×3×1031</t>
        </is>
      </c>
      <c r="D4281" s="49" t="inlineStr">
        <is>
          <t>3</t>
        </is>
      </c>
      <c r="E4281" s="49" t="inlineStr"/>
      <c r="F4281" s="49" t="inlineStr"/>
    </row>
    <row r="4282" ht="13" customHeight="1">
      <c r="A4282" s="41" t="inlineStr">
        <is>
          <t>40879</t>
        </is>
      </c>
      <c r="B4282" s="41" t="inlineStr">
        <is>
          <t>9333</t>
        </is>
      </c>
      <c r="C4282" s="41" t="inlineStr">
        <is>
          <t>3×3×17×61</t>
        </is>
      </c>
      <c r="D4282" s="41" t="inlineStr">
        <is>
          <t>3·17</t>
        </is>
      </c>
      <c r="E4282" s="41" t="inlineStr"/>
      <c r="F4282" s="41" t="inlineStr"/>
    </row>
    <row r="4283" ht="13" customHeight="1">
      <c r="A4283" s="49" t="inlineStr">
        <is>
          <t>40883</t>
        </is>
      </c>
      <c r="B4283" s="49" t="inlineStr">
        <is>
          <t>39515</t>
        </is>
      </c>
      <c r="C4283" s="49" t="inlineStr">
        <is>
          <t>5×7×1129</t>
        </is>
      </c>
      <c r="D4283" s="49" t="inlineStr">
        <is>
          <t>5·7</t>
        </is>
      </c>
      <c r="E4283" s="49" t="inlineStr"/>
      <c r="F4283" s="49" t="inlineStr"/>
    </row>
    <row r="4284" ht="13" customHeight="1">
      <c r="A4284" s="43" t="inlineStr">
        <is>
          <t>40897</t>
        </is>
      </c>
      <c r="B4284" s="43" t="inlineStr">
        <is>
          <t>22407</t>
        </is>
      </c>
      <c r="C4284" s="43" t="inlineStr">
        <is>
          <t>3×7×11×97</t>
        </is>
      </c>
      <c r="D4284" s="43" t="inlineStr">
        <is>
          <t>3·7·11</t>
        </is>
      </c>
      <c r="E4284" s="43" t="inlineStr"/>
      <c r="F4284" s="43" t="inlineStr"/>
    </row>
    <row r="4285" ht="13" customHeight="1">
      <c r="A4285" s="50" t="inlineStr">
        <is>
          <t>40903</t>
        </is>
      </c>
      <c r="B4285" s="50" t="inlineStr">
        <is>
          <t>29311</t>
        </is>
      </c>
      <c r="C4285" s="50" t="inlineStr">
        <is>
          <t>29311</t>
        </is>
      </c>
      <c r="D4285" s="50" t="inlineStr">
        <is>
          <t>—</t>
        </is>
      </c>
      <c r="E4285" s="50" t="inlineStr"/>
      <c r="F4285" s="50" t="inlineStr"/>
    </row>
    <row r="4286" ht="13" customHeight="1">
      <c r="A4286" s="51" t="inlineStr">
        <is>
          <t>40927</t>
        </is>
      </c>
      <c r="B4286" s="51" t="inlineStr">
        <is>
          <t>18373</t>
        </is>
      </c>
      <c r="C4286" s="51" t="inlineStr">
        <is>
          <t>19×967</t>
        </is>
      </c>
      <c r="D4286" s="51" t="inlineStr">
        <is>
          <t>19</t>
        </is>
      </c>
      <c r="E4286" s="51" t="inlineStr"/>
      <c r="F4286" s="51" t="inlineStr"/>
    </row>
    <row r="4287" ht="13" customHeight="1">
      <c r="A4287" s="49" t="inlineStr">
        <is>
          <t>40933</t>
        </is>
      </c>
      <c r="B4287" s="49" t="inlineStr">
        <is>
          <t>11547</t>
        </is>
      </c>
      <c r="C4287" s="49" t="inlineStr">
        <is>
          <t>3×3×1283</t>
        </is>
      </c>
      <c r="D4287" s="49" t="inlineStr">
        <is>
          <t>3</t>
        </is>
      </c>
      <c r="E4287" s="49" t="inlineStr"/>
      <c r="F4287" s="49" t="inlineStr"/>
    </row>
    <row r="4288" ht="13" customHeight="1">
      <c r="A4288" s="43" t="inlineStr">
        <is>
          <t>40939</t>
        </is>
      </c>
      <c r="B4288" s="43" t="inlineStr">
        <is>
          <t>10318</t>
        </is>
      </c>
      <c r="C4288" s="43" t="inlineStr">
        <is>
          <t>2×7×11×67</t>
        </is>
      </c>
      <c r="D4288" s="43" t="inlineStr">
        <is>
          <t>2·7·11</t>
        </is>
      </c>
      <c r="E4288" s="43" t="inlineStr"/>
      <c r="F4288" s="43" t="inlineStr"/>
    </row>
    <row r="4289" ht="13" customHeight="1">
      <c r="A4289" s="41" t="inlineStr">
        <is>
          <t>40949</t>
        </is>
      </c>
      <c r="B4289" s="41" t="inlineStr">
        <is>
          <t>17420</t>
        </is>
      </c>
      <c r="C4289" s="41" t="inlineStr">
        <is>
          <t>2×2×5×13×67</t>
        </is>
      </c>
      <c r="D4289" s="41" t="inlineStr">
        <is>
          <t>2·5·13</t>
        </is>
      </c>
      <c r="E4289" s="41" t="inlineStr"/>
      <c r="F4289" s="41" t="inlineStr"/>
    </row>
    <row r="4290" ht="13" customHeight="1">
      <c r="A4290" s="41" t="inlineStr">
        <is>
          <t>40961</t>
        </is>
      </c>
      <c r="B4290" s="41" t="inlineStr">
        <is>
          <t>11674</t>
        </is>
      </c>
      <c r="C4290" s="41" t="inlineStr">
        <is>
          <t>2×13×449</t>
        </is>
      </c>
      <c r="D4290" s="41" t="inlineStr">
        <is>
          <t>2·13</t>
        </is>
      </c>
      <c r="E4290" s="41" t="inlineStr"/>
      <c r="F4290" s="41" t="inlineStr"/>
    </row>
    <row r="4291" ht="13" customHeight="1">
      <c r="A4291" s="49" t="inlineStr">
        <is>
          <t>40973</t>
        </is>
      </c>
      <c r="B4291" s="49" t="inlineStr">
        <is>
          <t>8163</t>
        </is>
      </c>
      <c r="C4291" s="49" t="inlineStr">
        <is>
          <t>3×3×907</t>
        </is>
      </c>
      <c r="D4291" s="49" t="inlineStr">
        <is>
          <t>3</t>
        </is>
      </c>
      <c r="E4291" s="49" t="inlineStr"/>
      <c r="F4291" s="49" t="inlineStr"/>
    </row>
    <row r="4292" ht="13" customHeight="1">
      <c r="A4292" s="50" t="inlineStr">
        <is>
          <t>40993</t>
        </is>
      </c>
      <c r="B4292" s="50" t="inlineStr">
        <is>
          <t>27541</t>
        </is>
      </c>
      <c r="C4292" s="50" t="inlineStr">
        <is>
          <t>27541</t>
        </is>
      </c>
      <c r="D4292" s="50" t="inlineStr">
        <is>
          <t>—</t>
        </is>
      </c>
      <c r="E4292" s="50" t="inlineStr"/>
      <c r="F4292" s="50" t="inlineStr"/>
    </row>
    <row r="4293" ht="13" customHeight="1">
      <c r="A4293" s="49" t="inlineStr">
        <is>
          <t>41011</t>
        </is>
      </c>
      <c r="B4293" s="49" t="inlineStr">
        <is>
          <t>18065</t>
        </is>
      </c>
      <c r="C4293" s="49" t="inlineStr">
        <is>
          <t>5×3613</t>
        </is>
      </c>
      <c r="D4293" s="49" t="inlineStr">
        <is>
          <t>5</t>
        </is>
      </c>
      <c r="E4293" s="49" t="inlineStr"/>
      <c r="F4293" s="49" t="inlineStr"/>
    </row>
    <row r="4294" ht="13" customHeight="1">
      <c r="A4294" s="51" t="inlineStr">
        <is>
          <t>41017</t>
        </is>
      </c>
      <c r="B4294" s="51" t="inlineStr">
        <is>
          <t>25802</t>
        </is>
      </c>
      <c r="C4294" s="51" t="inlineStr">
        <is>
          <t>2×7×19×97</t>
        </is>
      </c>
      <c r="D4294" s="51" t="inlineStr">
        <is>
          <t>2·7·19</t>
        </is>
      </c>
      <c r="E4294" s="51" t="inlineStr"/>
      <c r="F4294" s="51" t="inlineStr"/>
    </row>
    <row r="4295" ht="13" customHeight="1">
      <c r="A4295" s="49" t="inlineStr">
        <is>
          <t>41023</t>
        </is>
      </c>
      <c r="B4295" s="49" t="inlineStr">
        <is>
          <t>19270</t>
        </is>
      </c>
      <c r="C4295" s="49" t="inlineStr">
        <is>
          <t>2×5×41×47</t>
        </is>
      </c>
      <c r="D4295" s="49" t="inlineStr">
        <is>
          <t>2·5</t>
        </is>
      </c>
      <c r="E4295" s="49" t="inlineStr"/>
      <c r="F4295" s="49" t="inlineStr"/>
    </row>
    <row r="4296" ht="13" customHeight="1">
      <c r="A4296" s="50" t="inlineStr">
        <is>
          <t>41039</t>
        </is>
      </c>
      <c r="B4296" s="50" t="inlineStr">
        <is>
          <t>25667</t>
        </is>
      </c>
      <c r="C4296" s="50" t="inlineStr">
        <is>
          <t>25667</t>
        </is>
      </c>
      <c r="D4296" s="50" t="inlineStr">
        <is>
          <t>—</t>
        </is>
      </c>
      <c r="E4296" s="50" t="inlineStr"/>
      <c r="F4296" s="50" t="inlineStr"/>
    </row>
    <row r="4297" ht="13" customHeight="1">
      <c r="A4297" s="49" t="inlineStr">
        <is>
          <t>41047</t>
        </is>
      </c>
      <c r="B4297" s="49" t="inlineStr">
        <is>
          <t>34664</t>
        </is>
      </c>
      <c r="C4297" s="49" t="inlineStr">
        <is>
          <t>2×2×2×7×619</t>
        </is>
      </c>
      <c r="D4297" s="49" t="inlineStr">
        <is>
          <t>2·7</t>
        </is>
      </c>
      <c r="E4297" s="49" t="inlineStr"/>
      <c r="F4297" s="49" t="inlineStr"/>
    </row>
    <row r="4298" ht="13" customHeight="1">
      <c r="A4298" s="41" t="inlineStr">
        <is>
          <t>41051</t>
        </is>
      </c>
      <c r="B4298" s="41" t="inlineStr">
        <is>
          <t>2548</t>
        </is>
      </c>
      <c r="C4298" s="41" t="inlineStr">
        <is>
          <t>2×2×7×7×13</t>
        </is>
      </c>
      <c r="D4298" s="41" t="inlineStr">
        <is>
          <t>2·7·13</t>
        </is>
      </c>
      <c r="E4298" s="41" t="inlineStr"/>
      <c r="F4298" s="41" t="inlineStr"/>
    </row>
    <row r="4299" ht="13" customHeight="1">
      <c r="A4299" s="49" t="inlineStr">
        <is>
          <t>41057</t>
        </is>
      </c>
      <c r="B4299" s="49" t="inlineStr">
        <is>
          <t>25028</t>
        </is>
      </c>
      <c r="C4299" s="49" t="inlineStr">
        <is>
          <t>2×2×6257</t>
        </is>
      </c>
      <c r="D4299" s="49" t="inlineStr">
        <is>
          <t>2</t>
        </is>
      </c>
      <c r="E4299" s="49" t="inlineStr"/>
      <c r="F4299" s="49" t="inlineStr"/>
    </row>
    <row r="4300" ht="13" customHeight="1">
      <c r="A4300" s="45" t="inlineStr">
        <is>
          <t>41077</t>
        </is>
      </c>
      <c r="B4300" s="45" t="inlineStr">
        <is>
          <t>24513</t>
        </is>
      </c>
      <c r="C4300" s="45" t="inlineStr">
        <is>
          <t>3×8171</t>
        </is>
      </c>
      <c r="D4300" s="45" t="inlineStr">
        <is>
          <t>3</t>
        </is>
      </c>
      <c r="E4300" s="45" t="inlineStr"/>
      <c r="F4300" s="45" t="inlineStr"/>
    </row>
    <row r="4301" ht="13" customHeight="1">
      <c r="A4301" s="41" t="inlineStr">
        <is>
          <t>41081</t>
        </is>
      </c>
      <c r="B4301" s="41" t="inlineStr">
        <is>
          <t>15223</t>
        </is>
      </c>
      <c r="C4301" s="41" t="inlineStr">
        <is>
          <t>13×1171</t>
        </is>
      </c>
      <c r="D4301" s="41" t="inlineStr">
        <is>
          <t>13</t>
        </is>
      </c>
      <c r="E4301" s="41" t="inlineStr"/>
      <c r="F4301" s="41" t="inlineStr"/>
    </row>
    <row r="4302" ht="13" customHeight="1">
      <c r="A4302" s="41" t="inlineStr">
        <is>
          <t>41113</t>
        </is>
      </c>
      <c r="B4302" s="41" t="inlineStr">
        <is>
          <t>21369</t>
        </is>
      </c>
      <c r="C4302" s="41" t="inlineStr">
        <is>
          <t>3×17×419</t>
        </is>
      </c>
      <c r="D4302" s="41" t="inlineStr">
        <is>
          <t>3·17</t>
        </is>
      </c>
      <c r="E4302" s="41" t="inlineStr"/>
      <c r="F4302" s="41" t="inlineStr"/>
    </row>
    <row r="4303" ht="13" customHeight="1">
      <c r="A4303" s="49" t="inlineStr">
        <is>
          <t>41117</t>
        </is>
      </c>
      <c r="B4303" s="49" t="inlineStr">
        <is>
          <t>29681</t>
        </is>
      </c>
      <c r="C4303" s="49" t="inlineStr">
        <is>
          <t>67×443</t>
        </is>
      </c>
      <c r="D4303" s="49" t="inlineStr">
        <is>
          <t>—</t>
        </is>
      </c>
      <c r="E4303" s="49" t="inlineStr"/>
      <c r="F4303" s="49" t="inlineStr"/>
    </row>
    <row r="4304" ht="13" customHeight="1">
      <c r="A4304" s="45" t="inlineStr">
        <is>
          <t>41131</t>
        </is>
      </c>
      <c r="B4304" s="45" t="inlineStr">
        <is>
          <t>36327</t>
        </is>
      </c>
      <c r="C4304" s="45" t="inlineStr">
        <is>
          <t>3×12109</t>
        </is>
      </c>
      <c r="D4304" s="45" t="inlineStr">
        <is>
          <t>3</t>
        </is>
      </c>
      <c r="E4304" s="45" t="inlineStr"/>
      <c r="F4304" s="45" t="inlineStr"/>
    </row>
    <row r="4305" ht="13" customHeight="1">
      <c r="A4305" s="49" t="inlineStr">
        <is>
          <t>41141</t>
        </is>
      </c>
      <c r="B4305" s="49" t="inlineStr">
        <is>
          <t>19145</t>
        </is>
      </c>
      <c r="C4305" s="49" t="inlineStr">
        <is>
          <t>5×7×547</t>
        </is>
      </c>
      <c r="D4305" s="49" t="inlineStr">
        <is>
          <t>5·7</t>
        </is>
      </c>
      <c r="E4305" s="49" t="inlineStr"/>
      <c r="F4305" s="49" t="inlineStr"/>
    </row>
    <row r="4306" ht="13" customHeight="1">
      <c r="A4306" s="45" t="inlineStr">
        <is>
          <t>41143</t>
        </is>
      </c>
      <c r="B4306" s="45" t="inlineStr">
        <is>
          <t>38147</t>
        </is>
      </c>
      <c r="C4306" s="45" t="inlineStr">
        <is>
          <t>37×1031</t>
        </is>
      </c>
      <c r="D4306" s="45" t="inlineStr">
        <is>
          <t>—</t>
        </is>
      </c>
      <c r="E4306" s="45" t="inlineStr"/>
      <c r="F4306" s="45" t="inlineStr"/>
    </row>
    <row r="4307" ht="13" customHeight="1">
      <c r="A4307" s="49" t="inlineStr">
        <is>
          <t>41149</t>
        </is>
      </c>
      <c r="B4307" s="49" t="inlineStr">
        <is>
          <t>2949</t>
        </is>
      </c>
      <c r="C4307" s="49" t="inlineStr">
        <is>
          <t>3×983</t>
        </is>
      </c>
      <c r="D4307" s="49" t="inlineStr">
        <is>
          <t>3</t>
        </is>
      </c>
      <c r="E4307" s="49" t="inlineStr"/>
      <c r="F4307" s="49" t="inlineStr"/>
    </row>
    <row r="4308" ht="13" customHeight="1">
      <c r="A4308" s="45" t="inlineStr">
        <is>
          <t>41161</t>
        </is>
      </c>
      <c r="B4308" s="45" t="inlineStr">
        <is>
          <t>9388</t>
        </is>
      </c>
      <c r="C4308" s="45" t="inlineStr">
        <is>
          <t>2×2×2347</t>
        </is>
      </c>
      <c r="D4308" s="45" t="inlineStr">
        <is>
          <t>2</t>
        </is>
      </c>
      <c r="E4308" s="45" t="inlineStr"/>
      <c r="F4308" s="45" t="inlineStr"/>
    </row>
    <row r="4309" ht="13" customHeight="1">
      <c r="A4309" s="49" t="inlineStr">
        <is>
          <t>41177</t>
        </is>
      </c>
      <c r="B4309" s="49" t="inlineStr">
        <is>
          <t>6976</t>
        </is>
      </c>
      <c r="C4309" s="49" t="inlineStr">
        <is>
          <t>2×2×2×2×2×2×109</t>
        </is>
      </c>
      <c r="D4309" s="49" t="inlineStr">
        <is>
          <t>2</t>
        </is>
      </c>
      <c r="E4309" s="49" t="inlineStr"/>
      <c r="F4309" s="49" t="inlineStr"/>
    </row>
    <row r="4310" ht="13" customHeight="1">
      <c r="A4310" s="45" t="inlineStr">
        <is>
          <t>41179</t>
        </is>
      </c>
      <c r="B4310" s="45" t="inlineStr">
        <is>
          <t>18596</t>
        </is>
      </c>
      <c r="C4310" s="45" t="inlineStr">
        <is>
          <t>2×2×4649</t>
        </is>
      </c>
      <c r="D4310" s="45" t="inlineStr">
        <is>
          <t>2</t>
        </is>
      </c>
      <c r="E4310" s="45" t="inlineStr"/>
      <c r="F4310" s="45" t="inlineStr"/>
    </row>
    <row r="4311" ht="13" customHeight="1">
      <c r="A4311" s="49" t="inlineStr">
        <is>
          <t>41183</t>
        </is>
      </c>
      <c r="B4311" s="49" t="inlineStr">
        <is>
          <t>19054</t>
        </is>
      </c>
      <c r="C4311" s="49" t="inlineStr">
        <is>
          <t>2×7×1361</t>
        </is>
      </c>
      <c r="D4311" s="49" t="inlineStr">
        <is>
          <t>2·7</t>
        </is>
      </c>
      <c r="E4311" s="49" t="inlineStr"/>
      <c r="F4311" s="49" t="inlineStr"/>
    </row>
    <row r="4312" ht="13" customHeight="1">
      <c r="A4312" s="45" t="inlineStr">
        <is>
          <t>41189</t>
        </is>
      </c>
      <c r="B4312" s="45" t="inlineStr">
        <is>
          <t>20166</t>
        </is>
      </c>
      <c r="C4312" s="45" t="inlineStr">
        <is>
          <t>2×3×3361</t>
        </is>
      </c>
      <c r="D4312" s="45" t="inlineStr">
        <is>
          <t>2·3</t>
        </is>
      </c>
      <c r="E4312" s="45" t="inlineStr"/>
      <c r="F4312" s="45" t="inlineStr"/>
    </row>
    <row r="4313" ht="13" customHeight="1">
      <c r="A4313" s="39" t="inlineStr">
        <is>
          <t>41201</t>
        </is>
      </c>
      <c r="B4313" s="39" t="inlineStr">
        <is>
          <t>960</t>
        </is>
      </c>
      <c r="C4313" s="39" t="inlineStr">
        <is>
          <t>2×2×2×2×2×2×3×5</t>
        </is>
      </c>
      <c r="D4313" s="39" t="inlineStr">
        <is>
          <t>2·3·5</t>
        </is>
      </c>
      <c r="E4313" s="39" t="inlineStr"/>
      <c r="F4313" s="39" t="inlineStr"/>
    </row>
    <row r="4314" ht="13" customHeight="1">
      <c r="A4314" s="45" t="inlineStr">
        <is>
          <t>41203</t>
        </is>
      </c>
      <c r="B4314" s="45" t="inlineStr">
        <is>
          <t>15952</t>
        </is>
      </c>
      <c r="C4314" s="45" t="inlineStr">
        <is>
          <t>2×2×2×2×997</t>
        </is>
      </c>
      <c r="D4314" s="45" t="inlineStr">
        <is>
          <t>2</t>
        </is>
      </c>
      <c r="E4314" s="45" t="inlineStr"/>
      <c r="F4314" s="45" t="inlineStr"/>
    </row>
    <row r="4315" ht="13" customHeight="1">
      <c r="A4315" s="49" t="inlineStr">
        <is>
          <t>41213</t>
        </is>
      </c>
      <c r="B4315" s="49" t="inlineStr">
        <is>
          <t>12985</t>
        </is>
      </c>
      <c r="C4315" s="49" t="inlineStr">
        <is>
          <t>5×7×7×53</t>
        </is>
      </c>
      <c r="D4315" s="49" t="inlineStr">
        <is>
          <t>5·7</t>
        </is>
      </c>
      <c r="E4315" s="49" t="inlineStr"/>
      <c r="F4315" s="49" t="inlineStr"/>
    </row>
    <row r="4316" ht="13" customHeight="1">
      <c r="A4316" s="45" t="inlineStr">
        <is>
          <t>41221</t>
        </is>
      </c>
      <c r="B4316" s="45" t="inlineStr">
        <is>
          <t>36794</t>
        </is>
      </c>
      <c r="C4316" s="45" t="inlineStr">
        <is>
          <t>2×18397</t>
        </is>
      </c>
      <c r="D4316" s="45" t="inlineStr">
        <is>
          <t>2</t>
        </is>
      </c>
      <c r="E4316" s="45" t="inlineStr"/>
      <c r="F4316" s="45" t="inlineStr"/>
    </row>
    <row r="4317" ht="13" customHeight="1">
      <c r="A4317" s="49" t="inlineStr">
        <is>
          <t>41227</t>
        </is>
      </c>
      <c r="B4317" s="49" t="inlineStr">
        <is>
          <t>42804</t>
        </is>
      </c>
      <c r="C4317" s="49" t="inlineStr">
        <is>
          <t>2×2×3×3×29×41</t>
        </is>
      </c>
      <c r="D4317" s="49" t="inlineStr">
        <is>
          <t>2·3</t>
        </is>
      </c>
      <c r="E4317" s="49" t="inlineStr"/>
      <c r="F4317" s="49" t="inlineStr"/>
    </row>
    <row r="4318" ht="13" customHeight="1">
      <c r="A4318" s="45" t="inlineStr">
        <is>
          <t>41231</t>
        </is>
      </c>
      <c r="B4318" s="45" t="inlineStr">
        <is>
          <t>14073</t>
        </is>
      </c>
      <c r="C4318" s="45" t="inlineStr">
        <is>
          <t>3×4691</t>
        </is>
      </c>
      <c r="D4318" s="45" t="inlineStr">
        <is>
          <t>3</t>
        </is>
      </c>
      <c r="E4318" s="45" t="inlineStr"/>
      <c r="F4318" s="45" t="inlineStr"/>
    </row>
    <row r="4319" ht="13" customHeight="1">
      <c r="A4319" s="49" t="inlineStr">
        <is>
          <t>41233</t>
        </is>
      </c>
      <c r="B4319" s="49" t="inlineStr">
        <is>
          <t>28757</t>
        </is>
      </c>
      <c r="C4319" s="49" t="inlineStr">
        <is>
          <t>149×193</t>
        </is>
      </c>
      <c r="D4319" s="49" t="inlineStr">
        <is>
          <t>—</t>
        </is>
      </c>
      <c r="E4319" s="49" t="inlineStr"/>
      <c r="F4319" s="49" t="inlineStr"/>
    </row>
    <row r="4320" ht="13" customHeight="1">
      <c r="A4320" s="45" t="inlineStr">
        <is>
          <t>41243</t>
        </is>
      </c>
      <c r="B4320" s="45" t="inlineStr">
        <is>
          <t>30942</t>
        </is>
      </c>
      <c r="C4320" s="45" t="inlineStr">
        <is>
          <t>2×3×3×3×3×191</t>
        </is>
      </c>
      <c r="D4320" s="45" t="inlineStr">
        <is>
          <t>2·3</t>
        </is>
      </c>
      <c r="E4320" s="45" t="inlineStr"/>
      <c r="F4320" s="45" t="inlineStr"/>
    </row>
    <row r="4321" ht="13" customHeight="1">
      <c r="A4321" s="49" t="inlineStr">
        <is>
          <t>41257</t>
        </is>
      </c>
      <c r="B4321" s="49" t="inlineStr">
        <is>
          <t>24927</t>
        </is>
      </c>
      <c r="C4321" s="49" t="inlineStr">
        <is>
          <t>3×7×1187</t>
        </is>
      </c>
      <c r="D4321" s="49" t="inlineStr">
        <is>
          <t>3·7</t>
        </is>
      </c>
      <c r="E4321" s="49" t="inlineStr"/>
      <c r="F4321" s="49" t="inlineStr"/>
    </row>
    <row r="4322" ht="13" customHeight="1">
      <c r="A4322" s="41" t="inlineStr">
        <is>
          <t>41263</t>
        </is>
      </c>
      <c r="B4322" s="41" t="inlineStr">
        <is>
          <t>20059</t>
        </is>
      </c>
      <c r="C4322" s="41" t="inlineStr">
        <is>
          <t>13×1543</t>
        </is>
      </c>
      <c r="D4322" s="41" t="inlineStr">
        <is>
          <t>13</t>
        </is>
      </c>
      <c r="E4322" s="41" t="inlineStr"/>
      <c r="F4322" s="41" t="inlineStr"/>
    </row>
    <row r="4323" ht="13" customHeight="1">
      <c r="A4323" s="49" t="inlineStr">
        <is>
          <t>41269</t>
        </is>
      </c>
      <c r="B4323" s="49" t="inlineStr">
        <is>
          <t>31698</t>
        </is>
      </c>
      <c r="C4323" s="49" t="inlineStr">
        <is>
          <t>2×3×3×3×587</t>
        </is>
      </c>
      <c r="D4323" s="49" t="inlineStr">
        <is>
          <t>2·3</t>
        </is>
      </c>
      <c r="E4323" s="49" t="inlineStr"/>
      <c r="F4323" s="49" t="inlineStr"/>
    </row>
    <row r="4324" ht="13" customHeight="1">
      <c r="A4324" s="50" t="inlineStr">
        <is>
          <t>41281</t>
        </is>
      </c>
      <c r="B4324" s="50" t="inlineStr">
        <is>
          <t>11117</t>
        </is>
      </c>
      <c r="C4324" s="50" t="inlineStr">
        <is>
          <t>11117</t>
        </is>
      </c>
      <c r="D4324" s="50" t="inlineStr">
        <is>
          <t>—</t>
        </is>
      </c>
      <c r="E4324" s="50" t="inlineStr"/>
      <c r="F4324" s="50" t="inlineStr"/>
    </row>
    <row r="4325" ht="13" customHeight="1">
      <c r="A4325" s="49" t="inlineStr">
        <is>
          <t>41299</t>
        </is>
      </c>
      <c r="B4325" s="49" t="inlineStr">
        <is>
          <t>3814</t>
        </is>
      </c>
      <c r="C4325" s="49" t="inlineStr">
        <is>
          <t>2×1907</t>
        </is>
      </c>
      <c r="D4325" s="49" t="inlineStr">
        <is>
          <t>2</t>
        </is>
      </c>
      <c r="E4325" s="49" t="inlineStr"/>
      <c r="F4325" s="49" t="inlineStr"/>
    </row>
    <row r="4326" ht="13" customHeight="1">
      <c r="A4326" s="45" t="inlineStr">
        <is>
          <t>41333</t>
        </is>
      </c>
      <c r="B4326" s="45" t="inlineStr">
        <is>
          <t>43463</t>
        </is>
      </c>
      <c r="C4326" s="45" t="inlineStr">
        <is>
          <t>7×7×887</t>
        </is>
      </c>
      <c r="D4326" s="45" t="inlineStr">
        <is>
          <t>7</t>
        </is>
      </c>
      <c r="E4326" s="45" t="inlineStr"/>
      <c r="F4326" s="45" t="inlineStr"/>
    </row>
    <row r="4327" ht="13" customHeight="1">
      <c r="A4327" s="51" t="inlineStr">
        <is>
          <t>41341</t>
        </is>
      </c>
      <c r="B4327" s="51" t="inlineStr">
        <is>
          <t>2166</t>
        </is>
      </c>
      <c r="C4327" s="51" t="inlineStr">
        <is>
          <t>2×3×19×19</t>
        </is>
      </c>
      <c r="D4327" s="51" t="inlineStr">
        <is>
          <t>2·3·19</t>
        </is>
      </c>
      <c r="E4327" s="51" t="inlineStr"/>
      <c r="F4327" s="51" t="inlineStr"/>
    </row>
    <row r="4328" ht="13" customHeight="1">
      <c r="A4328" s="45" t="inlineStr">
        <is>
          <t>41351</t>
        </is>
      </c>
      <c r="B4328" s="45" t="inlineStr">
        <is>
          <t>10440</t>
        </is>
      </c>
      <c r="C4328" s="45" t="inlineStr">
        <is>
          <t>2×2×2×3×3×5×29</t>
        </is>
      </c>
      <c r="D4328" s="45" t="inlineStr">
        <is>
          <t>2·3·5</t>
        </is>
      </c>
      <c r="E4328" s="45" t="inlineStr"/>
      <c r="F4328" s="45" t="inlineStr"/>
    </row>
    <row r="4329" ht="13" customHeight="1">
      <c r="A4329" s="49" t="inlineStr">
        <is>
          <t>41357</t>
        </is>
      </c>
      <c r="B4329" s="49" t="inlineStr">
        <is>
          <t>2724</t>
        </is>
      </c>
      <c r="C4329" s="49" t="inlineStr">
        <is>
          <t>2×2×3×227</t>
        </is>
      </c>
      <c r="D4329" s="49" t="inlineStr">
        <is>
          <t>2·3</t>
        </is>
      </c>
      <c r="E4329" s="49" t="inlineStr"/>
      <c r="F4329" s="49" t="inlineStr"/>
    </row>
    <row r="4330" ht="13" customHeight="1">
      <c r="A4330" s="41" t="inlineStr">
        <is>
          <t>41381</t>
        </is>
      </c>
      <c r="B4330" s="41" t="inlineStr">
        <is>
          <t>4505</t>
        </is>
      </c>
      <c r="C4330" s="41" t="inlineStr">
        <is>
          <t>5×17×53</t>
        </is>
      </c>
      <c r="D4330" s="41" t="inlineStr">
        <is>
          <t>5·17</t>
        </is>
      </c>
      <c r="E4330" s="41" t="inlineStr"/>
      <c r="F4330" s="41" t="inlineStr"/>
    </row>
    <row r="4331" ht="13" customHeight="1">
      <c r="A4331" s="43" t="inlineStr">
        <is>
          <t>41387</t>
        </is>
      </c>
      <c r="B4331" s="43" t="inlineStr">
        <is>
          <t>2926</t>
        </is>
      </c>
      <c r="C4331" s="43" t="inlineStr">
        <is>
          <t>2×7×11×19</t>
        </is>
      </c>
      <c r="D4331" s="43" t="inlineStr">
        <is>
          <t>2·7·11·19</t>
        </is>
      </c>
      <c r="E4331" s="43" t="inlineStr"/>
      <c r="F4331" s="43" t="inlineStr"/>
    </row>
    <row r="4332" ht="13" customHeight="1">
      <c r="A4332" s="45" t="inlineStr">
        <is>
          <t>41389</t>
        </is>
      </c>
      <c r="B4332" s="45" t="inlineStr">
        <is>
          <t>14237</t>
        </is>
      </c>
      <c r="C4332" s="45" t="inlineStr">
        <is>
          <t>23×619</t>
        </is>
      </c>
      <c r="D4332" s="45" t="inlineStr">
        <is>
          <t>—</t>
        </is>
      </c>
      <c r="E4332" s="45" t="inlineStr"/>
      <c r="F4332" s="45" t="inlineStr"/>
    </row>
    <row r="4333" ht="13" customHeight="1">
      <c r="A4333" s="49" t="inlineStr">
        <is>
          <t>41399</t>
        </is>
      </c>
      <c r="B4333" s="49" t="inlineStr">
        <is>
          <t>34681</t>
        </is>
      </c>
      <c r="C4333" s="49" t="inlineStr">
        <is>
          <t>79×439</t>
        </is>
      </c>
      <c r="D4333" s="49" t="inlineStr">
        <is>
          <t>—</t>
        </is>
      </c>
      <c r="E4333" s="49" t="inlineStr"/>
      <c r="F4333" s="49" t="inlineStr"/>
    </row>
    <row r="4334" ht="13" customHeight="1">
      <c r="A4334" s="45" t="inlineStr">
        <is>
          <t>41411</t>
        </is>
      </c>
      <c r="B4334" s="45" t="inlineStr">
        <is>
          <t>2577</t>
        </is>
      </c>
      <c r="C4334" s="45" t="inlineStr">
        <is>
          <t>3×859</t>
        </is>
      </c>
      <c r="D4334" s="45" t="inlineStr">
        <is>
          <t>3</t>
        </is>
      </c>
      <c r="E4334" s="45" t="inlineStr"/>
      <c r="F4334" s="45" t="inlineStr"/>
    </row>
    <row r="4335" ht="13" customHeight="1">
      <c r="A4335" s="49" t="inlineStr">
        <is>
          <t>41413</t>
        </is>
      </c>
      <c r="B4335" s="49" t="inlineStr">
        <is>
          <t>18990</t>
        </is>
      </c>
      <c r="C4335" s="49" t="inlineStr">
        <is>
          <t>2×3×3×5×211</t>
        </is>
      </c>
      <c r="D4335" s="49" t="inlineStr">
        <is>
          <t>2·3·5</t>
        </is>
      </c>
      <c r="E4335" s="49" t="inlineStr"/>
      <c r="F4335" s="49" t="inlineStr"/>
    </row>
    <row r="4336" ht="13" customHeight="1">
      <c r="A4336" s="45" t="inlineStr">
        <is>
          <t>41443</t>
        </is>
      </c>
      <c r="B4336" s="45" t="inlineStr">
        <is>
          <t>43306</t>
        </is>
      </c>
      <c r="C4336" s="45" t="inlineStr">
        <is>
          <t>2×59×367</t>
        </is>
      </c>
      <c r="D4336" s="45" t="inlineStr">
        <is>
          <t>2</t>
        </is>
      </c>
      <c r="E4336" s="45" t="inlineStr"/>
      <c r="F4336" s="45" t="inlineStr"/>
    </row>
    <row r="4337" ht="13" customHeight="1">
      <c r="A4337" s="49" t="inlineStr">
        <is>
          <t>41453</t>
        </is>
      </c>
      <c r="B4337" s="49" t="inlineStr">
        <is>
          <t>5464</t>
        </is>
      </c>
      <c r="C4337" s="49" t="inlineStr">
        <is>
          <t>2×2×2×683</t>
        </is>
      </c>
      <c r="D4337" s="49" t="inlineStr">
        <is>
          <t>2</t>
        </is>
      </c>
      <c r="E4337" s="49" t="inlineStr"/>
      <c r="F4337" s="49" t="inlineStr"/>
    </row>
    <row r="4338" ht="13" customHeight="1">
      <c r="A4338" s="43" t="inlineStr">
        <is>
          <t>41467</t>
        </is>
      </c>
      <c r="B4338" s="43" t="inlineStr">
        <is>
          <t>19646</t>
        </is>
      </c>
      <c r="C4338" s="43" t="inlineStr">
        <is>
          <t>2×11×19×47</t>
        </is>
      </c>
      <c r="D4338" s="43" t="inlineStr">
        <is>
          <t>2·11·19</t>
        </is>
      </c>
      <c r="E4338" s="43" t="inlineStr"/>
      <c r="F4338" s="43" t="inlineStr"/>
    </row>
    <row r="4339" ht="13" customHeight="1">
      <c r="A4339" s="49" t="inlineStr">
        <is>
          <t>41479</t>
        </is>
      </c>
      <c r="B4339" s="49" t="inlineStr">
        <is>
          <t>19048</t>
        </is>
      </c>
      <c r="C4339" s="49" t="inlineStr">
        <is>
          <t>2×2×2×2381</t>
        </is>
      </c>
      <c r="D4339" s="49" t="inlineStr">
        <is>
          <t>2</t>
        </is>
      </c>
      <c r="E4339" s="49" t="inlineStr"/>
      <c r="F4339" s="49" t="inlineStr"/>
    </row>
    <row r="4340" ht="13" customHeight="1">
      <c r="A4340" s="45" t="inlineStr">
        <is>
          <t>41491</t>
        </is>
      </c>
      <c r="B4340" s="45" t="inlineStr">
        <is>
          <t>13237</t>
        </is>
      </c>
      <c r="C4340" s="45" t="inlineStr">
        <is>
          <t>7×31×61</t>
        </is>
      </c>
      <c r="D4340" s="45" t="inlineStr">
        <is>
          <t>7</t>
        </is>
      </c>
      <c r="E4340" s="45" t="inlineStr"/>
      <c r="F4340" s="45" t="inlineStr"/>
    </row>
    <row r="4341" ht="13" customHeight="1">
      <c r="A4341" s="49" t="inlineStr">
        <is>
          <t>41507</t>
        </is>
      </c>
      <c r="B4341" s="49" t="inlineStr">
        <is>
          <t>30409</t>
        </is>
      </c>
      <c r="C4341" s="49" t="inlineStr">
        <is>
          <t>47×647</t>
        </is>
      </c>
      <c r="D4341" s="49" t="inlineStr">
        <is>
          <t>—</t>
        </is>
      </c>
      <c r="E4341" s="49" t="inlineStr"/>
      <c r="F4341" s="49" t="inlineStr"/>
    </row>
    <row r="4342" ht="13" customHeight="1">
      <c r="A4342" s="43" t="inlineStr">
        <is>
          <t>41513</t>
        </is>
      </c>
      <c r="B4342" s="43" t="inlineStr">
        <is>
          <t>10043</t>
        </is>
      </c>
      <c r="C4342" s="43" t="inlineStr">
        <is>
          <t>11×11×83</t>
        </is>
      </c>
      <c r="D4342" s="43" t="inlineStr">
        <is>
          <t>11</t>
        </is>
      </c>
      <c r="E4342" s="43" t="inlineStr"/>
      <c r="F4342" s="43" t="inlineStr"/>
    </row>
    <row r="4343" ht="13" customHeight="1">
      <c r="A4343" s="49" t="inlineStr">
        <is>
          <t>41519</t>
        </is>
      </c>
      <c r="B4343" s="49" t="inlineStr">
        <is>
          <t>17305</t>
        </is>
      </c>
      <c r="C4343" s="49" t="inlineStr">
        <is>
          <t>5×3461</t>
        </is>
      </c>
      <c r="D4343" s="49" t="inlineStr">
        <is>
          <t>5</t>
        </is>
      </c>
      <c r="E4343" s="49" t="inlineStr"/>
      <c r="F4343" s="49" t="inlineStr"/>
    </row>
    <row r="4344" ht="13" customHeight="1">
      <c r="A4344" s="45" t="inlineStr">
        <is>
          <t>41521</t>
        </is>
      </c>
      <c r="B4344" s="45" t="inlineStr">
        <is>
          <t>29836</t>
        </is>
      </c>
      <c r="C4344" s="45" t="inlineStr">
        <is>
          <t>2×2×7459</t>
        </is>
      </c>
      <c r="D4344" s="45" t="inlineStr">
        <is>
          <t>2</t>
        </is>
      </c>
      <c r="E4344" s="45" t="inlineStr"/>
      <c r="F4344" s="45" t="inlineStr"/>
    </row>
    <row r="4345" ht="13" customHeight="1">
      <c r="A4345" s="49" t="inlineStr">
        <is>
          <t>41539</t>
        </is>
      </c>
      <c r="B4345" s="49" t="inlineStr">
        <is>
          <t>2338</t>
        </is>
      </c>
      <c r="C4345" s="49" t="inlineStr">
        <is>
          <t>2×7×167</t>
        </is>
      </c>
      <c r="D4345" s="49" t="inlineStr">
        <is>
          <t>2·7</t>
        </is>
      </c>
      <c r="E4345" s="49" t="inlineStr"/>
      <c r="F4345" s="49" t="inlineStr"/>
    </row>
    <row r="4346" ht="13" customHeight="1">
      <c r="A4346" s="45" t="inlineStr">
        <is>
          <t>41543</t>
        </is>
      </c>
      <c r="B4346" s="45" t="inlineStr">
        <is>
          <t>41104</t>
        </is>
      </c>
      <c r="C4346" s="45" t="inlineStr">
        <is>
          <t>2×2×2×2×7×367</t>
        </is>
      </c>
      <c r="D4346" s="45" t="inlineStr">
        <is>
          <t>2·7</t>
        </is>
      </c>
      <c r="E4346" s="45" t="inlineStr"/>
      <c r="F4346" s="45" t="inlineStr"/>
    </row>
    <row r="4347" ht="13" customHeight="1">
      <c r="A4347" s="49" t="inlineStr">
        <is>
          <t>41549</t>
        </is>
      </c>
      <c r="B4347" s="49" t="inlineStr">
        <is>
          <t>40604</t>
        </is>
      </c>
      <c r="C4347" s="49" t="inlineStr">
        <is>
          <t>2×2×10151</t>
        </is>
      </c>
      <c r="D4347" s="49" t="inlineStr">
        <is>
          <t>2</t>
        </is>
      </c>
      <c r="E4347" s="49" t="inlineStr"/>
      <c r="F4347" s="49" t="inlineStr"/>
    </row>
    <row r="4348" ht="13" customHeight="1">
      <c r="A4348" s="45" t="inlineStr">
        <is>
          <t>41579</t>
        </is>
      </c>
      <c r="B4348" s="45" t="inlineStr">
        <is>
          <t>38908</t>
        </is>
      </c>
      <c r="C4348" s="45" t="inlineStr">
        <is>
          <t>2×2×71×137</t>
        </is>
      </c>
      <c r="D4348" s="45" t="inlineStr">
        <is>
          <t>2</t>
        </is>
      </c>
      <c r="E4348" s="45" t="inlineStr"/>
      <c r="F4348" s="45" t="inlineStr"/>
    </row>
    <row r="4349" ht="13" customHeight="1">
      <c r="A4349" s="41" t="inlineStr">
        <is>
          <t>41593</t>
        </is>
      </c>
      <c r="B4349" s="41" t="inlineStr">
        <is>
          <t>43792</t>
        </is>
      </c>
      <c r="C4349" s="41" t="inlineStr">
        <is>
          <t>2×2×2×2×7×17×23</t>
        </is>
      </c>
      <c r="D4349" s="41" t="inlineStr">
        <is>
          <t>2·7·17</t>
        </is>
      </c>
      <c r="E4349" s="41" t="inlineStr"/>
      <c r="F4349" s="41" t="inlineStr"/>
    </row>
    <row r="4350" ht="13" customHeight="1">
      <c r="A4350" s="45" t="inlineStr">
        <is>
          <t>41597</t>
        </is>
      </c>
      <c r="B4350" s="45" t="inlineStr">
        <is>
          <t>27316</t>
        </is>
      </c>
      <c r="C4350" s="45" t="inlineStr">
        <is>
          <t>2×2×6829</t>
        </is>
      </c>
      <c r="D4350" s="45" t="inlineStr">
        <is>
          <t>2</t>
        </is>
      </c>
      <c r="E4350" s="45" t="inlineStr"/>
      <c r="F4350" s="45" t="inlineStr"/>
    </row>
    <row r="4351" ht="13" customHeight="1">
      <c r="A4351" s="41" t="inlineStr">
        <is>
          <t>41603</t>
        </is>
      </c>
      <c r="B4351" s="41" t="inlineStr">
        <is>
          <t>13754</t>
        </is>
      </c>
      <c r="C4351" s="41" t="inlineStr">
        <is>
          <t>2×13×23×23</t>
        </is>
      </c>
      <c r="D4351" s="41" t="inlineStr">
        <is>
          <t>2·13</t>
        </is>
      </c>
      <c r="E4351" s="41" t="inlineStr"/>
      <c r="F4351" s="41" t="inlineStr"/>
    </row>
    <row r="4352" ht="13" customHeight="1">
      <c r="A4352" s="45" t="inlineStr">
        <is>
          <t>41609</t>
        </is>
      </c>
      <c r="B4352" s="45" t="inlineStr">
        <is>
          <t>8495</t>
        </is>
      </c>
      <c r="C4352" s="45" t="inlineStr">
        <is>
          <t>5×1699</t>
        </is>
      </c>
      <c r="D4352" s="45" t="inlineStr">
        <is>
          <t>5</t>
        </is>
      </c>
      <c r="E4352" s="45" t="inlineStr"/>
      <c r="F4352" s="45" t="inlineStr"/>
    </row>
    <row r="4353" ht="13" customHeight="1">
      <c r="A4353" s="49" t="inlineStr">
        <is>
          <t>41611</t>
        </is>
      </c>
      <c r="B4353" s="49" t="inlineStr">
        <is>
          <t>8608</t>
        </is>
      </c>
      <c r="C4353" s="49" t="inlineStr">
        <is>
          <t>2×2×2×2×2×269</t>
        </is>
      </c>
      <c r="D4353" s="49" t="inlineStr">
        <is>
          <t>2</t>
        </is>
      </c>
      <c r="E4353" s="49" t="inlineStr"/>
      <c r="F4353" s="49" t="inlineStr"/>
    </row>
    <row r="4354" ht="13" customHeight="1">
      <c r="A4354" s="45" t="inlineStr">
        <is>
          <t>41617</t>
        </is>
      </c>
      <c r="B4354" s="45" t="inlineStr">
        <is>
          <t>38466</t>
        </is>
      </c>
      <c r="C4354" s="45" t="inlineStr">
        <is>
          <t>2×3×3×2137</t>
        </is>
      </c>
      <c r="D4354" s="45" t="inlineStr">
        <is>
          <t>2·3</t>
        </is>
      </c>
      <c r="E4354" s="45" t="inlineStr"/>
      <c r="F4354" s="45" t="inlineStr"/>
    </row>
    <row r="4355" ht="13" customHeight="1">
      <c r="A4355" s="49" t="inlineStr">
        <is>
          <t>41621</t>
        </is>
      </c>
      <c r="B4355" s="49" t="inlineStr">
        <is>
          <t>17616</t>
        </is>
      </c>
      <c r="C4355" s="49" t="inlineStr">
        <is>
          <t>2×2×2×2×3×367</t>
        </is>
      </c>
      <c r="D4355" s="49" t="inlineStr">
        <is>
          <t>2·3</t>
        </is>
      </c>
      <c r="E4355" s="49" t="inlineStr"/>
      <c r="F4355" s="49" t="inlineStr"/>
    </row>
    <row r="4356" ht="13" customHeight="1">
      <c r="A4356" s="41" t="inlineStr">
        <is>
          <t>41627</t>
        </is>
      </c>
      <c r="B4356" s="41" t="inlineStr">
        <is>
          <t>31926</t>
        </is>
      </c>
      <c r="C4356" s="41" t="inlineStr">
        <is>
          <t>2×3×17×313</t>
        </is>
      </c>
      <c r="D4356" s="41" t="inlineStr">
        <is>
          <t>2·3·17</t>
        </is>
      </c>
      <c r="E4356" s="41" t="inlineStr"/>
      <c r="F4356" s="41" t="inlineStr"/>
    </row>
    <row r="4357" ht="13" customHeight="1">
      <c r="A4357" s="49" t="inlineStr">
        <is>
          <t>41641</t>
        </is>
      </c>
      <c r="B4357" s="49" t="inlineStr">
        <is>
          <t>1736</t>
        </is>
      </c>
      <c r="C4357" s="49" t="inlineStr">
        <is>
          <t>2×2×2×7×31</t>
        </is>
      </c>
      <c r="D4357" s="49" t="inlineStr">
        <is>
          <t>2·7</t>
        </is>
      </c>
      <c r="E4357" s="49" t="inlineStr"/>
      <c r="F4357" s="49" t="inlineStr"/>
    </row>
    <row r="4358" ht="13" customHeight="1">
      <c r="A4358" s="45" t="inlineStr">
        <is>
          <t>41647</t>
        </is>
      </c>
      <c r="B4358" s="45" t="inlineStr">
        <is>
          <t>41636</t>
        </is>
      </c>
      <c r="C4358" s="45" t="inlineStr">
        <is>
          <t>2×2×7×1487</t>
        </is>
      </c>
      <c r="D4358" s="45" t="inlineStr">
        <is>
          <t>2·7</t>
        </is>
      </c>
      <c r="E4358" s="45" t="inlineStr"/>
      <c r="F4358" s="45" t="inlineStr"/>
    </row>
    <row r="4359" ht="13" customHeight="1">
      <c r="A4359" s="49" t="inlineStr">
        <is>
          <t>41651</t>
        </is>
      </c>
      <c r="B4359" s="49" t="inlineStr">
        <is>
          <t>11124</t>
        </is>
      </c>
      <c r="C4359" s="49" t="inlineStr">
        <is>
          <t>2×2×3×3×3×103</t>
        </is>
      </c>
      <c r="D4359" s="49" t="inlineStr">
        <is>
          <t>2·3</t>
        </is>
      </c>
      <c r="E4359" s="49" t="inlineStr"/>
      <c r="F4359" s="49" t="inlineStr"/>
    </row>
    <row r="4360" ht="13" customHeight="1">
      <c r="A4360" s="45" t="inlineStr">
        <is>
          <t>41659</t>
        </is>
      </c>
      <c r="B4360" s="45" t="inlineStr">
        <is>
          <t>32216</t>
        </is>
      </c>
      <c r="C4360" s="45" t="inlineStr">
        <is>
          <t>2×2×2×4027</t>
        </is>
      </c>
      <c r="D4360" s="45" t="inlineStr">
        <is>
          <t>2</t>
        </is>
      </c>
      <c r="E4360" s="45" t="inlineStr"/>
      <c r="F4360" s="45" t="inlineStr"/>
    </row>
    <row r="4361" ht="13" customHeight="1">
      <c r="A4361" s="49" t="inlineStr">
        <is>
          <t>41669</t>
        </is>
      </c>
      <c r="B4361" s="49" t="inlineStr">
        <is>
          <t>17976</t>
        </is>
      </c>
      <c r="C4361" s="49" t="inlineStr">
        <is>
          <t>2×2×2×3×7×107</t>
        </is>
      </c>
      <c r="D4361" s="49" t="inlineStr">
        <is>
          <t>2·3·7</t>
        </is>
      </c>
      <c r="E4361" s="49" t="inlineStr"/>
      <c r="F4361" s="49" t="inlineStr"/>
    </row>
    <row r="4362" ht="13" customHeight="1">
      <c r="A4362" s="51" t="inlineStr">
        <is>
          <t>41681</t>
        </is>
      </c>
      <c r="B4362" s="51" t="inlineStr">
        <is>
          <t>43415</t>
        </is>
      </c>
      <c r="C4362" s="51" t="inlineStr">
        <is>
          <t>5×19×457</t>
        </is>
      </c>
      <c r="D4362" s="51" t="inlineStr">
        <is>
          <t>5·19</t>
        </is>
      </c>
      <c r="E4362" s="51" t="inlineStr"/>
      <c r="F4362" s="51" t="inlineStr"/>
    </row>
    <row r="4363" ht="13" customHeight="1">
      <c r="A4363" s="49" t="inlineStr">
        <is>
          <t>41687</t>
        </is>
      </c>
      <c r="B4363" s="49" t="inlineStr">
        <is>
          <t>13161</t>
        </is>
      </c>
      <c r="C4363" s="49" t="inlineStr">
        <is>
          <t>3×41×107</t>
        </is>
      </c>
      <c r="D4363" s="49" t="inlineStr">
        <is>
          <t>3</t>
        </is>
      </c>
      <c r="E4363" s="49" t="inlineStr"/>
      <c r="F4363" s="49" t="inlineStr"/>
    </row>
    <row r="4364" ht="13" customHeight="1">
      <c r="A4364" s="50" t="inlineStr">
        <is>
          <t>41719</t>
        </is>
      </c>
      <c r="B4364" s="50" t="inlineStr">
        <is>
          <t>41149</t>
        </is>
      </c>
      <c r="C4364" s="50" t="inlineStr">
        <is>
          <t>41149</t>
        </is>
      </c>
      <c r="D4364" s="50" t="inlineStr">
        <is>
          <t>—</t>
        </is>
      </c>
      <c r="E4364" s="50" t="inlineStr"/>
      <c r="F4364" s="50" t="inlineStr"/>
    </row>
    <row r="4365" ht="13" customHeight="1">
      <c r="A4365" s="43" t="inlineStr">
        <is>
          <t>41729</t>
        </is>
      </c>
      <c r="B4365" s="43" t="inlineStr">
        <is>
          <t>38698</t>
        </is>
      </c>
      <c r="C4365" s="43" t="inlineStr">
        <is>
          <t>2×11×1759</t>
        </is>
      </c>
      <c r="D4365" s="43" t="inlineStr">
        <is>
          <t>2·11</t>
        </is>
      </c>
      <c r="E4365" s="43" t="inlineStr"/>
      <c r="F4365" s="43" t="inlineStr"/>
    </row>
    <row r="4366" ht="13" customHeight="1">
      <c r="A4366" s="51" t="inlineStr">
        <is>
          <t>41737</t>
        </is>
      </c>
      <c r="B4366" s="51" t="inlineStr">
        <is>
          <t>5719</t>
        </is>
      </c>
      <c r="C4366" s="51" t="inlineStr">
        <is>
          <t>7×19×43</t>
        </is>
      </c>
      <c r="D4366" s="51" t="inlineStr">
        <is>
          <t>7·19</t>
        </is>
      </c>
      <c r="E4366" s="51" t="inlineStr"/>
      <c r="F4366" s="51" t="inlineStr"/>
    </row>
    <row r="4367" ht="13" customHeight="1">
      <c r="A4367" s="43" t="inlineStr">
        <is>
          <t>41759</t>
        </is>
      </c>
      <c r="B4367" s="43" t="inlineStr">
        <is>
          <t>2849</t>
        </is>
      </c>
      <c r="C4367" s="43" t="inlineStr">
        <is>
          <t>7×11×37</t>
        </is>
      </c>
      <c r="D4367" s="43" t="inlineStr">
        <is>
          <t>7·11</t>
        </is>
      </c>
      <c r="E4367" s="43" t="inlineStr"/>
      <c r="F4367" s="43" t="inlineStr"/>
    </row>
    <row r="4368" ht="13" customHeight="1">
      <c r="A4368" s="45" t="inlineStr">
        <is>
          <t>41761</t>
        </is>
      </c>
      <c r="B4368" s="45" t="inlineStr">
        <is>
          <t>27359</t>
        </is>
      </c>
      <c r="C4368" s="45" t="inlineStr">
        <is>
          <t>109×251</t>
        </is>
      </c>
      <c r="D4368" s="45" t="inlineStr">
        <is>
          <t>—</t>
        </is>
      </c>
      <c r="E4368" s="45" t="inlineStr"/>
      <c r="F4368" s="45" t="inlineStr"/>
    </row>
    <row r="4369" ht="13" customHeight="1">
      <c r="A4369" s="49" t="inlineStr">
        <is>
          <t>41771</t>
        </is>
      </c>
      <c r="B4369" s="49" t="inlineStr">
        <is>
          <t>26264</t>
        </is>
      </c>
      <c r="C4369" s="49" t="inlineStr">
        <is>
          <t>2×2×2×7×7×67</t>
        </is>
      </c>
      <c r="D4369" s="49" t="inlineStr">
        <is>
          <t>2·7</t>
        </is>
      </c>
      <c r="E4369" s="49" t="inlineStr"/>
      <c r="F4369" s="49" t="inlineStr"/>
    </row>
    <row r="4370" ht="13" customHeight="1">
      <c r="A4370" s="41" t="inlineStr">
        <is>
          <t>41777</t>
        </is>
      </c>
      <c r="B4370" s="41" t="inlineStr">
        <is>
          <t>26401</t>
        </is>
      </c>
      <c r="C4370" s="41" t="inlineStr">
        <is>
          <t>17×1553</t>
        </is>
      </c>
      <c r="D4370" s="41" t="inlineStr">
        <is>
          <t>17</t>
        </is>
      </c>
      <c r="E4370" s="41" t="inlineStr"/>
      <c r="F4370" s="41" t="inlineStr"/>
    </row>
    <row r="4371" ht="13" customHeight="1">
      <c r="A4371" s="49" t="inlineStr">
        <is>
          <t>41801</t>
        </is>
      </c>
      <c r="B4371" s="49" t="inlineStr">
        <is>
          <t>6938</t>
        </is>
      </c>
      <c r="C4371" s="49" t="inlineStr">
        <is>
          <t>2×3469</t>
        </is>
      </c>
      <c r="D4371" s="49" t="inlineStr">
        <is>
          <t>2</t>
        </is>
      </c>
      <c r="E4371" s="49" t="inlineStr"/>
      <c r="F4371" s="49" t="inlineStr"/>
    </row>
    <row r="4372" ht="13" customHeight="1">
      <c r="A4372" s="41" t="inlineStr">
        <is>
          <t>41809</t>
        </is>
      </c>
      <c r="B4372" s="41" t="inlineStr">
        <is>
          <t>11084</t>
        </is>
      </c>
      <c r="C4372" s="41" t="inlineStr">
        <is>
          <t>2×2×17×163</t>
        </is>
      </c>
      <c r="D4372" s="41" t="inlineStr">
        <is>
          <t>2·17</t>
        </is>
      </c>
      <c r="E4372" s="41" t="inlineStr"/>
      <c r="F4372" s="41" t="inlineStr"/>
    </row>
    <row r="4373" ht="13" customHeight="1">
      <c r="A4373" s="49" t="inlineStr">
        <is>
          <t>41813</t>
        </is>
      </c>
      <c r="B4373" s="49" t="inlineStr">
        <is>
          <t>5397</t>
        </is>
      </c>
      <c r="C4373" s="49" t="inlineStr">
        <is>
          <t>3×7×257</t>
        </is>
      </c>
      <c r="D4373" s="49" t="inlineStr">
        <is>
          <t>3·7</t>
        </is>
      </c>
      <c r="E4373" s="49" t="inlineStr"/>
      <c r="F4373" s="49" t="inlineStr"/>
    </row>
    <row r="4374" ht="13" customHeight="1">
      <c r="A4374" s="41" t="inlineStr">
        <is>
          <t>41843</t>
        </is>
      </c>
      <c r="B4374" s="41" t="inlineStr">
        <is>
          <t>17160</t>
        </is>
      </c>
      <c r="C4374" s="41" t="inlineStr">
        <is>
          <t>2×2×2×3×5×11×13</t>
        </is>
      </c>
      <c r="D4374" s="41" t="inlineStr">
        <is>
          <t>2·3·5·11·13</t>
        </is>
      </c>
      <c r="E4374" s="41" t="inlineStr"/>
      <c r="F4374" s="41" t="inlineStr"/>
    </row>
    <row r="4375" ht="13" customHeight="1">
      <c r="A4375" s="49" t="inlineStr">
        <is>
          <t>41849</t>
        </is>
      </c>
      <c r="B4375" s="49" t="inlineStr">
        <is>
          <t>32020</t>
        </is>
      </c>
      <c r="C4375" s="49" t="inlineStr">
        <is>
          <t>2×2×5×1601</t>
        </is>
      </c>
      <c r="D4375" s="49" t="inlineStr">
        <is>
          <t>2·5</t>
        </is>
      </c>
      <c r="E4375" s="49" t="inlineStr"/>
      <c r="F4375" s="49" t="inlineStr"/>
    </row>
    <row r="4376" ht="13" customHeight="1">
      <c r="A4376" s="43" t="inlineStr">
        <is>
          <t>41851</t>
        </is>
      </c>
      <c r="B4376" s="43" t="inlineStr">
        <is>
          <t>38478</t>
        </is>
      </c>
      <c r="C4376" s="43" t="inlineStr">
        <is>
          <t>2×3×11×11×53</t>
        </is>
      </c>
      <c r="D4376" s="43" t="inlineStr">
        <is>
          <t>2·3·11</t>
        </is>
      </c>
      <c r="E4376" s="43" t="inlineStr"/>
      <c r="F4376" s="43" t="inlineStr"/>
    </row>
    <row r="4377" ht="13" customHeight="1">
      <c r="A4377" s="49" t="inlineStr">
        <is>
          <t>41863</t>
        </is>
      </c>
      <c r="B4377" s="49" t="inlineStr">
        <is>
          <t>1282</t>
        </is>
      </c>
      <c r="C4377" s="49" t="inlineStr">
        <is>
          <t>2×641</t>
        </is>
      </c>
      <c r="D4377" s="49" t="inlineStr">
        <is>
          <t>2</t>
        </is>
      </c>
      <c r="E4377" s="49" t="inlineStr"/>
      <c r="F4377" s="49" t="inlineStr"/>
    </row>
    <row r="4378" ht="13" customHeight="1">
      <c r="A4378" s="50" t="inlineStr">
        <is>
          <t>41879</t>
        </is>
      </c>
      <c r="B4378" s="50" t="inlineStr">
        <is>
          <t>38543</t>
        </is>
      </c>
      <c r="C4378" s="50" t="inlineStr">
        <is>
          <t>38543</t>
        </is>
      </c>
      <c r="D4378" s="50" t="inlineStr">
        <is>
          <t>—</t>
        </is>
      </c>
      <c r="E4378" s="50" t="inlineStr"/>
      <c r="F4378" s="50" t="inlineStr"/>
    </row>
    <row r="4379" ht="13" customHeight="1">
      <c r="A4379" s="43" t="inlineStr">
        <is>
          <t>41887</t>
        </is>
      </c>
      <c r="B4379" s="43" t="inlineStr">
        <is>
          <t>35651</t>
        </is>
      </c>
      <c r="C4379" s="43" t="inlineStr">
        <is>
          <t>7×11×463</t>
        </is>
      </c>
      <c r="D4379" s="43" t="inlineStr">
        <is>
          <t>7·11</t>
        </is>
      </c>
      <c r="E4379" s="43" t="inlineStr"/>
      <c r="F4379" s="43" t="inlineStr"/>
    </row>
    <row r="4380" ht="13" customHeight="1">
      <c r="A4380" s="41" t="inlineStr">
        <is>
          <t>41893</t>
        </is>
      </c>
      <c r="B4380" s="41" t="inlineStr">
        <is>
          <t>23725</t>
        </is>
      </c>
      <c r="C4380" s="41" t="inlineStr">
        <is>
          <t>5×5×13×73</t>
        </is>
      </c>
      <c r="D4380" s="41" t="inlineStr">
        <is>
          <t>5·13</t>
        </is>
      </c>
      <c r="E4380" s="41" t="inlineStr"/>
      <c r="F4380" s="41" t="inlineStr"/>
    </row>
    <row r="4381" ht="13" customHeight="1">
      <c r="A4381" s="43" t="inlineStr">
        <is>
          <t>41897</t>
        </is>
      </c>
      <c r="B4381" s="43" t="inlineStr">
        <is>
          <t>19932</t>
        </is>
      </c>
      <c r="C4381" s="43" t="inlineStr">
        <is>
          <t>2×2×3×11×151</t>
        </is>
      </c>
      <c r="D4381" s="43" t="inlineStr">
        <is>
          <t>2·3·11</t>
        </is>
      </c>
      <c r="E4381" s="43" t="inlineStr"/>
      <c r="F4381" s="43" t="inlineStr"/>
    </row>
    <row r="4382" ht="13" customHeight="1">
      <c r="A4382" s="41" t="inlineStr">
        <is>
          <t>41903</t>
        </is>
      </c>
      <c r="B4382" s="41" t="inlineStr">
        <is>
          <t>25246</t>
        </is>
      </c>
      <c r="C4382" s="41" t="inlineStr">
        <is>
          <t>2×13×971</t>
        </is>
      </c>
      <c r="D4382" s="41" t="inlineStr">
        <is>
          <t>2·13</t>
        </is>
      </c>
      <c r="E4382" s="41" t="inlineStr"/>
      <c r="F4382" s="41" t="inlineStr"/>
    </row>
    <row r="4383" ht="13" customHeight="1">
      <c r="A4383" s="43" t="inlineStr">
        <is>
          <t>41911</t>
        </is>
      </c>
      <c r="B4383" s="43" t="inlineStr">
        <is>
          <t>41206</t>
        </is>
      </c>
      <c r="C4383" s="43" t="inlineStr">
        <is>
          <t>2×11×1873</t>
        </is>
      </c>
      <c r="D4383" s="43" t="inlineStr">
        <is>
          <t>2·11</t>
        </is>
      </c>
      <c r="E4383" s="43" t="inlineStr"/>
      <c r="F4383" s="43" t="inlineStr"/>
    </row>
    <row r="4384" ht="13" customHeight="1">
      <c r="A4384" s="45" t="inlineStr">
        <is>
          <t>41927</t>
        </is>
      </c>
      <c r="B4384" s="45" t="inlineStr">
        <is>
          <t>31836</t>
        </is>
      </c>
      <c r="C4384" s="45" t="inlineStr">
        <is>
          <t>2×2×3×7×379</t>
        </is>
      </c>
      <c r="D4384" s="45" t="inlineStr">
        <is>
          <t>2·3·7</t>
        </is>
      </c>
      <c r="E4384" s="45" t="inlineStr"/>
      <c r="F4384" s="45" t="inlineStr"/>
    </row>
    <row r="4385" ht="13" customHeight="1">
      <c r="A4385" s="49" t="inlineStr">
        <is>
          <t>41941</t>
        </is>
      </c>
      <c r="B4385" s="49" t="inlineStr">
        <is>
          <t>42985</t>
        </is>
      </c>
      <c r="C4385" s="49" t="inlineStr">
        <is>
          <t>5×8597</t>
        </is>
      </c>
      <c r="D4385" s="49" t="inlineStr">
        <is>
          <t>5</t>
        </is>
      </c>
      <c r="E4385" s="49" t="inlineStr"/>
      <c r="F4385" s="49" t="inlineStr"/>
    </row>
    <row r="4386" ht="13" customHeight="1">
      <c r="A4386" s="45" t="inlineStr">
        <is>
          <t>41947</t>
        </is>
      </c>
      <c r="B4386" s="45" t="inlineStr">
        <is>
          <t>28625</t>
        </is>
      </c>
      <c r="C4386" s="45" t="inlineStr">
        <is>
          <t>5×5×5×229</t>
        </is>
      </c>
      <c r="D4386" s="45" t="inlineStr">
        <is>
          <t>5</t>
        </is>
      </c>
      <c r="E4386" s="45" t="inlineStr"/>
      <c r="F4386" s="45" t="inlineStr"/>
    </row>
    <row r="4387" ht="13" customHeight="1">
      <c r="A4387" s="49" t="inlineStr">
        <is>
          <t>41953</t>
        </is>
      </c>
      <c r="B4387" s="49" t="inlineStr">
        <is>
          <t>33849</t>
        </is>
      </c>
      <c r="C4387" s="49" t="inlineStr">
        <is>
          <t>3×3×3761</t>
        </is>
      </c>
      <c r="D4387" s="49" t="inlineStr">
        <is>
          <t>3</t>
        </is>
      </c>
      <c r="E4387" s="49" t="inlineStr"/>
      <c r="F4387" s="49" t="inlineStr"/>
    </row>
    <row r="4388" ht="13" customHeight="1">
      <c r="A4388" s="45" t="inlineStr">
        <is>
          <t>41957</t>
        </is>
      </c>
      <c r="B4388" s="45" t="inlineStr">
        <is>
          <t>15720</t>
        </is>
      </c>
      <c r="C4388" s="45" t="inlineStr">
        <is>
          <t>2×2×2×3×5×131</t>
        </is>
      </c>
      <c r="D4388" s="45" t="inlineStr">
        <is>
          <t>2·3·5</t>
        </is>
      </c>
      <c r="E4388" s="45" t="inlineStr"/>
      <c r="F4388" s="45" t="inlineStr"/>
    </row>
    <row r="4389" ht="13" customHeight="1">
      <c r="A4389" s="49" t="inlineStr">
        <is>
          <t>41959</t>
        </is>
      </c>
      <c r="B4389" s="49" t="inlineStr">
        <is>
          <t>15135</t>
        </is>
      </c>
      <c r="C4389" s="49" t="inlineStr">
        <is>
          <t>3×5×1009</t>
        </is>
      </c>
      <c r="D4389" s="49" t="inlineStr">
        <is>
          <t>3·5</t>
        </is>
      </c>
      <c r="E4389" s="49" t="inlineStr"/>
      <c r="F4389" s="49" t="inlineStr"/>
    </row>
    <row r="4390" ht="13" customHeight="1">
      <c r="A4390" s="41" t="inlineStr">
        <is>
          <t>41969</t>
        </is>
      </c>
      <c r="B4390" s="41" t="inlineStr">
        <is>
          <t>16728</t>
        </is>
      </c>
      <c r="C4390" s="41" t="inlineStr">
        <is>
          <t>2×2×2×3×17×41</t>
        </is>
      </c>
      <c r="D4390" s="41" t="inlineStr">
        <is>
          <t>2·3·17</t>
        </is>
      </c>
      <c r="E4390" s="41" t="inlineStr"/>
      <c r="F4390" s="41" t="inlineStr"/>
    </row>
    <row r="4391" ht="13" customHeight="1">
      <c r="A4391" s="49" t="inlineStr">
        <is>
          <t>41981</t>
        </is>
      </c>
      <c r="B4391" s="49" t="inlineStr">
        <is>
          <t>21026</t>
        </is>
      </c>
      <c r="C4391" s="49" t="inlineStr">
        <is>
          <t>2×10513</t>
        </is>
      </c>
      <c r="D4391" s="49" t="inlineStr">
        <is>
          <t>2</t>
        </is>
      </c>
      <c r="E4391" s="49" t="inlineStr"/>
      <c r="F4391" s="49" t="inlineStr"/>
    </row>
    <row r="4392" ht="13" customHeight="1">
      <c r="A4392" s="45" t="inlineStr">
        <is>
          <t>41983</t>
        </is>
      </c>
      <c r="B4392" s="45" t="inlineStr">
        <is>
          <t>12013</t>
        </is>
      </c>
      <c r="C4392" s="45" t="inlineStr">
        <is>
          <t>41×293</t>
        </is>
      </c>
      <c r="D4392" s="45" t="inlineStr">
        <is>
          <t>—</t>
        </is>
      </c>
      <c r="E4392" s="45" t="inlineStr"/>
      <c r="F4392" s="45" t="inlineStr"/>
    </row>
    <row r="4393" ht="13" customHeight="1">
      <c r="A4393" s="49" t="inlineStr">
        <is>
          <t>41999</t>
        </is>
      </c>
      <c r="B4393" s="49" t="inlineStr">
        <is>
          <t>11147</t>
        </is>
      </c>
      <c r="C4393" s="49" t="inlineStr">
        <is>
          <t>71×157</t>
        </is>
      </c>
      <c r="D4393" s="49" t="inlineStr">
        <is>
          <t>—</t>
        </is>
      </c>
      <c r="E4393" s="49" t="inlineStr"/>
      <c r="F4393" s="49" t="inlineStr"/>
    </row>
    <row r="4394" ht="13" customHeight="1">
      <c r="A4394" s="50" t="inlineStr">
        <is>
          <t>42013</t>
        </is>
      </c>
      <c r="B4394" s="50" t="inlineStr">
        <is>
          <t>27737</t>
        </is>
      </c>
      <c r="C4394" s="50" t="inlineStr">
        <is>
          <t>27737</t>
        </is>
      </c>
      <c r="D4394" s="50" t="inlineStr">
        <is>
          <t>—</t>
        </is>
      </c>
      <c r="E4394" s="50" t="inlineStr"/>
      <c r="F4394" s="50" t="inlineStr"/>
    </row>
    <row r="4395" ht="13" customHeight="1">
      <c r="A4395" s="49" t="inlineStr">
        <is>
          <t>42017</t>
        </is>
      </c>
      <c r="B4395" s="49" t="inlineStr">
        <is>
          <t>38582</t>
        </is>
      </c>
      <c r="C4395" s="49" t="inlineStr">
        <is>
          <t>2×101×191</t>
        </is>
      </c>
      <c r="D4395" s="49" t="inlineStr">
        <is>
          <t>2</t>
        </is>
      </c>
      <c r="E4395" s="49" t="inlineStr"/>
      <c r="F4395" s="49" t="inlineStr"/>
    </row>
    <row r="4396" ht="13" customHeight="1">
      <c r="A4396" s="41" t="inlineStr">
        <is>
          <t>42019</t>
        </is>
      </c>
      <c r="B4396" s="41" t="inlineStr">
        <is>
          <t>40235</t>
        </is>
      </c>
      <c r="C4396" s="41" t="inlineStr">
        <is>
          <t>5×13×619</t>
        </is>
      </c>
      <c r="D4396" s="41" t="inlineStr">
        <is>
          <t>5·13</t>
        </is>
      </c>
      <c r="E4396" s="41" t="inlineStr"/>
      <c r="F4396" s="41" t="inlineStr"/>
    </row>
    <row r="4397" ht="13" customHeight="1">
      <c r="A4397" s="49" t="inlineStr">
        <is>
          <t>42023</t>
        </is>
      </c>
      <c r="B4397" s="49" t="inlineStr">
        <is>
          <t>42271</t>
        </is>
      </c>
      <c r="C4397" s="49" t="inlineStr">
        <is>
          <t>41×1031</t>
        </is>
      </c>
      <c r="D4397" s="49" t="inlineStr">
        <is>
          <t>—</t>
        </is>
      </c>
      <c r="E4397" s="49" t="inlineStr"/>
      <c r="F4397" s="49" t="inlineStr"/>
    </row>
    <row r="4398" ht="13" customHeight="1">
      <c r="A4398" s="45" t="inlineStr">
        <is>
          <t>42043</t>
        </is>
      </c>
      <c r="B4398" s="45" t="inlineStr">
        <is>
          <t>39093</t>
        </is>
      </c>
      <c r="C4398" s="45" t="inlineStr">
        <is>
          <t>3×83×157</t>
        </is>
      </c>
      <c r="D4398" s="45" t="inlineStr">
        <is>
          <t>3</t>
        </is>
      </c>
      <c r="E4398" s="45" t="inlineStr"/>
      <c r="F4398" s="45" t="inlineStr"/>
    </row>
    <row r="4399" ht="13" customHeight="1">
      <c r="A4399" s="49" t="inlineStr">
        <is>
          <t>42061</t>
        </is>
      </c>
      <c r="B4399" s="49" t="inlineStr">
        <is>
          <t>34076</t>
        </is>
      </c>
      <c r="C4399" s="49" t="inlineStr">
        <is>
          <t>2×2×7×1217</t>
        </is>
      </c>
      <c r="D4399" s="49" t="inlineStr">
        <is>
          <t>2·7</t>
        </is>
      </c>
      <c r="E4399" s="49" t="inlineStr"/>
      <c r="F4399" s="49" t="inlineStr"/>
    </row>
    <row r="4400" ht="13" customHeight="1">
      <c r="A4400" s="41" t="inlineStr">
        <is>
          <t>42071</t>
        </is>
      </c>
      <c r="B4400" s="41" t="inlineStr">
        <is>
          <t>40872</t>
        </is>
      </c>
      <c r="C4400" s="41" t="inlineStr">
        <is>
          <t>2×2×2×3×13×131</t>
        </is>
      </c>
      <c r="D4400" s="41" t="inlineStr">
        <is>
          <t>2·3·13</t>
        </is>
      </c>
      <c r="E4400" s="41" t="inlineStr"/>
      <c r="F4400" s="41" t="inlineStr"/>
    </row>
    <row r="4401" ht="13" customHeight="1">
      <c r="A4401" s="39" t="inlineStr">
        <is>
          <t>42073</t>
        </is>
      </c>
      <c r="B4401" s="39" t="inlineStr">
        <is>
          <t>567</t>
        </is>
      </c>
      <c r="C4401" s="39" t="inlineStr">
        <is>
          <t>3×3×3×3×7</t>
        </is>
      </c>
      <c r="D4401" s="39" t="inlineStr">
        <is>
          <t>3·7</t>
        </is>
      </c>
      <c r="E4401" s="39" t="inlineStr"/>
      <c r="F4401" s="39" t="inlineStr"/>
    </row>
    <row r="4402" ht="13" customHeight="1">
      <c r="A4402" s="45" t="inlineStr">
        <is>
          <t>42083</t>
        </is>
      </c>
      <c r="B4402" s="45" t="inlineStr">
        <is>
          <t>6190</t>
        </is>
      </c>
      <c r="C4402" s="45" t="inlineStr">
        <is>
          <t>2×5×619</t>
        </is>
      </c>
      <c r="D4402" s="45" t="inlineStr">
        <is>
          <t>2·5</t>
        </is>
      </c>
      <c r="E4402" s="45" t="inlineStr"/>
      <c r="F4402" s="45" t="inlineStr"/>
    </row>
    <row r="4403" ht="13" customHeight="1">
      <c r="A4403" s="49" t="inlineStr">
        <is>
          <t>42089</t>
        </is>
      </c>
      <c r="B4403" s="49" t="inlineStr">
        <is>
          <t>7615</t>
        </is>
      </c>
      <c r="C4403" s="49" t="inlineStr">
        <is>
          <t>5×1523</t>
        </is>
      </c>
      <c r="D4403" s="49" t="inlineStr">
        <is>
          <t>5</t>
        </is>
      </c>
      <c r="E4403" s="49" t="inlineStr"/>
      <c r="F4403" s="49" t="inlineStr"/>
    </row>
    <row r="4404" ht="13" customHeight="1">
      <c r="A4404" s="45" t="inlineStr">
        <is>
          <t>42101</t>
        </is>
      </c>
      <c r="B4404" s="45" t="inlineStr">
        <is>
          <t>20555</t>
        </is>
      </c>
      <c r="C4404" s="45" t="inlineStr">
        <is>
          <t>5×4111</t>
        </is>
      </c>
      <c r="D4404" s="45" t="inlineStr">
        <is>
          <t>5</t>
        </is>
      </c>
      <c r="E4404" s="45" t="inlineStr"/>
      <c r="F4404" s="45" t="inlineStr"/>
    </row>
    <row r="4405" ht="13" customHeight="1">
      <c r="A4405" s="50" t="inlineStr">
        <is>
          <t>42131</t>
        </is>
      </c>
      <c r="B4405" s="50" t="inlineStr">
        <is>
          <t>3989</t>
        </is>
      </c>
      <c r="C4405" s="50" t="inlineStr">
        <is>
          <t>3989</t>
        </is>
      </c>
      <c r="D4405" s="50" t="inlineStr">
        <is>
          <t>—</t>
        </is>
      </c>
      <c r="E4405" s="50" t="inlineStr"/>
      <c r="F4405" s="50" t="inlineStr"/>
    </row>
    <row r="4406" ht="13" customHeight="1">
      <c r="A4406" s="45" t="inlineStr">
        <is>
          <t>42139</t>
        </is>
      </c>
      <c r="B4406" s="45" t="inlineStr">
        <is>
          <t>7653</t>
        </is>
      </c>
      <c r="C4406" s="45" t="inlineStr">
        <is>
          <t>3×2551</t>
        </is>
      </c>
      <c r="D4406" s="45" t="inlineStr">
        <is>
          <t>3</t>
        </is>
      </c>
      <c r="E4406" s="45" t="inlineStr"/>
      <c r="F4406" s="45" t="inlineStr"/>
    </row>
    <row r="4407" ht="13" customHeight="1">
      <c r="A4407" s="49" t="inlineStr">
        <is>
          <t>42157</t>
        </is>
      </c>
      <c r="B4407" s="49" t="inlineStr">
        <is>
          <t>19829</t>
        </is>
      </c>
      <c r="C4407" s="49" t="inlineStr">
        <is>
          <t>79×251</t>
        </is>
      </c>
      <c r="D4407" s="49" t="inlineStr">
        <is>
          <t>—</t>
        </is>
      </c>
      <c r="E4407" s="49" t="inlineStr"/>
      <c r="F4407" s="49" t="inlineStr"/>
    </row>
    <row r="4408" ht="13" customHeight="1">
      <c r="A4408" s="45" t="inlineStr">
        <is>
          <t>42169</t>
        </is>
      </c>
      <c r="B4408" s="45" t="inlineStr">
        <is>
          <t>28188</t>
        </is>
      </c>
      <c r="C4408" s="45" t="inlineStr">
        <is>
          <t>2×2×3×3×3×3×3×29</t>
        </is>
      </c>
      <c r="D4408" s="45" t="inlineStr">
        <is>
          <t>2·3</t>
        </is>
      </c>
      <c r="E4408" s="45" t="inlineStr"/>
      <c r="F4408" s="45" t="inlineStr"/>
    </row>
    <row r="4409" ht="13" customHeight="1">
      <c r="A4409" s="49" t="inlineStr">
        <is>
          <t>42179</t>
        </is>
      </c>
      <c r="B4409" s="49" t="inlineStr">
        <is>
          <t>35273</t>
        </is>
      </c>
      <c r="C4409" s="49" t="inlineStr">
        <is>
          <t>7×5039</t>
        </is>
      </c>
      <c r="D4409" s="49" t="inlineStr">
        <is>
          <t>7</t>
        </is>
      </c>
      <c r="E4409" s="49" t="inlineStr"/>
      <c r="F4409" s="49" t="inlineStr"/>
    </row>
    <row r="4410" ht="13" customHeight="1">
      <c r="A4410" s="45" t="inlineStr">
        <is>
          <t>42181</t>
        </is>
      </c>
      <c r="B4410" s="45" t="inlineStr">
        <is>
          <t>33419</t>
        </is>
      </c>
      <c r="C4410" s="45" t="inlineStr">
        <is>
          <t>23×1453</t>
        </is>
      </c>
      <c r="D4410" s="45" t="inlineStr">
        <is>
          <t>—</t>
        </is>
      </c>
      <c r="E4410" s="45" t="inlineStr"/>
      <c r="F4410" s="45" t="inlineStr"/>
    </row>
    <row r="4411" ht="13" customHeight="1">
      <c r="A4411" s="49" t="inlineStr">
        <is>
          <t>42187</t>
        </is>
      </c>
      <c r="B4411" s="49" t="inlineStr">
        <is>
          <t>19781</t>
        </is>
      </c>
      <c r="C4411" s="49" t="inlineStr">
        <is>
          <t>131×151</t>
        </is>
      </c>
      <c r="D4411" s="49" t="inlineStr">
        <is>
          <t>—</t>
        </is>
      </c>
      <c r="E4411" s="49" t="inlineStr"/>
      <c r="F4411" s="49" t="inlineStr"/>
    </row>
    <row r="4412" ht="13" customHeight="1">
      <c r="A4412" s="45" t="inlineStr">
        <is>
          <t>42193</t>
        </is>
      </c>
      <c r="B4412" s="45" t="inlineStr">
        <is>
          <t>12847</t>
        </is>
      </c>
      <c r="C4412" s="45" t="inlineStr">
        <is>
          <t>29×443</t>
        </is>
      </c>
      <c r="D4412" s="45" t="inlineStr">
        <is>
          <t>—</t>
        </is>
      </c>
      <c r="E4412" s="45" t="inlineStr"/>
      <c r="F4412" s="45" t="inlineStr"/>
    </row>
    <row r="4413" ht="13" customHeight="1">
      <c r="A4413" s="50" t="inlineStr">
        <is>
          <t>42197</t>
        </is>
      </c>
      <c r="B4413" s="50" t="inlineStr">
        <is>
          <t>37423</t>
        </is>
      </c>
      <c r="C4413" s="50" t="inlineStr">
        <is>
          <t>37423</t>
        </is>
      </c>
      <c r="D4413" s="50" t="inlineStr">
        <is>
          <t>—</t>
        </is>
      </c>
      <c r="E4413" s="50" t="inlineStr"/>
      <c r="F4413" s="50" t="inlineStr"/>
    </row>
    <row r="4414" ht="13" customHeight="1">
      <c r="A4414" s="41" t="inlineStr">
        <is>
          <t>42209</t>
        </is>
      </c>
      <c r="B4414" s="41" t="inlineStr">
        <is>
          <t>3264</t>
        </is>
      </c>
      <c r="C4414" s="41" t="inlineStr">
        <is>
          <t>2×2×2×2×2×2×3×17</t>
        </is>
      </c>
      <c r="D4414" s="41" t="inlineStr">
        <is>
          <t>2·3·17</t>
        </is>
      </c>
      <c r="E4414" s="41" t="inlineStr"/>
      <c r="F4414" s="41" t="inlineStr"/>
    </row>
    <row r="4415" ht="13" customHeight="1">
      <c r="A4415" s="41" t="inlineStr">
        <is>
          <t>42221</t>
        </is>
      </c>
      <c r="B4415" s="41" t="inlineStr">
        <is>
          <t>30823</t>
        </is>
      </c>
      <c r="C4415" s="41" t="inlineStr">
        <is>
          <t>13×2371</t>
        </is>
      </c>
      <c r="D4415" s="41" t="inlineStr">
        <is>
          <t>13</t>
        </is>
      </c>
      <c r="E4415" s="41" t="inlineStr"/>
      <c r="F4415" s="41" t="inlineStr"/>
    </row>
    <row r="4416" ht="13" customHeight="1">
      <c r="A4416" s="50" t="inlineStr">
        <is>
          <t>42223</t>
        </is>
      </c>
      <c r="B4416" s="50" t="inlineStr">
        <is>
          <t>1831</t>
        </is>
      </c>
      <c r="C4416" s="50" t="inlineStr">
        <is>
          <t>1831</t>
        </is>
      </c>
      <c r="D4416" s="50" t="inlineStr">
        <is>
          <t>—</t>
        </is>
      </c>
      <c r="E4416" s="50" t="inlineStr"/>
      <c r="F4416" s="50" t="inlineStr"/>
    </row>
    <row r="4417" ht="13" customHeight="1">
      <c r="A4417" s="49" t="inlineStr">
        <is>
          <t>42227</t>
        </is>
      </c>
      <c r="B4417" s="49" t="inlineStr">
        <is>
          <t>3018</t>
        </is>
      </c>
      <c r="C4417" s="49" t="inlineStr">
        <is>
          <t>2×3×503</t>
        </is>
      </c>
      <c r="D4417" s="49" t="inlineStr">
        <is>
          <t>2·3</t>
        </is>
      </c>
      <c r="E4417" s="49" t="inlineStr"/>
      <c r="F4417" s="49" t="inlineStr"/>
    </row>
    <row r="4418" ht="13" customHeight="1">
      <c r="A4418" s="45" t="inlineStr">
        <is>
          <t>42239</t>
        </is>
      </c>
      <c r="B4418" s="45" t="inlineStr">
        <is>
          <t>6584</t>
        </is>
      </c>
      <c r="C4418" s="45" t="inlineStr">
        <is>
          <t>2×2×2×823</t>
        </is>
      </c>
      <c r="D4418" s="45" t="inlineStr">
        <is>
          <t>2</t>
        </is>
      </c>
      <c r="E4418" s="45" t="inlineStr"/>
      <c r="F4418" s="45" t="inlineStr"/>
    </row>
    <row r="4419" ht="13" customHeight="1">
      <c r="A4419" s="39" t="inlineStr">
        <is>
          <t>42257</t>
        </is>
      </c>
      <c r="B4419" s="39" t="inlineStr">
        <is>
          <t>3360</t>
        </is>
      </c>
      <c r="C4419" s="39" t="inlineStr">
        <is>
          <t>2×2×2×2×2×3×5×7</t>
        </is>
      </c>
      <c r="D4419" s="39" t="inlineStr">
        <is>
          <t>2·3·5·7</t>
        </is>
      </c>
      <c r="E4419" s="39" t="inlineStr"/>
      <c r="F4419" s="39" t="inlineStr"/>
    </row>
    <row r="4420" ht="13" customHeight="1">
      <c r="A4420" s="43" t="inlineStr">
        <is>
          <t>42281</t>
        </is>
      </c>
      <c r="B4420" s="43" t="inlineStr">
        <is>
          <t>10307</t>
        </is>
      </c>
      <c r="C4420" s="43" t="inlineStr">
        <is>
          <t>11×937</t>
        </is>
      </c>
      <c r="D4420" s="43" t="inlineStr">
        <is>
          <t>11</t>
        </is>
      </c>
      <c r="E4420" s="43" t="inlineStr"/>
      <c r="F4420" s="43" t="inlineStr"/>
    </row>
    <row r="4421" ht="13" customHeight="1">
      <c r="A4421" s="49" t="inlineStr">
        <is>
          <t>42283</t>
        </is>
      </c>
      <c r="B4421" s="49" t="inlineStr">
        <is>
          <t>6642</t>
        </is>
      </c>
      <c r="C4421" s="49" t="inlineStr">
        <is>
          <t>2×3×3×3×3×41</t>
        </is>
      </c>
      <c r="D4421" s="49" t="inlineStr">
        <is>
          <t>2·3</t>
        </is>
      </c>
      <c r="E4421" s="49" t="inlineStr"/>
      <c r="F4421" s="49" t="inlineStr"/>
    </row>
    <row r="4422" ht="13" customHeight="1">
      <c r="A4422" s="50" t="inlineStr">
        <is>
          <t>42293</t>
        </is>
      </c>
      <c r="B4422" s="50" t="inlineStr">
        <is>
          <t>40849</t>
        </is>
      </c>
      <c r="C4422" s="50" t="inlineStr">
        <is>
          <t>40849</t>
        </is>
      </c>
      <c r="D4422" s="50" t="inlineStr">
        <is>
          <t>—</t>
        </is>
      </c>
      <c r="E4422" s="50" t="inlineStr"/>
      <c r="F4422" s="50" t="inlineStr"/>
    </row>
    <row r="4423" ht="13" customHeight="1">
      <c r="A4423" s="41" t="inlineStr">
        <is>
          <t>42299</t>
        </is>
      </c>
      <c r="B4423" s="41" t="inlineStr">
        <is>
          <t>1599</t>
        </is>
      </c>
      <c r="C4423" s="41" t="inlineStr">
        <is>
          <t>3×13×41</t>
        </is>
      </c>
      <c r="D4423" s="41" t="inlineStr">
        <is>
          <t>3·13</t>
        </is>
      </c>
      <c r="E4423" s="41" t="inlineStr"/>
      <c r="F4423" s="41" t="inlineStr"/>
    </row>
    <row r="4424" ht="13" customHeight="1">
      <c r="A4424" s="45" t="inlineStr">
        <is>
          <t>42307</t>
        </is>
      </c>
      <c r="B4424" s="45" t="inlineStr">
        <is>
          <t>33628</t>
        </is>
      </c>
      <c r="C4424" s="45" t="inlineStr">
        <is>
          <t>2×2×7×1201</t>
        </is>
      </c>
      <c r="D4424" s="45" t="inlineStr">
        <is>
          <t>2·7</t>
        </is>
      </c>
      <c r="E4424" s="45" t="inlineStr"/>
      <c r="F4424" s="45" t="inlineStr"/>
    </row>
    <row r="4425" ht="13" customHeight="1">
      <c r="A4425" s="49" t="inlineStr">
        <is>
          <t>42323</t>
        </is>
      </c>
      <c r="B4425" s="49" t="inlineStr">
        <is>
          <t>33822</t>
        </is>
      </c>
      <c r="C4425" s="49" t="inlineStr">
        <is>
          <t>2×3×3×1879</t>
        </is>
      </c>
      <c r="D4425" s="49" t="inlineStr">
        <is>
          <t>2·3</t>
        </is>
      </c>
      <c r="E4425" s="49" t="inlineStr"/>
      <c r="F4425" s="49" t="inlineStr"/>
    </row>
    <row r="4426" ht="13" customHeight="1">
      <c r="A4426" s="50" t="inlineStr">
        <is>
          <t>42331</t>
        </is>
      </c>
      <c r="B4426" s="50" t="inlineStr">
        <is>
          <t>35407</t>
        </is>
      </c>
      <c r="C4426" s="50" t="inlineStr">
        <is>
          <t>35407</t>
        </is>
      </c>
      <c r="D4426" s="50" t="inlineStr">
        <is>
          <t>—</t>
        </is>
      </c>
      <c r="E4426" s="50" t="inlineStr"/>
      <c r="F4426" s="50" t="inlineStr"/>
    </row>
    <row r="4427" ht="13" customHeight="1">
      <c r="A4427" s="49" t="inlineStr">
        <is>
          <t>42337</t>
        </is>
      </c>
      <c r="B4427" s="49" t="inlineStr">
        <is>
          <t>16784</t>
        </is>
      </c>
      <c r="C4427" s="49" t="inlineStr">
        <is>
          <t>2×2×2×2×1049</t>
        </is>
      </c>
      <c r="D4427" s="49" t="inlineStr">
        <is>
          <t>2</t>
        </is>
      </c>
      <c r="E4427" s="49" t="inlineStr"/>
      <c r="F4427" s="49" t="inlineStr"/>
    </row>
    <row r="4428" ht="13" customHeight="1">
      <c r="A4428" s="43" t="inlineStr">
        <is>
          <t>42349</t>
        </is>
      </c>
      <c r="B4428" s="43" t="inlineStr">
        <is>
          <t>12056</t>
        </is>
      </c>
      <c r="C4428" s="43" t="inlineStr">
        <is>
          <t>2×2×2×11×137</t>
        </is>
      </c>
      <c r="D4428" s="43" t="inlineStr">
        <is>
          <t>2·11</t>
        </is>
      </c>
      <c r="E4428" s="43" t="inlineStr"/>
      <c r="F4428" s="43" t="inlineStr"/>
    </row>
    <row r="4429" ht="13" customHeight="1">
      <c r="A4429" s="49" t="inlineStr">
        <is>
          <t>42359</t>
        </is>
      </c>
      <c r="B4429" s="49" t="inlineStr">
        <is>
          <t>31386</t>
        </is>
      </c>
      <c r="C4429" s="49" t="inlineStr">
        <is>
          <t>2×3×5231</t>
        </is>
      </c>
      <c r="D4429" s="49" t="inlineStr">
        <is>
          <t>2·3</t>
        </is>
      </c>
      <c r="E4429" s="49" t="inlineStr"/>
      <c r="F4429" s="49" t="inlineStr"/>
    </row>
    <row r="4430" ht="13" customHeight="1">
      <c r="A4430" s="39" t="inlineStr">
        <is>
          <t>42373</t>
        </is>
      </c>
      <c r="B4430" s="39" t="inlineStr">
        <is>
          <t>8000</t>
        </is>
      </c>
      <c r="C4430" s="39" t="inlineStr">
        <is>
          <t>2×2×2×2×2×2×5×5×5</t>
        </is>
      </c>
      <c r="D4430" s="39" t="inlineStr">
        <is>
          <t>2·5</t>
        </is>
      </c>
      <c r="E4430" s="39" t="inlineStr"/>
      <c r="F4430" s="39" t="inlineStr"/>
    </row>
    <row r="4431" ht="13" customHeight="1">
      <c r="A4431" s="41" t="inlineStr">
        <is>
          <t>42379</t>
        </is>
      </c>
      <c r="B4431" s="41" t="inlineStr">
        <is>
          <t>21684</t>
        </is>
      </c>
      <c r="C4431" s="41" t="inlineStr">
        <is>
          <t>2×2×3×13×139</t>
        </is>
      </c>
      <c r="D4431" s="41" t="inlineStr">
        <is>
          <t>2·3·13</t>
        </is>
      </c>
      <c r="E4431" s="41" t="inlineStr"/>
      <c r="F4431" s="41" t="inlineStr"/>
    </row>
    <row r="4432" ht="13" customHeight="1">
      <c r="A4432" s="43" t="inlineStr">
        <is>
          <t>42391</t>
        </is>
      </c>
      <c r="B4432" s="43" t="inlineStr">
        <is>
          <t>33220</t>
        </is>
      </c>
      <c r="C4432" s="43" t="inlineStr">
        <is>
          <t>2×2×5×11×151</t>
        </is>
      </c>
      <c r="D4432" s="43" t="inlineStr">
        <is>
          <t>2·5·11</t>
        </is>
      </c>
      <c r="E4432" s="43" t="inlineStr"/>
      <c r="F4432" s="43" t="inlineStr"/>
    </row>
    <row r="4433" ht="13" customHeight="1">
      <c r="A4433" s="49" t="inlineStr">
        <is>
          <t>42397</t>
        </is>
      </c>
      <c r="B4433" s="49" t="inlineStr">
        <is>
          <t>41716</t>
        </is>
      </c>
      <c r="C4433" s="49" t="inlineStr">
        <is>
          <t>2×2×10429</t>
        </is>
      </c>
      <c r="D4433" s="49" t="inlineStr">
        <is>
          <t>2</t>
        </is>
      </c>
      <c r="E4433" s="49" t="inlineStr"/>
      <c r="F4433" s="49" t="inlineStr"/>
    </row>
    <row r="4434" ht="13" customHeight="1">
      <c r="A4434" s="45" t="inlineStr">
        <is>
          <t>42403</t>
        </is>
      </c>
      <c r="B4434" s="45" t="inlineStr">
        <is>
          <t>19810</t>
        </is>
      </c>
      <c r="C4434" s="45" t="inlineStr">
        <is>
          <t>2×5×7×283</t>
        </is>
      </c>
      <c r="D4434" s="45" t="inlineStr">
        <is>
          <t>2·5·7</t>
        </is>
      </c>
      <c r="E4434" s="45" t="inlineStr"/>
      <c r="F4434" s="45" t="inlineStr"/>
    </row>
    <row r="4435" ht="13" customHeight="1">
      <c r="A4435" s="49" t="inlineStr">
        <is>
          <t>42407</t>
        </is>
      </c>
      <c r="B4435" s="49" t="inlineStr">
        <is>
          <t>5072</t>
        </is>
      </c>
      <c r="C4435" s="49" t="inlineStr">
        <is>
          <t>2×2×2×2×317</t>
        </is>
      </c>
      <c r="D4435" s="49" t="inlineStr">
        <is>
          <t>2</t>
        </is>
      </c>
      <c r="E4435" s="49" t="inlineStr"/>
      <c r="F4435" s="49" t="inlineStr"/>
    </row>
    <row r="4436" ht="13" customHeight="1">
      <c r="A4436" s="43" t="inlineStr">
        <is>
          <t>42409</t>
        </is>
      </c>
      <c r="B4436" s="43" t="inlineStr">
        <is>
          <t>30778</t>
        </is>
      </c>
      <c r="C4436" s="43" t="inlineStr">
        <is>
          <t>2×11×1399</t>
        </is>
      </c>
      <c r="D4436" s="43" t="inlineStr">
        <is>
          <t>2·11</t>
        </is>
      </c>
      <c r="E4436" s="43" t="inlineStr"/>
      <c r="F4436" s="43" t="inlineStr"/>
    </row>
    <row r="4437" ht="13" customHeight="1">
      <c r="A4437" s="49" t="inlineStr">
        <is>
          <t>42433</t>
        </is>
      </c>
      <c r="B4437" s="49" t="inlineStr">
        <is>
          <t>9546</t>
        </is>
      </c>
      <c r="C4437" s="49" t="inlineStr">
        <is>
          <t>2×3×37×43</t>
        </is>
      </c>
      <c r="D4437" s="49" t="inlineStr">
        <is>
          <t>2·3</t>
        </is>
      </c>
      <c r="E4437" s="49" t="inlineStr"/>
      <c r="F4437" s="49" t="inlineStr"/>
    </row>
    <row r="4438" ht="13" customHeight="1">
      <c r="A4438" s="45" t="inlineStr">
        <is>
          <t>42437</t>
        </is>
      </c>
      <c r="B4438" s="45" t="inlineStr">
        <is>
          <t>15558</t>
        </is>
      </c>
      <c r="C4438" s="45" t="inlineStr">
        <is>
          <t>2×3×2593</t>
        </is>
      </c>
      <c r="D4438" s="45" t="inlineStr">
        <is>
          <t>2·3</t>
        </is>
      </c>
      <c r="E4438" s="45" t="inlineStr"/>
      <c r="F4438" s="45" t="inlineStr"/>
    </row>
    <row r="4439" ht="13" customHeight="1">
      <c r="A4439" s="41" t="inlineStr">
        <is>
          <t>42443</t>
        </is>
      </c>
      <c r="B4439" s="41" t="inlineStr">
        <is>
          <t>28743</t>
        </is>
      </c>
      <c r="C4439" s="41" t="inlineStr">
        <is>
          <t>3×11×13×67</t>
        </is>
      </c>
      <c r="D4439" s="41" t="inlineStr">
        <is>
          <t>3·11·13</t>
        </is>
      </c>
      <c r="E4439" s="41" t="inlineStr"/>
      <c r="F4439" s="41" t="inlineStr"/>
    </row>
    <row r="4440" ht="13" customHeight="1">
      <c r="A4440" s="43" t="inlineStr">
        <is>
          <t>42451</t>
        </is>
      </c>
      <c r="B4440" s="43" t="inlineStr">
        <is>
          <t>30470</t>
        </is>
      </c>
      <c r="C4440" s="43" t="inlineStr">
        <is>
          <t>2×5×11×277</t>
        </is>
      </c>
      <c r="D4440" s="43" t="inlineStr">
        <is>
          <t>2·5·11</t>
        </is>
      </c>
      <c r="E4440" s="43" t="inlineStr"/>
      <c r="F4440" s="43" t="inlineStr"/>
    </row>
    <row r="4441" ht="13" customHeight="1">
      <c r="A4441" s="49" t="inlineStr">
        <is>
          <t>42457</t>
        </is>
      </c>
      <c r="B4441" s="49" t="inlineStr">
        <is>
          <t>31675</t>
        </is>
      </c>
      <c r="C4441" s="49" t="inlineStr">
        <is>
          <t>5×5×7×181</t>
        </is>
      </c>
      <c r="D4441" s="49" t="inlineStr">
        <is>
          <t>5·7</t>
        </is>
      </c>
      <c r="E4441" s="49" t="inlineStr"/>
      <c r="F4441" s="49" t="inlineStr"/>
    </row>
    <row r="4442" ht="13" customHeight="1">
      <c r="A4442" s="43" t="inlineStr">
        <is>
          <t>42461</t>
        </is>
      </c>
      <c r="B4442" s="43" t="inlineStr">
        <is>
          <t>33737</t>
        </is>
      </c>
      <c r="C4442" s="43" t="inlineStr">
        <is>
          <t>11×3067</t>
        </is>
      </c>
      <c r="D4442" s="43" t="inlineStr">
        <is>
          <t>11</t>
        </is>
      </c>
      <c r="E4442" s="43" t="inlineStr"/>
      <c r="F4442" s="43" t="inlineStr"/>
    </row>
    <row r="4443" ht="13" customHeight="1">
      <c r="A4443" s="49" t="inlineStr">
        <is>
          <t>42463</t>
        </is>
      </c>
      <c r="B4443" s="49" t="inlineStr">
        <is>
          <t>17286</t>
        </is>
      </c>
      <c r="C4443" s="49" t="inlineStr">
        <is>
          <t>2×3×43×67</t>
        </is>
      </c>
      <c r="D4443" s="49" t="inlineStr">
        <is>
          <t>2·3</t>
        </is>
      </c>
      <c r="E4443" s="49" t="inlineStr"/>
      <c r="F4443" s="49" t="inlineStr"/>
    </row>
    <row r="4444" ht="13" customHeight="1">
      <c r="A4444" s="45" t="inlineStr">
        <is>
          <t>42467</t>
        </is>
      </c>
      <c r="B4444" s="45" t="inlineStr">
        <is>
          <t>16810</t>
        </is>
      </c>
      <c r="C4444" s="45" t="inlineStr">
        <is>
          <t>2×5×41×41</t>
        </is>
      </c>
      <c r="D4444" s="45" t="inlineStr">
        <is>
          <t>2·5</t>
        </is>
      </c>
      <c r="E4444" s="45" t="inlineStr"/>
      <c r="F4444" s="45" t="inlineStr"/>
    </row>
    <row r="4445" ht="13" customHeight="1">
      <c r="A4445" s="49" t="inlineStr">
        <is>
          <t>42473</t>
        </is>
      </c>
      <c r="B4445" s="49" t="inlineStr">
        <is>
          <t>40262</t>
        </is>
      </c>
      <c r="C4445" s="49" t="inlineStr">
        <is>
          <t>2×41×491</t>
        </is>
      </c>
      <c r="D4445" s="49" t="inlineStr">
        <is>
          <t>2</t>
        </is>
      </c>
      <c r="E4445" s="49" t="inlineStr"/>
      <c r="F4445" s="49" t="inlineStr"/>
    </row>
    <row r="4446" ht="13" customHeight="1">
      <c r="A4446" s="45" t="inlineStr">
        <is>
          <t>42487</t>
        </is>
      </c>
      <c r="B4446" s="45" t="inlineStr">
        <is>
          <t>21156</t>
        </is>
      </c>
      <c r="C4446" s="45" t="inlineStr">
        <is>
          <t>2×2×3×41×43</t>
        </is>
      </c>
      <c r="D4446" s="45" t="inlineStr">
        <is>
          <t>2·3</t>
        </is>
      </c>
      <c r="E4446" s="45" t="inlineStr"/>
      <c r="F4446" s="45" t="inlineStr"/>
    </row>
    <row r="4447" ht="13" customHeight="1">
      <c r="A4447" s="49" t="inlineStr">
        <is>
          <t>42491</t>
        </is>
      </c>
      <c r="B4447" s="49" t="inlineStr">
        <is>
          <t>31107</t>
        </is>
      </c>
      <c r="C4447" s="49" t="inlineStr">
        <is>
          <t>3×10369</t>
        </is>
      </c>
      <c r="D4447" s="49" t="inlineStr">
        <is>
          <t>3</t>
        </is>
      </c>
      <c r="E4447" s="49" t="inlineStr"/>
      <c r="F4447" s="49" t="inlineStr"/>
    </row>
    <row r="4448" ht="13" customHeight="1">
      <c r="A4448" s="50" t="inlineStr">
        <is>
          <t>42499</t>
        </is>
      </c>
      <c r="B4448" s="50" t="inlineStr">
        <is>
          <t>35023</t>
        </is>
      </c>
      <c r="C4448" s="50" t="inlineStr">
        <is>
          <t>35023</t>
        </is>
      </c>
      <c r="D4448" s="50" t="inlineStr">
        <is>
          <t>—</t>
        </is>
      </c>
      <c r="E4448" s="50" t="inlineStr"/>
      <c r="F4448" s="50" t="inlineStr"/>
    </row>
    <row r="4449" ht="13" customHeight="1">
      <c r="A4449" s="41" t="inlineStr">
        <is>
          <t>42509</t>
        </is>
      </c>
      <c r="B4449" s="41" t="inlineStr">
        <is>
          <t>10374</t>
        </is>
      </c>
      <c r="C4449" s="41" t="inlineStr">
        <is>
          <t>2×3×7×13×19</t>
        </is>
      </c>
      <c r="D4449" s="41" t="inlineStr">
        <is>
          <t>2·3·7·13·19</t>
        </is>
      </c>
      <c r="E4449" s="41" t="inlineStr"/>
      <c r="F4449" s="41" t="inlineStr"/>
    </row>
    <row r="4450" ht="13" customHeight="1">
      <c r="A4450" s="45" t="inlineStr">
        <is>
          <t>42533</t>
        </is>
      </c>
      <c r="B4450" s="45" t="inlineStr">
        <is>
          <t>19711</t>
        </is>
      </c>
      <c r="C4450" s="45" t="inlineStr">
        <is>
          <t>23×857</t>
        </is>
      </c>
      <c r="D4450" s="45" t="inlineStr">
        <is>
          <t>—</t>
        </is>
      </c>
      <c r="E4450" s="45" t="inlineStr"/>
      <c r="F4450" s="45" t="inlineStr"/>
    </row>
    <row r="4451" ht="13" customHeight="1">
      <c r="A4451" s="49" t="inlineStr">
        <is>
          <t>42557</t>
        </is>
      </c>
      <c r="B4451" s="49" t="inlineStr">
        <is>
          <t>9395</t>
        </is>
      </c>
      <c r="C4451" s="49" t="inlineStr">
        <is>
          <t>5×1879</t>
        </is>
      </c>
      <c r="D4451" s="49" t="inlineStr">
        <is>
          <t>5</t>
        </is>
      </c>
      <c r="E4451" s="49" t="inlineStr"/>
      <c r="F4451" s="49" t="inlineStr"/>
    </row>
    <row r="4452" ht="13" customHeight="1">
      <c r="A4452" s="45" t="inlineStr">
        <is>
          <t>42569</t>
        </is>
      </c>
      <c r="B4452" s="45" t="inlineStr">
        <is>
          <t>24122</t>
        </is>
      </c>
      <c r="C4452" s="45" t="inlineStr">
        <is>
          <t>2×7×1723</t>
        </is>
      </c>
      <c r="D4452" s="45" t="inlineStr">
        <is>
          <t>2·7</t>
        </is>
      </c>
      <c r="E4452" s="45" t="inlineStr"/>
      <c r="F4452" s="45" t="inlineStr"/>
    </row>
    <row r="4453" ht="13" customHeight="1">
      <c r="A4453" s="39" t="inlineStr">
        <is>
          <t>42571</t>
        </is>
      </c>
      <c r="B4453" s="39" t="inlineStr">
        <is>
          <t>28800</t>
        </is>
      </c>
      <c r="C4453" s="39" t="inlineStr">
        <is>
          <t>2×2×2×2×2×2×2×3×3×5×5</t>
        </is>
      </c>
      <c r="D4453" s="39" t="inlineStr">
        <is>
          <t>2·3·5</t>
        </is>
      </c>
      <c r="E4453" s="39" t="inlineStr"/>
      <c r="F4453" s="39" t="inlineStr"/>
    </row>
    <row r="4454" ht="13" customHeight="1">
      <c r="A4454" s="45" t="inlineStr">
        <is>
          <t>42577</t>
        </is>
      </c>
      <c r="B4454" s="45" t="inlineStr">
        <is>
          <t>32464</t>
        </is>
      </c>
      <c r="C4454" s="45" t="inlineStr">
        <is>
          <t>2×2×2×2×2029</t>
        </is>
      </c>
      <c r="D4454" s="45" t="inlineStr">
        <is>
          <t>2</t>
        </is>
      </c>
      <c r="E4454" s="45" t="inlineStr"/>
      <c r="F4454" s="45" t="inlineStr"/>
    </row>
    <row r="4455" ht="13" customHeight="1">
      <c r="A4455" s="49" t="inlineStr">
        <is>
          <t>42589</t>
        </is>
      </c>
      <c r="B4455" s="49" t="inlineStr">
        <is>
          <t>6196</t>
        </is>
      </c>
      <c r="C4455" s="49" t="inlineStr">
        <is>
          <t>2×2×1549</t>
        </is>
      </c>
      <c r="D4455" s="49" t="inlineStr">
        <is>
          <t>2</t>
        </is>
      </c>
      <c r="E4455" s="49" t="inlineStr"/>
      <c r="F4455" s="49" t="inlineStr"/>
    </row>
    <row r="4456" ht="13" customHeight="1">
      <c r="A4456" s="45" t="inlineStr">
        <is>
          <t>42611</t>
        </is>
      </c>
      <c r="B4456" s="45" t="inlineStr">
        <is>
          <t>37143</t>
        </is>
      </c>
      <c r="C4456" s="45" t="inlineStr">
        <is>
          <t>3×3×4127</t>
        </is>
      </c>
      <c r="D4456" s="45" t="inlineStr">
        <is>
          <t>3</t>
        </is>
      </c>
      <c r="E4456" s="45" t="inlineStr"/>
      <c r="F4456" s="45" t="inlineStr"/>
    </row>
    <row r="4457" ht="13" customHeight="1">
      <c r="A4457" s="41" t="inlineStr">
        <is>
          <t>42641</t>
        </is>
      </c>
      <c r="B4457" s="41" t="inlineStr">
        <is>
          <t>28392</t>
        </is>
      </c>
      <c r="C4457" s="41" t="inlineStr">
        <is>
          <t>2×2×2×3×7×13×13</t>
        </is>
      </c>
      <c r="D4457" s="41" t="inlineStr">
        <is>
          <t>2·3·7·13</t>
        </is>
      </c>
      <c r="E4457" s="41" t="inlineStr"/>
      <c r="F4457" s="41" t="inlineStr"/>
    </row>
    <row r="4458" ht="13" customHeight="1">
      <c r="A4458" s="41" t="inlineStr">
        <is>
          <t>42643</t>
        </is>
      </c>
      <c r="B4458" s="41" t="inlineStr">
        <is>
          <t>27829</t>
        </is>
      </c>
      <c r="C4458" s="41" t="inlineStr">
        <is>
          <t>17×1637</t>
        </is>
      </c>
      <c r="D4458" s="41" t="inlineStr">
        <is>
          <t>17</t>
        </is>
      </c>
      <c r="E4458" s="41" t="inlineStr"/>
      <c r="F4458" s="41" t="inlineStr"/>
    </row>
    <row r="4459" ht="13" customHeight="1">
      <c r="A4459" s="49" t="inlineStr">
        <is>
          <t>42649</t>
        </is>
      </c>
      <c r="B4459" s="49" t="inlineStr">
        <is>
          <t>34481</t>
        </is>
      </c>
      <c r="C4459" s="49" t="inlineStr">
        <is>
          <t>29×29×41</t>
        </is>
      </c>
      <c r="D4459" s="49" t="inlineStr">
        <is>
          <t>—</t>
        </is>
      </c>
      <c r="E4459" s="49" t="inlineStr"/>
      <c r="F4459" s="49" t="inlineStr"/>
    </row>
    <row r="4460" ht="13" customHeight="1">
      <c r="A4460" s="50" t="inlineStr">
        <is>
          <t>42667</t>
        </is>
      </c>
      <c r="B4460" s="50" t="inlineStr">
        <is>
          <t>11821</t>
        </is>
      </c>
      <c r="C4460" s="50" t="inlineStr">
        <is>
          <t>11821</t>
        </is>
      </c>
      <c r="D4460" s="50" t="inlineStr">
        <is>
          <t>—</t>
        </is>
      </c>
      <c r="E4460" s="50" t="inlineStr"/>
      <c r="F4460" s="50" t="inlineStr"/>
    </row>
    <row r="4461" ht="13" customHeight="1">
      <c r="A4461" s="49" t="inlineStr">
        <is>
          <t>42677</t>
        </is>
      </c>
      <c r="B4461" s="49" t="inlineStr">
        <is>
          <t>25418</t>
        </is>
      </c>
      <c r="C4461" s="49" t="inlineStr">
        <is>
          <t>2×71×179</t>
        </is>
      </c>
      <c r="D4461" s="49" t="inlineStr">
        <is>
          <t>2</t>
        </is>
      </c>
      <c r="E4461" s="49" t="inlineStr"/>
      <c r="F4461" s="49" t="inlineStr"/>
    </row>
    <row r="4462" ht="13" customHeight="1">
      <c r="A4462" s="45" t="inlineStr">
        <is>
          <t>42683</t>
        </is>
      </c>
      <c r="B4462" s="45" t="inlineStr">
        <is>
          <t>8530</t>
        </is>
      </c>
      <c r="C4462" s="45" t="inlineStr">
        <is>
          <t>2×5×853</t>
        </is>
      </c>
      <c r="D4462" s="45" t="inlineStr">
        <is>
          <t>2·5</t>
        </is>
      </c>
      <c r="E4462" s="45" t="inlineStr"/>
      <c r="F4462" s="45" t="inlineStr"/>
    </row>
    <row r="4463" ht="13" customHeight="1">
      <c r="A4463" s="49" t="inlineStr">
        <is>
          <t>42689</t>
        </is>
      </c>
      <c r="B4463" s="49" t="inlineStr">
        <is>
          <t>40050</t>
        </is>
      </c>
      <c r="C4463" s="49" t="inlineStr">
        <is>
          <t>2×3×3×5×5×89</t>
        </is>
      </c>
      <c r="D4463" s="49" t="inlineStr">
        <is>
          <t>2·3·5</t>
        </is>
      </c>
      <c r="E4463" s="49" t="inlineStr"/>
      <c r="F4463" s="49" t="inlineStr"/>
    </row>
    <row r="4464" ht="13" customHeight="1">
      <c r="A4464" s="51" t="inlineStr">
        <is>
          <t>42697</t>
        </is>
      </c>
      <c r="B4464" s="51" t="inlineStr">
        <is>
          <t>26410</t>
        </is>
      </c>
      <c r="C4464" s="51" t="inlineStr">
        <is>
          <t>2×5×19×139</t>
        </is>
      </c>
      <c r="D4464" s="51" t="inlineStr">
        <is>
          <t>2·5·19</t>
        </is>
      </c>
      <c r="E4464" s="51" t="inlineStr"/>
      <c r="F4464" s="51" t="inlineStr"/>
    </row>
    <row r="4465" ht="13" customHeight="1">
      <c r="A4465" s="49" t="inlineStr">
        <is>
          <t>42701</t>
        </is>
      </c>
      <c r="B4465" s="49" t="inlineStr">
        <is>
          <t>12458</t>
        </is>
      </c>
      <c r="C4465" s="49" t="inlineStr">
        <is>
          <t>2×6229</t>
        </is>
      </c>
      <c r="D4465" s="49" t="inlineStr">
        <is>
          <t>2</t>
        </is>
      </c>
      <c r="E4465" s="49" t="inlineStr"/>
      <c r="F4465" s="49" t="inlineStr"/>
    </row>
    <row r="4466" ht="13" customHeight="1">
      <c r="A4466" s="50" t="inlineStr">
        <is>
          <t>42703</t>
        </is>
      </c>
      <c r="B4466" s="50" t="inlineStr">
        <is>
          <t>14549</t>
        </is>
      </c>
      <c r="C4466" s="50" t="inlineStr">
        <is>
          <t>14549</t>
        </is>
      </c>
      <c r="D4466" s="50" t="inlineStr">
        <is>
          <t>—</t>
        </is>
      </c>
      <c r="E4466" s="50" t="inlineStr"/>
      <c r="F4466" s="50" t="inlineStr"/>
    </row>
    <row r="4467" ht="13" customHeight="1">
      <c r="A4467" s="51" t="inlineStr">
        <is>
          <t>42709</t>
        </is>
      </c>
      <c r="B4467" s="51" t="inlineStr">
        <is>
          <t>28253</t>
        </is>
      </c>
      <c r="C4467" s="51" t="inlineStr">
        <is>
          <t>19×1487</t>
        </is>
      </c>
      <c r="D4467" s="51" t="inlineStr">
        <is>
          <t>19</t>
        </is>
      </c>
      <c r="E4467" s="51" t="inlineStr"/>
      <c r="F4467" s="51" t="inlineStr"/>
    </row>
    <row r="4468" ht="13" customHeight="1">
      <c r="A4468" s="45" t="inlineStr">
        <is>
          <t>42719</t>
        </is>
      </c>
      <c r="B4468" s="45" t="inlineStr">
        <is>
          <t>16501</t>
        </is>
      </c>
      <c r="C4468" s="45" t="inlineStr">
        <is>
          <t>29×569</t>
        </is>
      </c>
      <c r="D4468" s="45" t="inlineStr">
        <is>
          <t>—</t>
        </is>
      </c>
      <c r="E4468" s="45" t="inlineStr"/>
      <c r="F4468" s="45" t="inlineStr"/>
    </row>
    <row r="4469" ht="13" customHeight="1">
      <c r="A4469" s="41" t="inlineStr">
        <is>
          <t>42727</t>
        </is>
      </c>
      <c r="B4469" s="41" t="inlineStr">
        <is>
          <t>14246</t>
        </is>
      </c>
      <c r="C4469" s="41" t="inlineStr">
        <is>
          <t>2×17×419</t>
        </is>
      </c>
      <c r="D4469" s="41" t="inlineStr">
        <is>
          <t>2·17</t>
        </is>
      </c>
      <c r="E4469" s="41" t="inlineStr"/>
      <c r="F4469" s="41" t="inlineStr"/>
    </row>
    <row r="4470" ht="13" customHeight="1">
      <c r="A4470" s="45" t="inlineStr">
        <is>
          <t>42737</t>
        </is>
      </c>
      <c r="B4470" s="45" t="inlineStr">
        <is>
          <t>39205</t>
        </is>
      </c>
      <c r="C4470" s="45" t="inlineStr">
        <is>
          <t>5×7841</t>
        </is>
      </c>
      <c r="D4470" s="45" t="inlineStr">
        <is>
          <t>5</t>
        </is>
      </c>
      <c r="E4470" s="45" t="inlineStr"/>
      <c r="F4470" s="45" t="inlineStr"/>
    </row>
    <row r="4471" ht="13" customHeight="1">
      <c r="A4471" s="41" t="inlineStr">
        <is>
          <t>42743</t>
        </is>
      </c>
      <c r="B4471" s="41" t="inlineStr">
        <is>
          <t>15782</t>
        </is>
      </c>
      <c r="C4471" s="41" t="inlineStr">
        <is>
          <t>2×13×607</t>
        </is>
      </c>
      <c r="D4471" s="41" t="inlineStr">
        <is>
          <t>2·13</t>
        </is>
      </c>
      <c r="E4471" s="41" t="inlineStr"/>
      <c r="F4471" s="41" t="inlineStr"/>
    </row>
    <row r="4472" ht="13" customHeight="1">
      <c r="A4472" s="50" t="inlineStr">
        <is>
          <t>42751</t>
        </is>
      </c>
      <c r="B4472" s="50" t="inlineStr">
        <is>
          <t>21013</t>
        </is>
      </c>
      <c r="C4472" s="50" t="inlineStr">
        <is>
          <t>21013</t>
        </is>
      </c>
      <c r="D4472" s="50" t="inlineStr">
        <is>
          <t>—</t>
        </is>
      </c>
      <c r="E4472" s="50" t="inlineStr"/>
      <c r="F4472" s="50" t="inlineStr"/>
    </row>
    <row r="4473" ht="13" customHeight="1">
      <c r="A4473" s="49" t="inlineStr">
        <is>
          <t>42767</t>
        </is>
      </c>
      <c r="B4473" s="49" t="inlineStr">
        <is>
          <t>20050</t>
        </is>
      </c>
      <c r="C4473" s="49" t="inlineStr">
        <is>
          <t>2×5×5×401</t>
        </is>
      </c>
      <c r="D4473" s="49" t="inlineStr">
        <is>
          <t>2·5</t>
        </is>
      </c>
      <c r="E4473" s="49" t="inlineStr"/>
      <c r="F4473" s="49" t="inlineStr"/>
    </row>
    <row r="4474" ht="13" customHeight="1">
      <c r="A4474" s="45" t="inlineStr">
        <is>
          <t>42773</t>
        </is>
      </c>
      <c r="B4474" s="45" t="inlineStr">
        <is>
          <t>30159</t>
        </is>
      </c>
      <c r="C4474" s="45" t="inlineStr">
        <is>
          <t>3×3×3×1117</t>
        </is>
      </c>
      <c r="D4474" s="45" t="inlineStr">
        <is>
          <t>3</t>
        </is>
      </c>
      <c r="E4474" s="45" t="inlineStr"/>
      <c r="F4474" s="45" t="inlineStr"/>
    </row>
    <row r="4475" ht="13" customHeight="1">
      <c r="A4475" s="51" t="inlineStr">
        <is>
          <t>42787</t>
        </is>
      </c>
      <c r="B4475" s="51" t="inlineStr">
        <is>
          <t>41154</t>
        </is>
      </c>
      <c r="C4475" s="51" t="inlineStr">
        <is>
          <t>2×3×19×19×19</t>
        </is>
      </c>
      <c r="D4475" s="51" t="inlineStr">
        <is>
          <t>2·3·19</t>
        </is>
      </c>
      <c r="E4475" s="51" t="inlineStr"/>
      <c r="F4475" s="51" t="inlineStr"/>
    </row>
    <row r="4476" ht="13" customHeight="1">
      <c r="A4476" s="45" t="inlineStr">
        <is>
          <t>42793</t>
        </is>
      </c>
      <c r="B4476" s="45" t="inlineStr">
        <is>
          <t>7419</t>
        </is>
      </c>
      <c r="C4476" s="45" t="inlineStr">
        <is>
          <t>3×2473</t>
        </is>
      </c>
      <c r="D4476" s="45" t="inlineStr">
        <is>
          <t>3</t>
        </is>
      </c>
      <c r="E4476" s="45" t="inlineStr"/>
      <c r="F4476" s="45" t="inlineStr"/>
    </row>
    <row r="4477" ht="13" customHeight="1">
      <c r="A4477" s="41" t="inlineStr">
        <is>
          <t>42797</t>
        </is>
      </c>
      <c r="B4477" s="41" t="inlineStr">
        <is>
          <t>15419</t>
        </is>
      </c>
      <c r="C4477" s="41" t="inlineStr">
        <is>
          <t>17×907</t>
        </is>
      </c>
      <c r="D4477" s="41" t="inlineStr">
        <is>
          <t>17</t>
        </is>
      </c>
      <c r="E4477" s="41" t="inlineStr"/>
      <c r="F4477" s="41" t="inlineStr"/>
    </row>
    <row r="4478" ht="13" customHeight="1">
      <c r="A4478" s="45" t="inlineStr">
        <is>
          <t>42821</t>
        </is>
      </c>
      <c r="B4478" s="45" t="inlineStr">
        <is>
          <t>11366</t>
        </is>
      </c>
      <c r="C4478" s="45" t="inlineStr">
        <is>
          <t>2×5683</t>
        </is>
      </c>
      <c r="D4478" s="45" t="inlineStr">
        <is>
          <t>2</t>
        </is>
      </c>
      <c r="E4478" s="45" t="inlineStr"/>
      <c r="F4478" s="45" t="inlineStr"/>
    </row>
    <row r="4479" ht="13" customHeight="1">
      <c r="A4479" s="49" t="inlineStr">
        <is>
          <t>42829</t>
        </is>
      </c>
      <c r="B4479" s="49" t="inlineStr">
        <is>
          <t>25930</t>
        </is>
      </c>
      <c r="C4479" s="49" t="inlineStr">
        <is>
          <t>2×5×2593</t>
        </is>
      </c>
      <c r="D4479" s="49" t="inlineStr">
        <is>
          <t>2·5</t>
        </is>
      </c>
      <c r="E4479" s="49" t="inlineStr"/>
      <c r="F4479" s="49" t="inlineStr"/>
    </row>
    <row r="4480" ht="13" customHeight="1">
      <c r="A4480" s="43" t="inlineStr">
        <is>
          <t>42839</t>
        </is>
      </c>
      <c r="B4480" s="43" t="inlineStr">
        <is>
          <t>16764</t>
        </is>
      </c>
      <c r="C4480" s="43" t="inlineStr">
        <is>
          <t>2×2×3×11×127</t>
        </is>
      </c>
      <c r="D4480" s="43" t="inlineStr">
        <is>
          <t>2·3·11</t>
        </is>
      </c>
      <c r="E4480" s="43" t="inlineStr"/>
      <c r="F4480" s="43" t="inlineStr"/>
    </row>
    <row r="4481" ht="13" customHeight="1">
      <c r="A4481" s="49" t="inlineStr">
        <is>
          <t>42841</t>
        </is>
      </c>
      <c r="B4481" s="49" t="inlineStr">
        <is>
          <t>12028</t>
        </is>
      </c>
      <c r="C4481" s="49" t="inlineStr">
        <is>
          <t>2×2×31×97</t>
        </is>
      </c>
      <c r="D4481" s="49" t="inlineStr">
        <is>
          <t>2</t>
        </is>
      </c>
      <c r="E4481" s="49" t="inlineStr"/>
      <c r="F4481" s="49" t="inlineStr"/>
    </row>
    <row r="4482" ht="13" customHeight="1">
      <c r="A4482" s="41" t="inlineStr">
        <is>
          <t>42853</t>
        </is>
      </c>
      <c r="B4482" s="41" t="inlineStr">
        <is>
          <t>18499</t>
        </is>
      </c>
      <c r="C4482" s="41" t="inlineStr">
        <is>
          <t>13×1423</t>
        </is>
      </c>
      <c r="D4482" s="41" t="inlineStr">
        <is>
          <t>13</t>
        </is>
      </c>
      <c r="E4482" s="41" t="inlineStr"/>
      <c r="F4482" s="41" t="inlineStr"/>
    </row>
    <row r="4483" ht="13" customHeight="1">
      <c r="A4483" s="49" t="inlineStr">
        <is>
          <t>42859</t>
        </is>
      </c>
      <c r="B4483" s="49" t="inlineStr">
        <is>
          <t>25222</t>
        </is>
      </c>
      <c r="C4483" s="49" t="inlineStr">
        <is>
          <t>2×12611</t>
        </is>
      </c>
      <c r="D4483" s="49" t="inlineStr">
        <is>
          <t>2</t>
        </is>
      </c>
      <c r="E4483" s="49" t="inlineStr"/>
      <c r="F4483" s="49" t="inlineStr"/>
    </row>
    <row r="4484" ht="13" customHeight="1">
      <c r="A4484" s="45" t="inlineStr">
        <is>
          <t>42863</t>
        </is>
      </c>
      <c r="B4484" s="45" t="inlineStr">
        <is>
          <t>43540</t>
        </is>
      </c>
      <c r="C4484" s="45" t="inlineStr">
        <is>
          <t>2×2×5×7×311</t>
        </is>
      </c>
      <c r="D4484" s="45" t="inlineStr">
        <is>
          <t>2·5·7</t>
        </is>
      </c>
      <c r="E4484" s="45" t="inlineStr"/>
      <c r="F4484" s="45" t="inlineStr"/>
    </row>
    <row r="4485" ht="13" customHeight="1">
      <c r="A4485" s="49" t="inlineStr">
        <is>
          <t>42899</t>
        </is>
      </c>
      <c r="B4485" s="49" t="inlineStr">
        <is>
          <t>7404</t>
        </is>
      </c>
      <c r="C4485" s="49" t="inlineStr">
        <is>
          <t>2×2×3×617</t>
        </is>
      </c>
      <c r="D4485" s="49" t="inlineStr">
        <is>
          <t>2·3</t>
        </is>
      </c>
      <c r="E4485" s="49" t="inlineStr"/>
      <c r="F4485" s="49" t="inlineStr"/>
    </row>
    <row r="4486" ht="13" customHeight="1">
      <c r="A4486" s="50" t="inlineStr">
        <is>
          <t>42901</t>
        </is>
      </c>
      <c r="B4486" s="50" t="inlineStr">
        <is>
          <t>9721</t>
        </is>
      </c>
      <c r="C4486" s="50" t="inlineStr">
        <is>
          <t>9721</t>
        </is>
      </c>
      <c r="D4486" s="50" t="inlineStr">
        <is>
          <t>—</t>
        </is>
      </c>
      <c r="E4486" s="50" t="inlineStr"/>
      <c r="F4486" s="50" t="inlineStr"/>
    </row>
    <row r="4487" ht="13" customHeight="1">
      <c r="A4487" s="41" t="inlineStr">
        <is>
          <t>42923</t>
        </is>
      </c>
      <c r="B4487" s="41" t="inlineStr">
        <is>
          <t>19552</t>
        </is>
      </c>
      <c r="C4487" s="41" t="inlineStr">
        <is>
          <t>2×2×2×2×2×13×47</t>
        </is>
      </c>
      <c r="D4487" s="41" t="inlineStr">
        <is>
          <t>2·13</t>
        </is>
      </c>
      <c r="E4487" s="41" t="inlineStr"/>
      <c r="F4487" s="41" t="inlineStr"/>
    </row>
    <row r="4488" ht="13" customHeight="1">
      <c r="A4488" s="43" t="inlineStr">
        <is>
          <t>42929</t>
        </is>
      </c>
      <c r="B4488" s="43" t="inlineStr">
        <is>
          <t>3850</t>
        </is>
      </c>
      <c r="C4488" s="43" t="inlineStr">
        <is>
          <t>2×5×5×7×11</t>
        </is>
      </c>
      <c r="D4488" s="43" t="inlineStr">
        <is>
          <t>2·5·7·11</t>
        </is>
      </c>
      <c r="E4488" s="43" t="inlineStr"/>
      <c r="F4488" s="43" t="inlineStr"/>
    </row>
    <row r="4489" ht="13" customHeight="1">
      <c r="A4489" s="49" t="inlineStr">
        <is>
          <t>42937</t>
        </is>
      </c>
      <c r="B4489" s="49" t="inlineStr">
        <is>
          <t>24418</t>
        </is>
      </c>
      <c r="C4489" s="49" t="inlineStr">
        <is>
          <t>2×29×421</t>
        </is>
      </c>
      <c r="D4489" s="49" t="inlineStr">
        <is>
          <t>2</t>
        </is>
      </c>
      <c r="E4489" s="49" t="inlineStr"/>
      <c r="F4489" s="49" t="inlineStr"/>
    </row>
    <row r="4490" ht="13" customHeight="1">
      <c r="A4490" s="41" t="inlineStr">
        <is>
          <t>42943</t>
        </is>
      </c>
      <c r="B4490" s="41" t="inlineStr">
        <is>
          <t>34663</t>
        </is>
      </c>
      <c r="C4490" s="41" t="inlineStr">
        <is>
          <t>17×2039</t>
        </is>
      </c>
      <c r="D4490" s="41" t="inlineStr">
        <is>
          <t>17</t>
        </is>
      </c>
      <c r="E4490" s="41" t="inlineStr"/>
      <c r="F4490" s="41" t="inlineStr"/>
    </row>
    <row r="4491" ht="13" customHeight="1">
      <c r="A4491" s="49" t="inlineStr">
        <is>
          <t>42953</t>
        </is>
      </c>
      <c r="B4491" s="49" t="inlineStr">
        <is>
          <t>24512</t>
        </is>
      </c>
      <c r="C4491" s="49" t="inlineStr">
        <is>
          <t>2×2×2×2×2×2×383</t>
        </is>
      </c>
      <c r="D4491" s="49" t="inlineStr">
        <is>
          <t>2</t>
        </is>
      </c>
      <c r="E4491" s="49" t="inlineStr"/>
      <c r="F4491" s="49" t="inlineStr"/>
    </row>
    <row r="4492" ht="13" customHeight="1">
      <c r="A4492" s="41" t="inlineStr">
        <is>
          <t>42961</t>
        </is>
      </c>
      <c r="B4492" s="41" t="inlineStr">
        <is>
          <t>39793</t>
        </is>
      </c>
      <c r="C4492" s="41" t="inlineStr">
        <is>
          <t>13×3061</t>
        </is>
      </c>
      <c r="D4492" s="41" t="inlineStr">
        <is>
          <t>13</t>
        </is>
      </c>
      <c r="E4492" s="41" t="inlineStr"/>
      <c r="F4492" s="41" t="inlineStr"/>
    </row>
    <row r="4493" ht="13" customHeight="1">
      <c r="A4493" s="49" t="inlineStr">
        <is>
          <t>42967</t>
        </is>
      </c>
      <c r="B4493" s="49" t="inlineStr">
        <is>
          <t>7608</t>
        </is>
      </c>
      <c r="C4493" s="49" t="inlineStr">
        <is>
          <t>2×2×2×3×317</t>
        </is>
      </c>
      <c r="D4493" s="49" t="inlineStr">
        <is>
          <t>2·3</t>
        </is>
      </c>
      <c r="E4493" s="49" t="inlineStr"/>
      <c r="F4493" s="49" t="inlineStr"/>
    </row>
    <row r="4494" ht="13" customHeight="1">
      <c r="A4494" s="45" t="inlineStr">
        <is>
          <t>42979</t>
        </is>
      </c>
      <c r="B4494" s="45" t="inlineStr">
        <is>
          <t>13435</t>
        </is>
      </c>
      <c r="C4494" s="45" t="inlineStr">
        <is>
          <t>5×2687</t>
        </is>
      </c>
      <c r="D4494" s="45" t="inlineStr">
        <is>
          <t>5</t>
        </is>
      </c>
      <c r="E4494" s="45" t="inlineStr"/>
      <c r="F4494" s="45" t="inlineStr"/>
    </row>
    <row r="4495" ht="13" customHeight="1">
      <c r="A4495" s="50" t="inlineStr">
        <is>
          <t>42989</t>
        </is>
      </c>
      <c r="B4495" s="50" t="inlineStr">
        <is>
          <t>8647</t>
        </is>
      </c>
      <c r="C4495" s="50" t="inlineStr">
        <is>
          <t>8647</t>
        </is>
      </c>
      <c r="D4495" s="50" t="inlineStr">
        <is>
          <t>—</t>
        </is>
      </c>
      <c r="E4495" s="50" t="inlineStr"/>
      <c r="F4495" s="50" t="inlineStr"/>
    </row>
    <row r="4496" ht="13" customHeight="1">
      <c r="A4496" s="45" t="inlineStr">
        <is>
          <t>43003</t>
        </is>
      </c>
      <c r="B4496" s="45" t="inlineStr">
        <is>
          <t>42803</t>
        </is>
      </c>
      <c r="C4496" s="45" t="inlineStr">
        <is>
          <t>23×1861</t>
        </is>
      </c>
      <c r="D4496" s="45" t="inlineStr">
        <is>
          <t>—</t>
        </is>
      </c>
      <c r="E4496" s="45" t="inlineStr"/>
      <c r="F4496" s="45" t="inlineStr"/>
    </row>
    <row r="4497" ht="13" customHeight="1">
      <c r="A4497" s="43" t="inlineStr">
        <is>
          <t>43013</t>
        </is>
      </c>
      <c r="B4497" s="43" t="inlineStr">
        <is>
          <t>24926</t>
        </is>
      </c>
      <c r="C4497" s="43" t="inlineStr">
        <is>
          <t>2×11×11×103</t>
        </is>
      </c>
      <c r="D4497" s="43" t="inlineStr">
        <is>
          <t>2·11</t>
        </is>
      </c>
      <c r="E4497" s="43" t="inlineStr"/>
      <c r="F4497" s="43" t="inlineStr"/>
    </row>
    <row r="4498" ht="13" customHeight="1">
      <c r="A4498" s="45" t="inlineStr">
        <is>
          <t>43019</t>
        </is>
      </c>
      <c r="B4498" s="45" t="inlineStr">
        <is>
          <t>20090</t>
        </is>
      </c>
      <c r="C4498" s="45" t="inlineStr">
        <is>
          <t>2×5×7×7×41</t>
        </is>
      </c>
      <c r="D4498" s="45" t="inlineStr">
        <is>
          <t>2·5·7</t>
        </is>
      </c>
      <c r="E4498" s="45" t="inlineStr"/>
      <c r="F4498" s="45" t="inlineStr"/>
    </row>
    <row r="4499" ht="13" customHeight="1">
      <c r="A4499" s="49" t="inlineStr">
        <is>
          <t>43037</t>
        </is>
      </c>
      <c r="B4499" s="49" t="inlineStr">
        <is>
          <t>478</t>
        </is>
      </c>
      <c r="C4499" s="49" t="inlineStr">
        <is>
          <t>2×239</t>
        </is>
      </c>
      <c r="D4499" s="49" t="inlineStr">
        <is>
          <t>2</t>
        </is>
      </c>
      <c r="E4499" s="49" t="inlineStr"/>
      <c r="F4499" s="49" t="inlineStr"/>
    </row>
    <row r="4500" ht="13" customHeight="1">
      <c r="A4500" s="45" t="inlineStr">
        <is>
          <t>43049</t>
        </is>
      </c>
      <c r="B4500" s="45" t="inlineStr">
        <is>
          <t>19850</t>
        </is>
      </c>
      <c r="C4500" s="45" t="inlineStr">
        <is>
          <t>2×5×5×397</t>
        </is>
      </c>
      <c r="D4500" s="45" t="inlineStr">
        <is>
          <t>2·5</t>
        </is>
      </c>
      <c r="E4500" s="45" t="inlineStr"/>
      <c r="F4500" s="45" t="inlineStr"/>
    </row>
    <row r="4501" ht="13" customHeight="1">
      <c r="A4501" s="49" t="inlineStr">
        <is>
          <t>43051</t>
        </is>
      </c>
      <c r="B4501" s="49" t="inlineStr">
        <is>
          <t>4450</t>
        </is>
      </c>
      <c r="C4501" s="49" t="inlineStr">
        <is>
          <t>2×5×5×89</t>
        </is>
      </c>
      <c r="D4501" s="49" t="inlineStr">
        <is>
          <t>2·5</t>
        </is>
      </c>
      <c r="E4501" s="49" t="inlineStr"/>
      <c r="F4501" s="49" t="inlineStr"/>
    </row>
    <row r="4502" ht="13" customHeight="1">
      <c r="A4502" s="45" t="inlineStr">
        <is>
          <t>43063</t>
        </is>
      </c>
      <c r="B4502" s="45" t="inlineStr">
        <is>
          <t>22075</t>
        </is>
      </c>
      <c r="C4502" s="45" t="inlineStr">
        <is>
          <t>5×5×883</t>
        </is>
      </c>
      <c r="D4502" s="45" t="inlineStr">
        <is>
          <t>5</t>
        </is>
      </c>
      <c r="E4502" s="45" t="inlineStr"/>
      <c r="F4502" s="45" t="inlineStr"/>
    </row>
    <row r="4503" ht="13" customHeight="1">
      <c r="A4503" s="41" t="inlineStr">
        <is>
          <t>43067</t>
        </is>
      </c>
      <c r="B4503" s="41" t="inlineStr">
        <is>
          <t>8047</t>
        </is>
      </c>
      <c r="C4503" s="41" t="inlineStr">
        <is>
          <t>13×619</t>
        </is>
      </c>
      <c r="D4503" s="41" t="inlineStr">
        <is>
          <t>13</t>
        </is>
      </c>
      <c r="E4503" s="41" t="inlineStr"/>
      <c r="F4503" s="41" t="inlineStr"/>
    </row>
    <row r="4504" ht="13" customHeight="1">
      <c r="A4504" s="50" t="inlineStr">
        <is>
          <t>43093</t>
        </is>
      </c>
      <c r="B4504" s="50" t="inlineStr">
        <is>
          <t>43711</t>
        </is>
      </c>
      <c r="C4504" s="50" t="inlineStr">
        <is>
          <t>43711</t>
        </is>
      </c>
      <c r="D4504" s="50" t="inlineStr">
        <is>
          <t>—</t>
        </is>
      </c>
      <c r="E4504" s="50" t="inlineStr"/>
      <c r="F4504" s="50" t="inlineStr"/>
    </row>
    <row r="4505" ht="13" customHeight="1">
      <c r="A4505" s="41" t="inlineStr">
        <is>
          <t>43103</t>
        </is>
      </c>
      <c r="B4505" s="41" t="inlineStr">
        <is>
          <t>15847</t>
        </is>
      </c>
      <c r="C4505" s="41" t="inlineStr">
        <is>
          <t>13×23×53</t>
        </is>
      </c>
      <c r="D4505" s="41" t="inlineStr">
        <is>
          <t>13</t>
        </is>
      </c>
      <c r="E4505" s="41" t="inlineStr"/>
      <c r="F4505" s="41" t="inlineStr"/>
    </row>
    <row r="4506" ht="13" customHeight="1">
      <c r="A4506" s="50" t="inlineStr">
        <is>
          <t>43117</t>
        </is>
      </c>
      <c r="B4506" s="50" t="inlineStr">
        <is>
          <t>6143</t>
        </is>
      </c>
      <c r="C4506" s="50" t="inlineStr">
        <is>
          <t>6143</t>
        </is>
      </c>
      <c r="D4506" s="50" t="inlineStr">
        <is>
          <t>—</t>
        </is>
      </c>
      <c r="E4506" s="50" t="inlineStr"/>
      <c r="F4506" s="50" t="inlineStr"/>
    </row>
    <row r="4507" ht="13" customHeight="1">
      <c r="A4507" s="49" t="inlineStr">
        <is>
          <t>43133</t>
        </is>
      </c>
      <c r="B4507" s="49" t="inlineStr">
        <is>
          <t>38465</t>
        </is>
      </c>
      <c r="C4507" s="49" t="inlineStr">
        <is>
          <t>5×7×7×157</t>
        </is>
      </c>
      <c r="D4507" s="49" t="inlineStr">
        <is>
          <t>5·7</t>
        </is>
      </c>
      <c r="E4507" s="49" t="inlineStr"/>
      <c r="F4507" s="49" t="inlineStr"/>
    </row>
    <row r="4508" ht="13" customHeight="1">
      <c r="A4508" s="45" t="inlineStr">
        <is>
          <t>43151</t>
        </is>
      </c>
      <c r="B4508" s="45" t="inlineStr">
        <is>
          <t>37975</t>
        </is>
      </c>
      <c r="C4508" s="45" t="inlineStr">
        <is>
          <t>5×5×7×7×31</t>
        </is>
      </c>
      <c r="D4508" s="45" t="inlineStr">
        <is>
          <t>5·7</t>
        </is>
      </c>
      <c r="E4508" s="45" t="inlineStr"/>
      <c r="F4508" s="45" t="inlineStr"/>
    </row>
    <row r="4509" ht="13" customHeight="1">
      <c r="A4509" s="50" t="inlineStr">
        <is>
          <t>43159</t>
        </is>
      </c>
      <c r="B4509" s="50" t="inlineStr">
        <is>
          <t>38903</t>
        </is>
      </c>
      <c r="C4509" s="50" t="inlineStr">
        <is>
          <t>38903</t>
        </is>
      </c>
      <c r="D4509" s="50" t="inlineStr">
        <is>
          <t>—</t>
        </is>
      </c>
      <c r="E4509" s="50" t="inlineStr"/>
      <c r="F4509" s="50" t="inlineStr"/>
    </row>
    <row r="4510" ht="13" customHeight="1">
      <c r="A4510" s="45" t="inlineStr">
        <is>
          <t>43177</t>
        </is>
      </c>
      <c r="B4510" s="45" t="inlineStr">
        <is>
          <t>29691</t>
        </is>
      </c>
      <c r="C4510" s="45" t="inlineStr">
        <is>
          <t>3×3×3299</t>
        </is>
      </c>
      <c r="D4510" s="45" t="inlineStr">
        <is>
          <t>3</t>
        </is>
      </c>
      <c r="E4510" s="45" t="inlineStr"/>
      <c r="F4510" s="45" t="inlineStr"/>
    </row>
    <row r="4511" ht="13" customHeight="1">
      <c r="A4511" s="43" t="inlineStr">
        <is>
          <t>43189</t>
        </is>
      </c>
      <c r="B4511" s="43" t="inlineStr">
        <is>
          <t>33561</t>
        </is>
      </c>
      <c r="C4511" s="43" t="inlineStr">
        <is>
          <t>3×3×3×11×113</t>
        </is>
      </c>
      <c r="D4511" s="43" t="inlineStr">
        <is>
          <t>3·11</t>
        </is>
      </c>
      <c r="E4511" s="43" t="inlineStr"/>
      <c r="F4511" s="43" t="inlineStr"/>
    </row>
    <row r="4512" ht="13" customHeight="1">
      <c r="A4512" s="45" t="inlineStr">
        <is>
          <t>43201</t>
        </is>
      </c>
      <c r="B4512" s="45" t="inlineStr">
        <is>
          <t>17247</t>
        </is>
      </c>
      <c r="C4512" s="45" t="inlineStr">
        <is>
          <t>3×5749</t>
        </is>
      </c>
      <c r="D4512" s="45" t="inlineStr">
        <is>
          <t>3</t>
        </is>
      </c>
      <c r="E4512" s="45" t="inlineStr"/>
      <c r="F4512" s="45" t="inlineStr"/>
    </row>
    <row r="4513" ht="13" customHeight="1">
      <c r="A4513" s="41" t="inlineStr">
        <is>
          <t>43207</t>
        </is>
      </c>
      <c r="B4513" s="41" t="inlineStr">
        <is>
          <t>38246</t>
        </is>
      </c>
      <c r="C4513" s="41" t="inlineStr">
        <is>
          <t>2×13×1471</t>
        </is>
      </c>
      <c r="D4513" s="41" t="inlineStr">
        <is>
          <t>2·13</t>
        </is>
      </c>
      <c r="E4513" s="41" t="inlineStr"/>
      <c r="F4513" s="41" t="inlineStr"/>
    </row>
    <row r="4514" ht="13" customHeight="1">
      <c r="A4514" s="45" t="inlineStr">
        <is>
          <t>43223</t>
        </is>
      </c>
      <c r="B4514" s="45" t="inlineStr">
        <is>
          <t>35650</t>
        </is>
      </c>
      <c r="C4514" s="45" t="inlineStr">
        <is>
          <t>2×5×5×23×31</t>
        </is>
      </c>
      <c r="D4514" s="45" t="inlineStr">
        <is>
          <t>2·5</t>
        </is>
      </c>
      <c r="E4514" s="45" t="inlineStr"/>
      <c r="F4514" s="45" t="inlineStr"/>
    </row>
    <row r="4515" ht="13" customHeight="1">
      <c r="A4515" s="49" t="inlineStr">
        <is>
          <t>43237</t>
        </is>
      </c>
      <c r="B4515" s="49" t="inlineStr">
        <is>
          <t>1011</t>
        </is>
      </c>
      <c r="C4515" s="49" t="inlineStr">
        <is>
          <t>3×337</t>
        </is>
      </c>
      <c r="D4515" s="49" t="inlineStr">
        <is>
          <t>3</t>
        </is>
      </c>
      <c r="E4515" s="49" t="inlineStr"/>
      <c r="F4515" s="49" t="inlineStr"/>
    </row>
    <row r="4516" ht="13" customHeight="1">
      <c r="A4516" s="45" t="inlineStr">
        <is>
          <t>43261</t>
        </is>
      </c>
      <c r="B4516" s="45" t="inlineStr">
        <is>
          <t>29261</t>
        </is>
      </c>
      <c r="C4516" s="45" t="inlineStr">
        <is>
          <t>29×1009</t>
        </is>
      </c>
      <c r="D4516" s="45" t="inlineStr">
        <is>
          <t>—</t>
        </is>
      </c>
      <c r="E4516" s="45" t="inlineStr"/>
      <c r="F4516" s="45" t="inlineStr"/>
    </row>
    <row r="4517" ht="13" customHeight="1">
      <c r="A4517" s="41" t="inlineStr">
        <is>
          <t>43271</t>
        </is>
      </c>
      <c r="B4517" s="41" t="inlineStr">
        <is>
          <t>27387</t>
        </is>
      </c>
      <c r="C4517" s="41" t="inlineStr">
        <is>
          <t>3×3×17×179</t>
        </is>
      </c>
      <c r="D4517" s="41" t="inlineStr">
        <is>
          <t>3·17</t>
        </is>
      </c>
      <c r="E4517" s="41" t="inlineStr"/>
      <c r="F4517" s="41" t="inlineStr"/>
    </row>
    <row r="4518" ht="13" customHeight="1">
      <c r="A4518" s="39" t="inlineStr">
        <is>
          <t>43283</t>
        </is>
      </c>
      <c r="B4518" s="39" t="inlineStr">
        <is>
          <t>1029</t>
        </is>
      </c>
      <c r="C4518" s="39" t="inlineStr">
        <is>
          <t>3×7×7×7</t>
        </is>
      </c>
      <c r="D4518" s="39" t="inlineStr">
        <is>
          <t>3·7</t>
        </is>
      </c>
      <c r="E4518" s="39" t="inlineStr"/>
      <c r="F4518" s="39" t="inlineStr"/>
    </row>
    <row r="4519" ht="13" customHeight="1">
      <c r="A4519" s="50" t="inlineStr">
        <is>
          <t>43291</t>
        </is>
      </c>
      <c r="B4519" s="50" t="inlineStr">
        <is>
          <t>38047</t>
        </is>
      </c>
      <c r="C4519" s="50" t="inlineStr">
        <is>
          <t>38047</t>
        </is>
      </c>
      <c r="D4519" s="50" t="inlineStr">
        <is>
          <t>—</t>
        </is>
      </c>
      <c r="E4519" s="50" t="inlineStr"/>
      <c r="F4519" s="50" t="inlineStr"/>
    </row>
    <row r="4520" ht="13" customHeight="1">
      <c r="A4520" s="45" t="inlineStr">
        <is>
          <t>43313</t>
        </is>
      </c>
      <c r="B4520" s="45" t="inlineStr">
        <is>
          <t>19828</t>
        </is>
      </c>
      <c r="C4520" s="45" t="inlineStr">
        <is>
          <t>2×2×4957</t>
        </is>
      </c>
      <c r="D4520" s="45" t="inlineStr">
        <is>
          <t>2</t>
        </is>
      </c>
      <c r="E4520" s="45" t="inlineStr"/>
      <c r="F4520" s="45" t="inlineStr"/>
    </row>
    <row r="4521" ht="13" customHeight="1">
      <c r="A4521" s="49" t="inlineStr">
        <is>
          <t>43319</t>
        </is>
      </c>
      <c r="B4521" s="49" t="inlineStr">
        <is>
          <t>38564</t>
        </is>
      </c>
      <c r="C4521" s="49" t="inlineStr">
        <is>
          <t>2×2×31×311</t>
        </is>
      </c>
      <c r="D4521" s="49" t="inlineStr">
        <is>
          <t>2</t>
        </is>
      </c>
      <c r="E4521" s="49" t="inlineStr"/>
      <c r="F4521" s="49" t="inlineStr"/>
    </row>
    <row r="4522" ht="13" customHeight="1">
      <c r="A4522" s="43" t="inlineStr">
        <is>
          <t>43321</t>
        </is>
      </c>
      <c r="B4522" s="43" t="inlineStr">
        <is>
          <t>33418</t>
        </is>
      </c>
      <c r="C4522" s="43" t="inlineStr">
        <is>
          <t>2×7×7×11×31</t>
        </is>
      </c>
      <c r="D4522" s="43" t="inlineStr">
        <is>
          <t>2·7·11</t>
        </is>
      </c>
      <c r="E4522" s="43" t="inlineStr"/>
      <c r="F4522" s="43" t="inlineStr"/>
    </row>
    <row r="4523" ht="13" customHeight="1">
      <c r="A4523" s="49" t="inlineStr">
        <is>
          <t>43331</t>
        </is>
      </c>
      <c r="B4523" s="49" t="inlineStr">
        <is>
          <t>35934</t>
        </is>
      </c>
      <c r="C4523" s="49" t="inlineStr">
        <is>
          <t>2×3×53×113</t>
        </is>
      </c>
      <c r="D4523" s="49" t="inlineStr">
        <is>
          <t>2·3</t>
        </is>
      </c>
      <c r="E4523" s="49" t="inlineStr"/>
      <c r="F4523" s="49" t="inlineStr"/>
    </row>
    <row r="4524" ht="13" customHeight="1">
      <c r="A4524" s="45" t="inlineStr">
        <is>
          <t>43391</t>
        </is>
      </c>
      <c r="B4524" s="45" t="inlineStr">
        <is>
          <t>33219</t>
        </is>
      </c>
      <c r="C4524" s="45" t="inlineStr">
        <is>
          <t>3×3×3691</t>
        </is>
      </c>
      <c r="D4524" s="45" t="inlineStr">
        <is>
          <t>3</t>
        </is>
      </c>
      <c r="E4524" s="45" t="inlineStr"/>
      <c r="F4524" s="45" t="inlineStr"/>
    </row>
    <row r="4525" ht="13" customHeight="1">
      <c r="A4525" s="49" t="inlineStr">
        <is>
          <t>43397</t>
        </is>
      </c>
      <c r="B4525" s="49" t="inlineStr">
        <is>
          <t>30777</t>
        </is>
      </c>
      <c r="C4525" s="49" t="inlineStr">
        <is>
          <t>3×10259</t>
        </is>
      </c>
      <c r="D4525" s="49" t="inlineStr">
        <is>
          <t>3</t>
        </is>
      </c>
      <c r="E4525" s="49" t="inlineStr"/>
      <c r="F4525" s="49" t="inlineStr"/>
    </row>
    <row r="4526" ht="13" customHeight="1">
      <c r="A4526" s="45" t="inlineStr">
        <is>
          <t>43399</t>
        </is>
      </c>
      <c r="B4526" s="45" t="inlineStr">
        <is>
          <t>22722</t>
        </is>
      </c>
      <c r="C4526" s="45" t="inlineStr">
        <is>
          <t>2×3×7×541</t>
        </is>
      </c>
      <c r="D4526" s="45" t="inlineStr">
        <is>
          <t>2·3·7</t>
        </is>
      </c>
      <c r="E4526" s="45" t="inlineStr"/>
      <c r="F4526" s="45" t="inlineStr"/>
    </row>
    <row r="4527" ht="13" customHeight="1">
      <c r="A4527" s="50" t="inlineStr">
        <is>
          <t>43403</t>
        </is>
      </c>
      <c r="B4527" s="50" t="inlineStr">
        <is>
          <t>26497</t>
        </is>
      </c>
      <c r="C4527" s="50" t="inlineStr">
        <is>
          <t>26497</t>
        </is>
      </c>
      <c r="D4527" s="50" t="inlineStr">
        <is>
          <t>—</t>
        </is>
      </c>
      <c r="E4527" s="50" t="inlineStr"/>
      <c r="F4527" s="50" t="inlineStr"/>
    </row>
    <row r="4528" ht="13" customHeight="1">
      <c r="A4528" s="50" t="inlineStr">
        <is>
          <t>43411</t>
        </is>
      </c>
      <c r="B4528" s="50" t="inlineStr">
        <is>
          <t>30469</t>
        </is>
      </c>
      <c r="C4528" s="50" t="inlineStr">
        <is>
          <t>30469</t>
        </is>
      </c>
      <c r="D4528" s="50" t="inlineStr">
        <is>
          <t>—</t>
        </is>
      </c>
      <c r="E4528" s="50" t="inlineStr"/>
      <c r="F4528" s="50" t="inlineStr"/>
    </row>
    <row r="4529" ht="13" customHeight="1">
      <c r="A4529" s="41" t="inlineStr">
        <is>
          <t>43427</t>
        </is>
      </c>
      <c r="B4529" s="41" t="inlineStr">
        <is>
          <t>35022</t>
        </is>
      </c>
      <c r="C4529" s="41" t="inlineStr">
        <is>
          <t>2×3×13×449</t>
        </is>
      </c>
      <c r="D4529" s="41" t="inlineStr">
        <is>
          <t>2·3·13</t>
        </is>
      </c>
      <c r="E4529" s="41" t="inlineStr"/>
      <c r="F4529" s="41" t="inlineStr"/>
    </row>
    <row r="4530" ht="13" customHeight="1">
      <c r="A4530" s="45" t="inlineStr">
        <is>
          <t>43441</t>
        </is>
      </c>
      <c r="B4530" s="45" t="inlineStr">
        <is>
          <t>18968</t>
        </is>
      </c>
      <c r="C4530" s="45" t="inlineStr">
        <is>
          <t>2×2×2×2371</t>
        </is>
      </c>
      <c r="D4530" s="45" t="inlineStr">
        <is>
          <t>2</t>
        </is>
      </c>
      <c r="E4530" s="45" t="inlineStr"/>
      <c r="F4530" s="45" t="inlineStr"/>
    </row>
    <row r="4531" ht="13" customHeight="1">
      <c r="A4531" s="49" t="inlineStr">
        <is>
          <t>43451</t>
        </is>
      </c>
      <c r="B4531" s="49" t="inlineStr">
        <is>
          <t>28799</t>
        </is>
      </c>
      <c r="C4531" s="49" t="inlineStr">
        <is>
          <t>31×929</t>
        </is>
      </c>
      <c r="D4531" s="49" t="inlineStr">
        <is>
          <t>—</t>
        </is>
      </c>
      <c r="E4531" s="49" t="inlineStr"/>
      <c r="F4531" s="49" t="inlineStr"/>
    </row>
    <row r="4532" ht="13" customHeight="1">
      <c r="A4532" s="45" t="inlineStr">
        <is>
          <t>43457</t>
        </is>
      </c>
      <c r="B4532" s="45" t="inlineStr">
        <is>
          <t>6195</t>
        </is>
      </c>
      <c r="C4532" s="45" t="inlineStr">
        <is>
          <t>3×5×7×59</t>
        </is>
      </c>
      <c r="D4532" s="45" t="inlineStr">
        <is>
          <t>3·5·7</t>
        </is>
      </c>
      <c r="E4532" s="45" t="inlineStr"/>
      <c r="F4532" s="45" t="inlineStr"/>
    </row>
    <row r="4533" ht="13" customHeight="1">
      <c r="A4533" s="49" t="inlineStr">
        <is>
          <t>43481</t>
        </is>
      </c>
      <c r="B4533" s="49" t="inlineStr">
        <is>
          <t>17894</t>
        </is>
      </c>
      <c r="C4533" s="49" t="inlineStr">
        <is>
          <t>2×23×389</t>
        </is>
      </c>
      <c r="D4533" s="49" t="inlineStr">
        <is>
          <t>2</t>
        </is>
      </c>
      <c r="E4533" s="49" t="inlineStr"/>
      <c r="F4533" s="49" t="inlineStr"/>
    </row>
    <row r="4534" ht="13" customHeight="1">
      <c r="A4534" s="45" t="inlineStr">
        <is>
          <t>43487</t>
        </is>
      </c>
      <c r="B4534" s="45" t="inlineStr">
        <is>
          <t>32050</t>
        </is>
      </c>
      <c r="C4534" s="45" t="inlineStr">
        <is>
          <t>2×5×5×641</t>
        </is>
      </c>
      <c r="D4534" s="45" t="inlineStr">
        <is>
          <t>2·5</t>
        </is>
      </c>
      <c r="E4534" s="45" t="inlineStr"/>
      <c r="F4534" s="45" t="inlineStr"/>
    </row>
    <row r="4535" ht="13" customHeight="1">
      <c r="A4535" s="41" t="inlineStr">
        <is>
          <t>43499</t>
        </is>
      </c>
      <c r="B4535" s="41" t="inlineStr">
        <is>
          <t>14742</t>
        </is>
      </c>
      <c r="C4535" s="41" t="inlineStr">
        <is>
          <t>2×3×3×3×3×7×13</t>
        </is>
      </c>
      <c r="D4535" s="41" t="inlineStr">
        <is>
          <t>2·3·7·13</t>
        </is>
      </c>
      <c r="E4535" s="41" t="inlineStr"/>
      <c r="F4535" s="41" t="inlineStr"/>
    </row>
    <row r="4536" ht="13" customHeight="1">
      <c r="A4536" s="45" t="inlineStr">
        <is>
          <t>43517</t>
        </is>
      </c>
      <c r="B4536" s="45" t="inlineStr">
        <is>
          <t>10150</t>
        </is>
      </c>
      <c r="C4536" s="45" t="inlineStr">
        <is>
          <t>2×5×5×7×29</t>
        </is>
      </c>
      <c r="D4536" s="45" t="inlineStr">
        <is>
          <t>2·5·7</t>
        </is>
      </c>
      <c r="E4536" s="45" t="inlineStr"/>
      <c r="F4536" s="45" t="inlineStr"/>
    </row>
    <row r="4537" ht="13" customHeight="1">
      <c r="A4537" s="51" t="inlineStr">
        <is>
          <t>43541</t>
        </is>
      </c>
      <c r="B4537" s="51" t="inlineStr">
        <is>
          <t>12027</t>
        </is>
      </c>
      <c r="C4537" s="51" t="inlineStr">
        <is>
          <t>3×19×211</t>
        </is>
      </c>
      <c r="D4537" s="51" t="inlineStr">
        <is>
          <t>3·19</t>
        </is>
      </c>
      <c r="E4537" s="51" t="inlineStr"/>
      <c r="F4537" s="51" t="inlineStr"/>
    </row>
    <row r="4538" ht="13" customHeight="1">
      <c r="A4538" s="45" t="inlineStr">
        <is>
          <t>43543</t>
        </is>
      </c>
      <c r="B4538" s="45" t="inlineStr">
        <is>
          <t>15943</t>
        </is>
      </c>
      <c r="C4538" s="45" t="inlineStr">
        <is>
          <t>107×149</t>
        </is>
      </c>
      <c r="D4538" s="45" t="inlineStr">
        <is>
          <t>—</t>
        </is>
      </c>
      <c r="E4538" s="45" t="inlineStr"/>
      <c r="F4538" s="45" t="inlineStr"/>
    </row>
    <row r="4539" ht="13" customHeight="1">
      <c r="A4539" s="49" t="inlineStr">
        <is>
          <t>43573</t>
        </is>
      </c>
      <c r="B4539" s="49" t="inlineStr">
        <is>
          <t>24417</t>
        </is>
      </c>
      <c r="C4539" s="49" t="inlineStr">
        <is>
          <t>3×3×2713</t>
        </is>
      </c>
      <c r="D4539" s="49" t="inlineStr">
        <is>
          <t>3</t>
        </is>
      </c>
      <c r="E4539" s="49" t="inlineStr"/>
      <c r="F4539" s="49" t="inlineStr"/>
    </row>
    <row r="4540" ht="13" customHeight="1">
      <c r="A4540" s="43" t="inlineStr">
        <is>
          <t>43577</t>
        </is>
      </c>
      <c r="B4540" s="43" t="inlineStr">
        <is>
          <t>8085</t>
        </is>
      </c>
      <c r="C4540" s="43" t="inlineStr">
        <is>
          <t>3×5×7×7×11</t>
        </is>
      </c>
      <c r="D4540" s="43" t="inlineStr">
        <is>
          <t>3·5·7·11</t>
        </is>
      </c>
      <c r="E4540" s="43" t="inlineStr"/>
      <c r="F4540" s="43" t="inlineStr"/>
    </row>
    <row r="4541" ht="13" customHeight="1">
      <c r="A4541" s="41" t="inlineStr">
        <is>
          <t>43579</t>
        </is>
      </c>
      <c r="B4541" s="41" t="inlineStr">
        <is>
          <t>8749</t>
        </is>
      </c>
      <c r="C4541" s="41" t="inlineStr">
        <is>
          <t>13×673</t>
        </is>
      </c>
      <c r="D4541" s="41" t="inlineStr">
        <is>
          <t>13</t>
        </is>
      </c>
      <c r="E4541" s="41" t="inlineStr"/>
      <c r="F4541" s="41" t="inlineStr"/>
    </row>
    <row r="4542" ht="13" customHeight="1">
      <c r="A4542" s="41" t="inlineStr">
        <is>
          <t>43591</t>
        </is>
      </c>
      <c r="B4542" s="41" t="inlineStr">
        <is>
          <t>6562</t>
        </is>
      </c>
      <c r="C4542" s="41" t="inlineStr">
        <is>
          <t>2×17×193</t>
        </is>
      </c>
      <c r="D4542" s="41" t="inlineStr">
        <is>
          <t>2·17</t>
        </is>
      </c>
      <c r="E4542" s="41" t="inlineStr"/>
      <c r="F4542" s="41" t="inlineStr"/>
    </row>
    <row r="4543" ht="13" customHeight="1">
      <c r="A4543" s="49" t="inlineStr">
        <is>
          <t>43597</t>
        </is>
      </c>
      <c r="B4543" s="49" t="inlineStr">
        <is>
          <t>39553</t>
        </is>
      </c>
      <c r="C4543" s="49" t="inlineStr">
        <is>
          <t>37×1069</t>
        </is>
      </c>
      <c r="D4543" s="49" t="inlineStr">
        <is>
          <t>—</t>
        </is>
      </c>
      <c r="E4543" s="49" t="inlineStr"/>
      <c r="F4543" s="49" t="inlineStr"/>
    </row>
    <row r="4544" ht="13" customHeight="1">
      <c r="A4544" s="45" t="inlineStr">
        <is>
          <t>43607</t>
        </is>
      </c>
      <c r="B4544" s="45" t="inlineStr">
        <is>
          <t>32185</t>
        </is>
      </c>
      <c r="C4544" s="45" t="inlineStr">
        <is>
          <t>5×41×157</t>
        </is>
      </c>
      <c r="D4544" s="45" t="inlineStr">
        <is>
          <t>5</t>
        </is>
      </c>
      <c r="E4544" s="45" t="inlineStr"/>
      <c r="F4544" s="45" t="inlineStr"/>
    </row>
    <row r="4545" ht="13" customHeight="1">
      <c r="A4545" s="43" t="inlineStr">
        <is>
          <t>43609</t>
        </is>
      </c>
      <c r="B4545" s="43" t="inlineStr">
        <is>
          <t>13761</t>
        </is>
      </c>
      <c r="C4545" s="43" t="inlineStr">
        <is>
          <t>3×3×11×139</t>
        </is>
      </c>
      <c r="D4545" s="43" t="inlineStr">
        <is>
          <t>3·11</t>
        </is>
      </c>
      <c r="E4545" s="43" t="inlineStr"/>
      <c r="F4545" s="43" t="inlineStr"/>
    </row>
    <row r="4546" ht="13" customHeight="1">
      <c r="A4546" s="41" t="inlineStr">
        <is>
          <t>43613</t>
        </is>
      </c>
      <c r="B4546" s="41" t="inlineStr">
        <is>
          <t>14235</t>
        </is>
      </c>
      <c r="C4546" s="41" t="inlineStr">
        <is>
          <t>3×5×13×73</t>
        </is>
      </c>
      <c r="D4546" s="41" t="inlineStr">
        <is>
          <t>3·5·13</t>
        </is>
      </c>
      <c r="E4546" s="41" t="inlineStr"/>
      <c r="F4546" s="41" t="inlineStr"/>
    </row>
    <row r="4547" ht="13" customHeight="1">
      <c r="A4547" s="41" t="inlineStr">
        <is>
          <t>43627</t>
        </is>
      </c>
      <c r="B4547" s="41" t="inlineStr">
        <is>
          <t>2142</t>
        </is>
      </c>
      <c r="C4547" s="41" t="inlineStr">
        <is>
          <t>2×3×3×7×17</t>
        </is>
      </c>
      <c r="D4547" s="41" t="inlineStr">
        <is>
          <t>2·3·7·17</t>
        </is>
      </c>
      <c r="E4547" s="41" t="inlineStr"/>
      <c r="F4547" s="41" t="inlineStr"/>
    </row>
    <row r="4548" ht="13" customHeight="1">
      <c r="A4548" s="45" t="inlineStr">
        <is>
          <t>43633</t>
        </is>
      </c>
      <c r="B4548" s="45" t="inlineStr">
        <is>
          <t>6142</t>
        </is>
      </c>
      <c r="C4548" s="45" t="inlineStr">
        <is>
          <t>2×37×83</t>
        </is>
      </c>
      <c r="D4548" s="45" t="inlineStr">
        <is>
          <t>2</t>
        </is>
      </c>
      <c r="E4548" s="45" t="inlineStr"/>
      <c r="F4548" s="45" t="inlineStr"/>
    </row>
    <row r="4549" ht="13" customHeight="1">
      <c r="A4549" s="49" t="inlineStr">
        <is>
          <t>43649</t>
        </is>
      </c>
      <c r="B4549" s="49" t="inlineStr">
        <is>
          <t>472</t>
        </is>
      </c>
      <c r="C4549" s="49" t="inlineStr">
        <is>
          <t>2×2×2×59</t>
        </is>
      </c>
      <c r="D4549" s="49" t="inlineStr">
        <is>
          <t>2</t>
        </is>
      </c>
      <c r="E4549" s="49" t="inlineStr"/>
      <c r="F4549" s="49" t="inlineStr"/>
    </row>
    <row r="4550" ht="13" customHeight="1">
      <c r="A4550" s="41" t="inlineStr">
        <is>
          <t>43651</t>
        </is>
      </c>
      <c r="B4550" s="41" t="inlineStr">
        <is>
          <t>42874</t>
        </is>
      </c>
      <c r="C4550" s="41" t="inlineStr">
        <is>
          <t>2×13×17×97</t>
        </is>
      </c>
      <c r="D4550" s="41" t="inlineStr">
        <is>
          <t>2·13·17</t>
        </is>
      </c>
      <c r="E4550" s="41" t="inlineStr"/>
      <c r="F4550" s="41" t="inlineStr"/>
    </row>
    <row r="4551" ht="13" customHeight="1">
      <c r="A4551" s="49" t="inlineStr">
        <is>
          <t>43661</t>
        </is>
      </c>
      <c r="B4551" s="49" t="inlineStr">
        <is>
          <t>17246</t>
        </is>
      </c>
      <c r="C4551" s="49" t="inlineStr">
        <is>
          <t>2×8623</t>
        </is>
      </c>
      <c r="D4551" s="49" t="inlineStr">
        <is>
          <t>2</t>
        </is>
      </c>
      <c r="E4551" s="49" t="inlineStr"/>
      <c r="F4551" s="49" t="inlineStr"/>
    </row>
    <row r="4552" ht="13" customHeight="1">
      <c r="A4552" s="45" t="inlineStr">
        <is>
          <t>43669</t>
        </is>
      </c>
      <c r="B4552" s="45" t="inlineStr">
        <is>
          <t>23723</t>
        </is>
      </c>
      <c r="C4552" s="45" t="inlineStr">
        <is>
          <t>7×3389</t>
        </is>
      </c>
      <c r="D4552" s="45" t="inlineStr">
        <is>
          <t>7</t>
        </is>
      </c>
      <c r="E4552" s="45" t="inlineStr"/>
      <c r="F4552" s="45" t="inlineStr"/>
    </row>
    <row r="4553" ht="13" customHeight="1">
      <c r="A4553" s="41" t="inlineStr">
        <is>
          <t>43691</t>
        </is>
      </c>
      <c r="B4553" s="41" t="inlineStr">
        <is>
          <t>38046</t>
        </is>
      </c>
      <c r="C4553" s="41" t="inlineStr">
        <is>
          <t>2×3×17×373</t>
        </is>
      </c>
      <c r="D4553" s="41" t="inlineStr">
        <is>
          <t>2·3·17</t>
        </is>
      </c>
      <c r="E4553" s="41" t="inlineStr"/>
      <c r="F4553" s="41" t="inlineStr"/>
    </row>
    <row r="4554" ht="13" customHeight="1">
      <c r="A4554" s="45" t="inlineStr">
        <is>
          <t>43711</t>
        </is>
      </c>
      <c r="B4554" s="45" t="inlineStr">
        <is>
          <t>23795</t>
        </is>
      </c>
      <c r="C4554" s="45" t="inlineStr">
        <is>
          <t>5×4759</t>
        </is>
      </c>
      <c r="D4554" s="45" t="inlineStr">
        <is>
          <t>5</t>
        </is>
      </c>
      <c r="E4554" s="45" t="inlineStr"/>
      <c r="F4554" s="45" t="inlineStr"/>
    </row>
    <row r="4555" ht="13" customHeight="1">
      <c r="A4555" s="51" t="inlineStr">
        <is>
          <t>43717</t>
        </is>
      </c>
      <c r="B4555" s="51" t="inlineStr">
        <is>
          <t>28348</t>
        </is>
      </c>
      <c r="C4555" s="51" t="inlineStr">
        <is>
          <t>2×2×19×373</t>
        </is>
      </c>
      <c r="D4555" s="51" t="inlineStr">
        <is>
          <t>2·19</t>
        </is>
      </c>
      <c r="E4555" s="51" t="inlineStr"/>
      <c r="F4555" s="51" t="inlineStr"/>
    </row>
    <row r="4556" ht="13" customHeight="1">
      <c r="A4556" s="41" t="inlineStr">
        <is>
          <t>43721</t>
        </is>
      </c>
      <c r="B4556" s="41" t="inlineStr">
        <is>
          <t>19397</t>
        </is>
      </c>
      <c r="C4556" s="41" t="inlineStr">
        <is>
          <t>7×17×163</t>
        </is>
      </c>
      <c r="D4556" s="41" t="inlineStr">
        <is>
          <t>7·17</t>
        </is>
      </c>
      <c r="E4556" s="41" t="inlineStr"/>
      <c r="F4556" s="41" t="inlineStr"/>
    </row>
    <row r="4557" ht="13" customHeight="1">
      <c r="A4557" s="49" t="inlineStr">
        <is>
          <t>43753</t>
        </is>
      </c>
      <c r="B4557" s="49" t="inlineStr">
        <is>
          <t>34479</t>
        </is>
      </c>
      <c r="C4557" s="49" t="inlineStr">
        <is>
          <t>3×3×3×1277</t>
        </is>
      </c>
      <c r="D4557" s="49" t="inlineStr">
        <is>
          <t>3</t>
        </is>
      </c>
      <c r="E4557" s="49" t="inlineStr"/>
      <c r="F4557" s="49" t="inlineStr"/>
    </row>
    <row r="4558" ht="13" customHeight="1">
      <c r="A4558" s="41" t="inlineStr">
        <is>
          <t>43759</t>
        </is>
      </c>
      <c r="B4558" s="41" t="inlineStr">
        <is>
          <t>14547</t>
        </is>
      </c>
      <c r="C4558" s="41" t="inlineStr">
        <is>
          <t>3×13×373</t>
        </is>
      </c>
      <c r="D4558" s="41" t="inlineStr">
        <is>
          <t>3·13</t>
        </is>
      </c>
      <c r="E4558" s="41" t="inlineStr"/>
      <c r="F4558" s="41" t="inlineStr"/>
    </row>
    <row r="4559" ht="13" customHeight="1">
      <c r="A4559" s="41" t="inlineStr">
        <is>
          <t>43777</t>
        </is>
      </c>
      <c r="B4559" s="41" t="inlineStr">
        <is>
          <t>6760</t>
        </is>
      </c>
      <c r="C4559" s="41" t="inlineStr">
        <is>
          <t>2×2×2×5×13×13</t>
        </is>
      </c>
      <c r="D4559" s="41" t="inlineStr">
        <is>
          <t>2·5·13</t>
        </is>
      </c>
      <c r="E4559" s="41" t="inlineStr"/>
      <c r="F4559" s="41" t="inlineStr"/>
    </row>
    <row r="4560" ht="13" customHeight="1">
      <c r="A4560" s="50" t="inlineStr">
        <is>
          <t>43781</t>
        </is>
      </c>
      <c r="B4560" s="50" t="inlineStr">
        <is>
          <t>9719</t>
        </is>
      </c>
      <c r="C4560" s="50" t="inlineStr">
        <is>
          <t>9719</t>
        </is>
      </c>
      <c r="D4560" s="50" t="inlineStr">
        <is>
          <t>—</t>
        </is>
      </c>
      <c r="E4560" s="50" t="inlineStr"/>
      <c r="F4560" s="50" t="inlineStr"/>
    </row>
    <row r="4561" ht="13" customHeight="1">
      <c r="A4561" s="27" t="inlineStr">
        <is>
          <t>43783</t>
        </is>
      </c>
      <c r="B4561" s="27" t="inlineStr">
        <is>
          <t>41028</t>
        </is>
      </c>
      <c r="C4561" s="27" t="inlineStr">
        <is>
          <t>2×2×3×13×263</t>
        </is>
      </c>
      <c r="D4561" s="27" t="inlineStr">
        <is>
          <t>2·3·13</t>
        </is>
      </c>
      <c r="E4561" s="27" t="inlineStr"/>
      <c r="F4561" s="27" t="inlineStr">
        <is>
          <t>window gate value = MOD−108 · rec10(41028)</t>
        </is>
      </c>
    </row>
    <row r="4562" ht="13" customHeight="1">
      <c r="A4562" s="39" t="inlineStr">
        <is>
          <t>43787</t>
        </is>
      </c>
      <c r="B4562" s="39" t="inlineStr">
        <is>
          <t>8748</t>
        </is>
      </c>
      <c r="C4562" s="39" t="inlineStr">
        <is>
          <t>2×2×3×3×3×3×3×3×3</t>
        </is>
      </c>
      <c r="D4562" s="39" t="inlineStr">
        <is>
          <t>2·3</t>
        </is>
      </c>
      <c r="E4562" s="39" t="inlineStr"/>
      <c r="F4562" s="39" t="inlineStr"/>
    </row>
    <row r="4563" ht="13" customHeight="1">
      <c r="A4563" s="43" t="inlineStr">
        <is>
          <t>43789</t>
        </is>
      </c>
      <c r="B4563" s="43" t="inlineStr">
        <is>
          <t>36630</t>
        </is>
      </c>
      <c r="C4563" s="43" t="inlineStr">
        <is>
          <t>2×3×3×5×11×37</t>
        </is>
      </c>
      <c r="D4563" s="43" t="inlineStr">
        <is>
          <t>2·3·5·11</t>
        </is>
      </c>
      <c r="E4563" s="43" t="inlineStr"/>
      <c r="F4563" s="43" t="inlineStr"/>
    </row>
    <row r="4564" ht="13" customHeight="1">
      <c r="A4564" s="45" t="inlineStr">
        <is>
          <t>43793</t>
        </is>
      </c>
      <c r="B4564" s="45" t="inlineStr">
        <is>
          <t>39552</t>
        </is>
      </c>
      <c r="C4564" s="45" t="inlineStr">
        <is>
          <t>2×2×2×2×2×2×2×3×103</t>
        </is>
      </c>
      <c r="D4564" s="45" t="inlineStr">
        <is>
          <t>2·3</t>
        </is>
      </c>
      <c r="E4564" s="45" t="inlineStr"/>
      <c r="F4564" s="45" t="inlineStr"/>
    </row>
    <row r="4565" ht="13" customHeight="1">
      <c r="A4565" s="49" t="inlineStr">
        <is>
          <t>43801</t>
        </is>
      </c>
      <c r="B4565" s="49" t="inlineStr">
        <is>
          <t>36200</t>
        </is>
      </c>
      <c r="C4565" s="49" t="inlineStr">
        <is>
          <t>2×2×2×5×5×181</t>
        </is>
      </c>
      <c r="D4565" s="49" t="inlineStr">
        <is>
          <t>2·5</t>
        </is>
      </c>
      <c r="E4565" s="49" t="inlineStr"/>
      <c r="F4565" s="49" t="inlineStr"/>
    </row>
    <row r="4566" ht="13" customHeight="1">
      <c r="A4566" s="45" t="inlineStr">
        <is>
          <t>43853</t>
        </is>
      </c>
      <c r="B4566" s="45" t="inlineStr">
        <is>
          <t>6759</t>
        </is>
      </c>
      <c r="C4566" s="45" t="inlineStr">
        <is>
          <t>3×3×751</t>
        </is>
      </c>
      <c r="D4566" s="45" t="inlineStr">
        <is>
          <t>3</t>
        </is>
      </c>
      <c r="E4566" s="45" t="inlineStr"/>
      <c r="F4566" s="45" t="inlineStr"/>
    </row>
    <row r="4567" ht="13" customHeight="1">
      <c r="A4567" s="50" t="inlineStr">
        <is>
          <t>43867</t>
        </is>
      </c>
      <c r="B4567" s="50" t="inlineStr">
        <is>
          <t>28621</t>
        </is>
      </c>
      <c r="C4567" s="50" t="inlineStr">
        <is>
          <t>28621</t>
        </is>
      </c>
      <c r="D4567" s="50" t="inlineStr">
        <is>
          <t>—</t>
        </is>
      </c>
      <c r="E4567" s="50" t="inlineStr"/>
      <c r="F4567" s="50" t="inlineStr"/>
    </row>
    <row r="4568" ht="13" customHeight="1">
      <c r="A4568" s="45" t="inlineStr">
        <is>
          <t>43889</t>
        </is>
      </c>
      <c r="B4568" s="45" t="inlineStr">
        <is>
          <t>9540</t>
        </is>
      </c>
      <c r="C4568" s="45" t="inlineStr">
        <is>
          <t>2×2×3×3×5×53</t>
        </is>
      </c>
      <c r="D4568" s="45" t="inlineStr">
        <is>
          <t>2·3·5</t>
        </is>
      </c>
      <c r="E4568" s="45" t="inlineStr"/>
      <c r="F4568" s="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2" customWidth="1" min="4" max="4"/>
    <col width="22" customWidth="1" min="5" max="5"/>
    <col width="24" customWidth="1" min="6" max="6"/>
    <col width="10" customWidth="1" min="7" max="7"/>
    <col width="36" customWidth="1" min="8" max="8"/>
  </cols>
  <sheetData>
    <row r="1" ht="26" customHeight="1">
      <c r="A1" s="52" t="inlineStr">
        <is>
          <t>PART II — 64 HARMONIC NODES  ·  Orbit 43890 = 2×3×5×7×11×19  ·  64 divisors = 64 harmonic wavelengths</t>
        </is>
      </c>
      <c r="B1" s="11" t="n"/>
      <c r="C1" s="11" t="n"/>
      <c r="D1" s="11" t="n"/>
      <c r="E1" s="11" t="n"/>
      <c r="F1" s="11" t="n"/>
      <c r="G1" s="11" t="n"/>
      <c r="H1" s="12" t="n"/>
    </row>
    <row r="2" ht="22" customHeight="1">
      <c r="A2" s="47" t="inlineStr">
        <is>
          <t>#</t>
        </is>
      </c>
      <c r="B2" s="47" t="inlineStr">
        <is>
          <t>d (wavelength)</t>
        </is>
      </c>
      <c r="C2" s="47" t="inlineStr">
        <is>
          <t>Freq (43890/d)</t>
        </is>
      </c>
      <c r="D2" s="47" t="inlineStr">
        <is>
          <t>rec10(d)</t>
        </is>
      </c>
      <c r="E2" s="47" t="inlineStr">
        <is>
          <t>Value Factors</t>
        </is>
      </c>
      <c r="F2" s="47" t="inlineStr">
        <is>
          <t>Step Factors</t>
        </is>
      </c>
      <c r="G2" s="47" t="inlineStr">
        <is>
          <t>Prime?</t>
        </is>
      </c>
      <c r="H2" s="47" t="inlineStr">
        <is>
          <t>Identity / Notes</t>
        </is>
      </c>
    </row>
    <row r="3" ht="15" customHeight="1">
      <c r="A3" s="27" t="inlineStr">
        <is>
          <t>1</t>
        </is>
      </c>
      <c r="B3" s="27" t="inlineStr">
        <is>
          <t>1</t>
        </is>
      </c>
      <c r="C3" s="27" t="inlineStr">
        <is>
          <t>43890</t>
        </is>
      </c>
      <c r="D3" s="27" t="inlineStr">
        <is>
          <t>3</t>
        </is>
      </c>
      <c r="E3" s="27" t="inlineStr">
        <is>
          <t>3</t>
        </is>
      </c>
      <c r="F3" s="27" t="inlineStr">
        <is>
          <t>1</t>
        </is>
      </c>
      <c r="G3" s="27" t="inlineStr">
        <is>
          <t>PRIME</t>
        </is>
      </c>
      <c r="H3" s="27" t="inlineStr">
        <is>
          <t>ternary</t>
        </is>
      </c>
    </row>
    <row r="4" ht="15" customHeight="1">
      <c r="A4" s="31" t="inlineStr">
        <is>
          <t>2</t>
        </is>
      </c>
      <c r="B4" s="31" t="inlineStr">
        <is>
          <t>2</t>
        </is>
      </c>
      <c r="C4" s="31" t="inlineStr">
        <is>
          <t>21945</t>
        </is>
      </c>
      <c r="D4" s="31" t="inlineStr">
        <is>
          <t>9</t>
        </is>
      </c>
      <c r="E4" s="31" t="inlineStr">
        <is>
          <t>3×3</t>
        </is>
      </c>
      <c r="F4" s="31" t="inlineStr">
        <is>
          <t>2</t>
        </is>
      </c>
      <c r="G4" s="31" t="inlineStr"/>
      <c r="H4" s="31" t="inlineStr">
        <is>
          <t>dec10 ceiling</t>
        </is>
      </c>
    </row>
    <row r="5" ht="15" customHeight="1">
      <c r="A5" s="31" t="inlineStr">
        <is>
          <t>3</t>
        </is>
      </c>
      <c r="B5" s="31" t="inlineStr">
        <is>
          <t>3</t>
        </is>
      </c>
      <c r="C5" s="31" t="inlineStr">
        <is>
          <t>14630</t>
        </is>
      </c>
      <c r="D5" s="31" t="inlineStr">
        <is>
          <t>27</t>
        </is>
      </c>
      <c r="E5" s="31" t="inlineStr">
        <is>
          <t>3×3×3</t>
        </is>
      </c>
      <c r="F5" s="31" t="inlineStr">
        <is>
          <t>3</t>
        </is>
      </c>
      <c r="G5" s="31" t="inlineStr"/>
      <c r="H5" s="31" t="inlineStr">
        <is>
          <t>L3 anchor</t>
        </is>
      </c>
    </row>
    <row r="6" ht="15" customHeight="1">
      <c r="A6" s="31" t="inlineStr">
        <is>
          <t>4</t>
        </is>
      </c>
      <c r="B6" s="31" t="inlineStr">
        <is>
          <t>5</t>
        </is>
      </c>
      <c r="C6" s="31" t="inlineStr">
        <is>
          <t>8778</t>
        </is>
      </c>
      <c r="D6" s="31" t="inlineStr">
        <is>
          <t>243</t>
        </is>
      </c>
      <c r="E6" s="31" t="inlineStr">
        <is>
          <t>3×3×3×3×3</t>
        </is>
      </c>
      <c r="F6" s="31" t="inlineStr">
        <is>
          <t>5</t>
        </is>
      </c>
      <c r="G6" s="31" t="inlineStr"/>
      <c r="H6" s="31" t="inlineStr">
        <is>
          <t>L5 anchor</t>
        </is>
      </c>
    </row>
    <row r="7" ht="15" customHeight="1">
      <c r="A7" s="31" t="inlineStr">
        <is>
          <t>5</t>
        </is>
      </c>
      <c r="B7" s="31" t="inlineStr">
        <is>
          <t>6</t>
        </is>
      </c>
      <c r="C7" s="31" t="inlineStr">
        <is>
          <t>7315</t>
        </is>
      </c>
      <c r="D7" s="31" t="inlineStr">
        <is>
          <t>729</t>
        </is>
      </c>
      <c r="E7" s="31" t="inlineStr">
        <is>
          <t>3×3×3×3×3×3</t>
        </is>
      </c>
      <c r="F7" s="31" t="inlineStr">
        <is>
          <t>2×3</t>
        </is>
      </c>
      <c r="G7" s="31" t="inlineStr"/>
      <c r="H7" s="31" t="inlineStr">
        <is>
          <t>3⁶</t>
        </is>
      </c>
    </row>
    <row r="8" ht="15" customHeight="1">
      <c r="A8" s="31" t="inlineStr">
        <is>
          <t>6</t>
        </is>
      </c>
      <c r="B8" s="31" t="inlineStr">
        <is>
          <t>7</t>
        </is>
      </c>
      <c r="C8" s="31" t="inlineStr">
        <is>
          <t>6270</t>
        </is>
      </c>
      <c r="D8" s="31" t="inlineStr">
        <is>
          <t>2187</t>
        </is>
      </c>
      <c r="E8" s="31" t="inlineStr">
        <is>
          <t>3×3×3×3×3×3×3</t>
        </is>
      </c>
      <c r="F8" s="31" t="inlineStr">
        <is>
          <t>7</t>
        </is>
      </c>
      <c r="G8" s="31" t="inlineStr"/>
      <c r="H8" s="31" t="inlineStr">
        <is>
          <t>3⁷</t>
        </is>
      </c>
    </row>
    <row r="9" ht="15" customHeight="1">
      <c r="A9" s="49" t="inlineStr">
        <is>
          <t>7</t>
        </is>
      </c>
      <c r="B9" s="49" t="inlineStr">
        <is>
          <t>10</t>
        </is>
      </c>
      <c r="C9" s="49" t="inlineStr">
        <is>
          <t>4389</t>
        </is>
      </c>
      <c r="D9" s="49" t="inlineStr">
        <is>
          <t>15158</t>
        </is>
      </c>
      <c r="E9" s="49" t="inlineStr">
        <is>
          <t>2×11×13×53</t>
        </is>
      </c>
      <c r="F9" s="49" t="inlineStr">
        <is>
          <t>2×5</t>
        </is>
      </c>
      <c r="G9" s="49" t="inlineStr"/>
      <c r="H9" s="49" t="inlineStr"/>
    </row>
    <row r="10" ht="15" customHeight="1">
      <c r="A10" s="27" t="inlineStr">
        <is>
          <t>8</t>
        </is>
      </c>
      <c r="B10" s="27" t="inlineStr">
        <is>
          <t>11</t>
        </is>
      </c>
      <c r="C10" s="27" t="inlineStr">
        <is>
          <t>3990</t>
        </is>
      </c>
      <c r="D10" s="27" t="inlineStr">
        <is>
          <t>1583</t>
        </is>
      </c>
      <c r="E10" s="27" t="inlineStr">
        <is>
          <t>1583</t>
        </is>
      </c>
      <c r="F10" s="27" t="inlineStr">
        <is>
          <t>11</t>
        </is>
      </c>
      <c r="G10" s="27" t="inlineStr">
        <is>
          <t>PRIME</t>
        </is>
      </c>
      <c r="H10" s="27" t="inlineStr"/>
    </row>
    <row r="11" ht="15" customHeight="1">
      <c r="A11" s="49" t="inlineStr">
        <is>
          <t>9</t>
        </is>
      </c>
      <c r="B11" s="49" t="inlineStr">
        <is>
          <t>14</t>
        </is>
      </c>
      <c r="C11" s="49" t="inlineStr">
        <is>
          <t>3135</t>
        </is>
      </c>
      <c r="D11" s="49" t="inlineStr">
        <is>
          <t>42741</t>
        </is>
      </c>
      <c r="E11" s="49" t="inlineStr">
        <is>
          <t>3×3×3×1583</t>
        </is>
      </c>
      <c r="F11" s="49" t="inlineStr">
        <is>
          <t>2×7</t>
        </is>
      </c>
      <c r="G11" s="49" t="inlineStr"/>
      <c r="H11" s="49" t="inlineStr"/>
    </row>
    <row r="12" ht="15" customHeight="1">
      <c r="A12" s="45" t="inlineStr">
        <is>
          <t>10</t>
        </is>
      </c>
      <c r="B12" s="45" t="inlineStr">
        <is>
          <t>15</t>
        </is>
      </c>
      <c r="C12" s="45" t="inlineStr">
        <is>
          <t>2926</t>
        </is>
      </c>
      <c r="D12" s="45" t="inlineStr">
        <is>
          <t>40441</t>
        </is>
      </c>
      <c r="E12" s="45" t="inlineStr">
        <is>
          <t>37×1093</t>
        </is>
      </c>
      <c r="F12" s="45" t="inlineStr">
        <is>
          <t>3×5</t>
        </is>
      </c>
      <c r="G12" s="45" t="inlineStr"/>
      <c r="H12" s="45" t="inlineStr"/>
    </row>
    <row r="13" ht="15" customHeight="1">
      <c r="A13" s="49" t="inlineStr">
        <is>
          <t>11</t>
        </is>
      </c>
      <c r="B13" s="49" t="inlineStr">
        <is>
          <t>19</t>
        </is>
      </c>
      <c r="C13" s="49" t="inlineStr">
        <is>
          <t>2310</t>
        </is>
      </c>
      <c r="D13" s="49" t="inlineStr">
        <is>
          <t>27787</t>
        </is>
      </c>
      <c r="E13" s="49" t="inlineStr">
        <is>
          <t>37×751</t>
        </is>
      </c>
      <c r="F13" s="49" t="inlineStr">
        <is>
          <t>19</t>
        </is>
      </c>
      <c r="G13" s="49" t="inlineStr"/>
      <c r="H13" s="49" t="inlineStr"/>
    </row>
    <row r="14" ht="15" customHeight="1">
      <c r="A14" s="45" t="inlineStr">
        <is>
          <t>12</t>
        </is>
      </c>
      <c r="B14" s="45" t="inlineStr">
        <is>
          <t>21</t>
        </is>
      </c>
      <c r="C14" s="45" t="inlineStr">
        <is>
          <t>2090</t>
        </is>
      </c>
      <c r="D14" s="45" t="inlineStr">
        <is>
          <t>30628</t>
        </is>
      </c>
      <c r="E14" s="45" t="inlineStr">
        <is>
          <t>2×2×13×19×31</t>
        </is>
      </c>
      <c r="F14" s="45" t="inlineStr">
        <is>
          <t>3×7</t>
        </is>
      </c>
      <c r="G14" s="45" t="inlineStr"/>
      <c r="H14" s="45" t="inlineStr"/>
    </row>
    <row r="15" ht="15" customHeight="1">
      <c r="A15" s="49" t="inlineStr">
        <is>
          <t>13</t>
        </is>
      </c>
      <c r="B15" s="49" t="inlineStr">
        <is>
          <t>22</t>
        </is>
      </c>
      <c r="C15" s="49" t="inlineStr">
        <is>
          <t>1995</t>
        </is>
      </c>
      <c r="D15" s="49" t="inlineStr">
        <is>
          <t>4102</t>
        </is>
      </c>
      <c r="E15" s="49" t="inlineStr">
        <is>
          <t>2×7×293</t>
        </is>
      </c>
      <c r="F15" s="49" t="inlineStr">
        <is>
          <t>2×11</t>
        </is>
      </c>
      <c r="G15" s="49" t="inlineStr"/>
      <c r="H15" s="49" t="inlineStr"/>
    </row>
    <row r="16" ht="15" customHeight="1">
      <c r="A16" s="27" t="inlineStr">
        <is>
          <t>14</t>
        </is>
      </c>
      <c r="B16" s="27" t="inlineStr">
        <is>
          <t>30</t>
        </is>
      </c>
      <c r="C16" s="27" t="inlineStr">
        <is>
          <t>1463</t>
        </is>
      </c>
      <c r="D16" s="27" t="inlineStr">
        <is>
          <t>8039</t>
        </is>
      </c>
      <c r="E16" s="27" t="inlineStr">
        <is>
          <t>8039</t>
        </is>
      </c>
      <c r="F16" s="27" t="inlineStr">
        <is>
          <t>2×3×5</t>
        </is>
      </c>
      <c r="G16" s="27" t="inlineStr">
        <is>
          <t>PRIME</t>
        </is>
      </c>
      <c r="H16" s="27" t="inlineStr"/>
    </row>
    <row r="17" ht="15" customHeight="1">
      <c r="A17" s="49" t="inlineStr">
        <is>
          <t>15</t>
        </is>
      </c>
      <c r="B17" s="49" t="inlineStr">
        <is>
          <t>33</t>
        </is>
      </c>
      <c r="C17" s="49" t="inlineStr">
        <is>
          <t>1330</t>
        </is>
      </c>
      <c r="D17" s="49" t="inlineStr">
        <is>
          <t>41489</t>
        </is>
      </c>
      <c r="E17" s="49" t="inlineStr">
        <is>
          <t>7×5927</t>
        </is>
      </c>
      <c r="F17" s="49" t="inlineStr">
        <is>
          <t>3×11</t>
        </is>
      </c>
      <c r="G17" s="49" t="inlineStr"/>
      <c r="H17" s="49" t="inlineStr"/>
    </row>
    <row r="18" ht="15" customHeight="1">
      <c r="A18" s="27" t="inlineStr">
        <is>
          <t>16</t>
        </is>
      </c>
      <c r="B18" s="27" t="inlineStr">
        <is>
          <t>35</t>
        </is>
      </c>
      <c r="C18" s="27" t="inlineStr">
        <is>
          <t>1254</t>
        </is>
      </c>
      <c r="D18" s="27" t="inlineStr">
        <is>
          <t>22273</t>
        </is>
      </c>
      <c r="E18" s="27" t="inlineStr">
        <is>
          <t>22273</t>
        </is>
      </c>
      <c r="F18" s="27" t="inlineStr">
        <is>
          <t>5×7</t>
        </is>
      </c>
      <c r="G18" s="27" t="inlineStr">
        <is>
          <t>PRIME</t>
        </is>
      </c>
      <c r="H18" s="27" t="inlineStr"/>
    </row>
    <row r="19" ht="15" customHeight="1">
      <c r="A19" s="49" t="inlineStr">
        <is>
          <t>17</t>
        </is>
      </c>
      <c r="B19" s="49" t="inlineStr">
        <is>
          <t>38</t>
        </is>
      </c>
      <c r="C19" s="49" t="inlineStr">
        <is>
          <t>1155</t>
        </is>
      </c>
      <c r="D19" s="49" t="inlineStr">
        <is>
          <t>30788</t>
        </is>
      </c>
      <c r="E19" s="49" t="inlineStr">
        <is>
          <t>2×2×43×179</t>
        </is>
      </c>
      <c r="F19" s="49" t="inlineStr">
        <is>
          <t>2×19</t>
        </is>
      </c>
      <c r="G19" s="49" t="inlineStr"/>
      <c r="H19" s="49" t="inlineStr"/>
    </row>
    <row r="20" ht="15" customHeight="1">
      <c r="A20" s="45" t="inlineStr">
        <is>
          <t>18</t>
        </is>
      </c>
      <c r="B20" s="45" t="inlineStr">
        <is>
          <t>42</t>
        </is>
      </c>
      <c r="C20" s="45" t="inlineStr">
        <is>
          <t>1045</t>
        </is>
      </c>
      <c r="D20" s="45" t="inlineStr">
        <is>
          <t>35932</t>
        </is>
      </c>
      <c r="E20" s="45" t="inlineStr">
        <is>
          <t>2×2×13×691</t>
        </is>
      </c>
      <c r="F20" s="45" t="inlineStr">
        <is>
          <t>2×3×7</t>
        </is>
      </c>
      <c r="G20" s="45" t="inlineStr"/>
      <c r="H20" s="45" t="inlineStr"/>
    </row>
    <row r="21" ht="15" customHeight="1">
      <c r="A21" s="49" t="inlineStr">
        <is>
          <t>19</t>
        </is>
      </c>
      <c r="B21" s="49" t="inlineStr">
        <is>
          <t>55</t>
        </is>
      </c>
      <c r="C21" s="49" t="inlineStr">
        <is>
          <t>798</t>
        </is>
      </c>
      <c r="D21" s="49" t="inlineStr">
        <is>
          <t>22471</t>
        </is>
      </c>
      <c r="E21" s="49" t="inlineStr">
        <is>
          <t>23×977</t>
        </is>
      </c>
      <c r="F21" s="49" t="inlineStr">
        <is>
          <t>5×11</t>
        </is>
      </c>
      <c r="G21" s="49" t="inlineStr"/>
      <c r="H21" s="49" t="inlineStr"/>
    </row>
    <row r="22" ht="15" customHeight="1">
      <c r="A22" s="45" t="inlineStr">
        <is>
          <t>20</t>
        </is>
      </c>
      <c r="B22" s="45" t="inlineStr">
        <is>
          <t>57</t>
        </is>
      </c>
      <c r="C22" s="45" t="inlineStr">
        <is>
          <t>770</t>
        </is>
      </c>
      <c r="D22" s="45" t="inlineStr">
        <is>
          <t>26675</t>
        </is>
      </c>
      <c r="E22" s="45" t="inlineStr">
        <is>
          <t>5×5×11×97</t>
        </is>
      </c>
      <c r="F22" s="45" t="inlineStr">
        <is>
          <t>3×19</t>
        </is>
      </c>
      <c r="G22" s="45" t="inlineStr"/>
      <c r="H22" s="45" t="inlineStr"/>
    </row>
    <row r="23" ht="15" customHeight="1">
      <c r="A23" s="49" t="inlineStr">
        <is>
          <t>21</t>
        </is>
      </c>
      <c r="B23" s="49" t="inlineStr">
        <is>
          <t>66</t>
        </is>
      </c>
      <c r="C23" s="49" t="inlineStr">
        <is>
          <t>665</t>
        </is>
      </c>
      <c r="D23" s="49" t="inlineStr">
        <is>
          <t>19883</t>
        </is>
      </c>
      <c r="E23" s="49" t="inlineStr">
        <is>
          <t>59×337</t>
        </is>
      </c>
      <c r="F23" s="49" t="inlineStr">
        <is>
          <t>2×3×11</t>
        </is>
      </c>
      <c r="G23" s="49" t="inlineStr"/>
      <c r="H23" s="49" t="inlineStr"/>
    </row>
    <row r="24" ht="15" customHeight="1">
      <c r="A24" s="45" t="inlineStr">
        <is>
          <t>22</t>
        </is>
      </c>
      <c r="B24" s="45" t="inlineStr">
        <is>
          <t>70</t>
        </is>
      </c>
      <c r="C24" s="45" t="inlineStr">
        <is>
          <t>627</t>
        </is>
      </c>
      <c r="D24" s="45" t="inlineStr">
        <is>
          <t>30447</t>
        </is>
      </c>
      <c r="E24" s="45" t="inlineStr">
        <is>
          <t>3×3×17×199</t>
        </is>
      </c>
      <c r="F24" s="45" t="inlineStr">
        <is>
          <t>2×5×7</t>
        </is>
      </c>
      <c r="G24" s="45" t="inlineStr"/>
      <c r="H24" s="45" t="inlineStr"/>
    </row>
    <row r="25" ht="15" customHeight="1">
      <c r="A25" s="49" t="inlineStr">
        <is>
          <t>23</t>
        </is>
      </c>
      <c r="B25" s="49" t="inlineStr">
        <is>
          <t>77</t>
        </is>
      </c>
      <c r="C25" s="49" t="inlineStr">
        <is>
          <t>570</t>
        </is>
      </c>
      <c r="D25" s="49" t="inlineStr">
        <is>
          <t>4942</t>
        </is>
      </c>
      <c r="E25" s="49" t="inlineStr">
        <is>
          <t>2×7×353</t>
        </is>
      </c>
      <c r="F25" s="49" t="inlineStr">
        <is>
          <t>7×11</t>
        </is>
      </c>
      <c r="G25" s="49" t="inlineStr"/>
      <c r="H25" s="49" t="inlineStr"/>
    </row>
    <row r="26" ht="15" customHeight="1">
      <c r="A26" s="45" t="inlineStr">
        <is>
          <t>24</t>
        </is>
      </c>
      <c r="B26" s="45" t="inlineStr">
        <is>
          <t>95</t>
        </is>
      </c>
      <c r="C26" s="45" t="inlineStr">
        <is>
          <t>462</t>
        </is>
      </c>
      <c r="D26" s="45" t="inlineStr">
        <is>
          <t>25399</t>
        </is>
      </c>
      <c r="E26" s="45" t="inlineStr">
        <is>
          <t>11×2309</t>
        </is>
      </c>
      <c r="F26" s="45" t="inlineStr">
        <is>
          <t>5×19</t>
        </is>
      </c>
      <c r="G26" s="45" t="inlineStr"/>
      <c r="H26" s="45" t="inlineStr"/>
    </row>
    <row r="27" ht="15" customHeight="1">
      <c r="A27" s="49" t="inlineStr">
        <is>
          <t>25</t>
        </is>
      </c>
      <c r="B27" s="49" t="inlineStr">
        <is>
          <t>105</t>
        </is>
      </c>
      <c r="C27" s="49" t="inlineStr">
        <is>
          <t>418</t>
        </is>
      </c>
      <c r="D27" s="49" t="inlineStr">
        <is>
          <t>30081</t>
        </is>
      </c>
      <c r="E27" s="49" t="inlineStr">
        <is>
          <t>3×37×271</t>
        </is>
      </c>
      <c r="F27" s="49" t="inlineStr">
        <is>
          <t>3×5×7</t>
        </is>
      </c>
      <c r="G27" s="49" t="inlineStr"/>
      <c r="H27" s="49" t="inlineStr"/>
    </row>
    <row r="28" ht="15" customHeight="1">
      <c r="A28" s="45" t="inlineStr">
        <is>
          <t>26</t>
        </is>
      </c>
      <c r="B28" s="45" t="inlineStr">
        <is>
          <t>110</t>
        </is>
      </c>
      <c r="C28" s="45" t="inlineStr">
        <is>
          <t>399</t>
        </is>
      </c>
      <c r="D28" s="45" t="inlineStr">
        <is>
          <t>23777</t>
        </is>
      </c>
      <c r="E28" s="45" t="inlineStr">
        <is>
          <t>13×31×59</t>
        </is>
      </c>
      <c r="F28" s="45" t="inlineStr">
        <is>
          <t>2×5×11</t>
        </is>
      </c>
      <c r="G28" s="45" t="inlineStr"/>
      <c r="H28" s="45" t="inlineStr"/>
    </row>
    <row r="29" ht="15" customHeight="1">
      <c r="A29" s="49" t="inlineStr">
        <is>
          <t>27</t>
        </is>
      </c>
      <c r="B29" s="49" t="inlineStr">
        <is>
          <t>114</t>
        </is>
      </c>
      <c r="C29" s="49" t="inlineStr">
        <is>
          <t>385</t>
        </is>
      </c>
      <c r="D29" s="49" t="inlineStr">
        <is>
          <t>38624</t>
        </is>
      </c>
      <c r="E29" s="49" t="inlineStr">
        <is>
          <t>2×2×2×2×2×17×71</t>
        </is>
      </c>
      <c r="F29" s="49" t="inlineStr">
        <is>
          <t>2×3×19</t>
        </is>
      </c>
      <c r="G29" s="49" t="inlineStr"/>
      <c r="H29" s="49" t="inlineStr"/>
    </row>
    <row r="30" ht="15" customHeight="1">
      <c r="A30" s="45" t="inlineStr">
        <is>
          <t>28</t>
        </is>
      </c>
      <c r="B30" s="45" t="inlineStr">
        <is>
          <t>133</t>
        </is>
      </c>
      <c r="C30" s="45" t="inlineStr">
        <is>
          <t>330</t>
        </is>
      </c>
      <c r="D30" s="45" t="inlineStr">
        <is>
          <t>22356</t>
        </is>
      </c>
      <c r="E30" s="45" t="inlineStr">
        <is>
          <t>2×2×3×3×3×3×3×23</t>
        </is>
      </c>
      <c r="F30" s="45" t="inlineStr">
        <is>
          <t>7×19</t>
        </is>
      </c>
      <c r="G30" s="45" t="inlineStr"/>
      <c r="H30" s="45" t="inlineStr"/>
    </row>
    <row r="31" ht="15" customHeight="1">
      <c r="A31" s="49" t="inlineStr">
        <is>
          <t>29</t>
        </is>
      </c>
      <c r="B31" s="49" t="inlineStr">
        <is>
          <t>154</t>
        </is>
      </c>
      <c r="C31" s="49" t="inlineStr">
        <is>
          <t>285</t>
        </is>
      </c>
      <c r="D31" s="49" t="inlineStr">
        <is>
          <t>19968</t>
        </is>
      </c>
      <c r="E31" s="49" t="inlineStr">
        <is>
          <t>2×2×2×2×2×2×2×2×2×3×13</t>
        </is>
      </c>
      <c r="F31" s="49" t="inlineStr">
        <is>
          <t>2×7×11</t>
        </is>
      </c>
      <c r="G31" s="49" t="inlineStr"/>
      <c r="H31" s="49" t="inlineStr"/>
    </row>
    <row r="32" ht="15" customHeight="1">
      <c r="A32" s="45" t="inlineStr">
        <is>
          <t>30</t>
        </is>
      </c>
      <c r="B32" s="45" t="inlineStr">
        <is>
          <t>165</t>
        </is>
      </c>
      <c r="C32" s="45" t="inlineStr">
        <is>
          <t>266</t>
        </is>
      </c>
      <c r="D32" s="45" t="inlineStr">
        <is>
          <t>7824</t>
        </is>
      </c>
      <c r="E32" s="45" t="inlineStr">
        <is>
          <t>2×2×2×2×3×163</t>
        </is>
      </c>
      <c r="F32" s="45" t="inlineStr">
        <is>
          <t>3×5×11</t>
        </is>
      </c>
      <c r="G32" s="45" t="inlineStr"/>
      <c r="H32" s="45" t="inlineStr"/>
    </row>
    <row r="33" ht="15" customHeight="1">
      <c r="A33" s="49" t="inlineStr">
        <is>
          <t>31</t>
        </is>
      </c>
      <c r="B33" s="49" t="inlineStr">
        <is>
          <t>190</t>
        </is>
      </c>
      <c r="C33" s="49" t="inlineStr">
        <is>
          <t>231</t>
        </is>
      </c>
      <c r="D33" s="49" t="inlineStr">
        <is>
          <t>43174</t>
        </is>
      </c>
      <c r="E33" s="49" t="inlineStr">
        <is>
          <t>2×21587</t>
        </is>
      </c>
      <c r="F33" s="49" t="inlineStr">
        <is>
          <t>2×5×19</t>
        </is>
      </c>
      <c r="G33" s="49" t="inlineStr"/>
      <c r="H33" s="49" t="inlineStr"/>
    </row>
    <row r="34" ht="15" customHeight="1">
      <c r="A34" s="45" t="inlineStr">
        <is>
          <t>32</t>
        </is>
      </c>
      <c r="B34" s="45" t="inlineStr">
        <is>
          <t>209</t>
        </is>
      </c>
      <c r="C34" s="45" t="inlineStr">
        <is>
          <t>210</t>
        </is>
      </c>
      <c r="D34" s="45" t="inlineStr">
        <is>
          <t>3235</t>
        </is>
      </c>
      <c r="E34" s="45" t="inlineStr">
        <is>
          <t>5×647</t>
        </is>
      </c>
      <c r="F34" s="45" t="inlineStr">
        <is>
          <t>11×19</t>
        </is>
      </c>
      <c r="G34" s="45" t="inlineStr"/>
      <c r="H34" s="45" t="inlineStr"/>
    </row>
    <row r="35" ht="15" customHeight="1">
      <c r="A35" s="49" t="inlineStr">
        <is>
          <t>33</t>
        </is>
      </c>
      <c r="B35" s="49" t="inlineStr">
        <is>
          <t>210</t>
        </is>
      </c>
      <c r="C35" s="49" t="inlineStr">
        <is>
          <t>209</t>
        </is>
      </c>
      <c r="D35" s="49" t="inlineStr">
        <is>
          <t>9705</t>
        </is>
      </c>
      <c r="E35" s="49" t="inlineStr">
        <is>
          <t>3×5×647</t>
        </is>
      </c>
      <c r="F35" s="49" t="inlineStr">
        <is>
          <t>2×3×5×7</t>
        </is>
      </c>
      <c r="G35" s="49" t="inlineStr"/>
      <c r="H35" s="49" t="inlineStr"/>
    </row>
    <row r="36" ht="15" customHeight="1">
      <c r="A36" s="45" t="inlineStr">
        <is>
          <t>34</t>
        </is>
      </c>
      <c r="B36" s="45" t="inlineStr">
        <is>
          <t>231</t>
        </is>
      </c>
      <c r="C36" s="45" t="inlineStr">
        <is>
          <t>190</t>
        </is>
      </c>
      <c r="D36" s="45" t="inlineStr">
        <is>
          <t>14888</t>
        </is>
      </c>
      <c r="E36" s="45" t="inlineStr">
        <is>
          <t>2×2×2×1861</t>
        </is>
      </c>
      <c r="F36" s="45" t="inlineStr">
        <is>
          <t>3×7×11</t>
        </is>
      </c>
      <c r="G36" s="45" t="inlineStr"/>
      <c r="H36" s="45" t="inlineStr"/>
    </row>
    <row r="37" ht="15" customHeight="1">
      <c r="A37" s="27" t="inlineStr">
        <is>
          <t>35</t>
        </is>
      </c>
      <c r="B37" s="27" t="inlineStr">
        <is>
          <t>266</t>
        </is>
      </c>
      <c r="C37" s="27" t="inlineStr">
        <is>
          <t>165</t>
        </is>
      </c>
      <c r="D37" s="27" t="inlineStr">
        <is>
          <t>3919</t>
        </is>
      </c>
      <c r="E37" s="27" t="inlineStr">
        <is>
          <t>3919</t>
        </is>
      </c>
      <c r="F37" s="27" t="inlineStr">
        <is>
          <t>2×7×19</t>
        </is>
      </c>
      <c r="G37" s="27" t="inlineStr">
        <is>
          <t>PRIME</t>
        </is>
      </c>
      <c r="H37" s="27" t="inlineStr"/>
    </row>
    <row r="38" ht="15" customHeight="1">
      <c r="A38" s="45" t="inlineStr">
        <is>
          <t>36</t>
        </is>
      </c>
      <c r="B38" s="45" t="inlineStr">
        <is>
          <t>285</t>
        </is>
      </c>
      <c r="C38" s="45" t="inlineStr">
        <is>
          <t>154</t>
        </is>
      </c>
      <c r="D38" s="45" t="inlineStr">
        <is>
          <t>3682</t>
        </is>
      </c>
      <c r="E38" s="45" t="inlineStr">
        <is>
          <t>2×7×263</t>
        </is>
      </c>
      <c r="F38" s="45" t="inlineStr">
        <is>
          <t>3×5×19</t>
        </is>
      </c>
      <c r="G38" s="45" t="inlineStr"/>
      <c r="H38" s="45" t="inlineStr"/>
    </row>
    <row r="39" ht="15" customHeight="1">
      <c r="A39" s="49" t="inlineStr">
        <is>
          <t>37</t>
        </is>
      </c>
      <c r="B39" s="49" t="inlineStr">
        <is>
          <t>330</t>
        </is>
      </c>
      <c r="C39" s="49" t="inlineStr">
        <is>
          <t>133</t>
        </is>
      </c>
      <c r="D39" s="49" t="inlineStr">
        <is>
          <t>30922</t>
        </is>
      </c>
      <c r="E39" s="49" t="inlineStr">
        <is>
          <t>2×15461</t>
        </is>
      </c>
      <c r="F39" s="49" t="inlineStr">
        <is>
          <t>2×3×5×11</t>
        </is>
      </c>
      <c r="G39" s="49" t="inlineStr"/>
      <c r="H39" s="49" t="inlineStr"/>
    </row>
    <row r="40" ht="15" customHeight="1">
      <c r="A40" s="45" t="inlineStr">
        <is>
          <t>38</t>
        </is>
      </c>
      <c r="B40" s="45" t="inlineStr">
        <is>
          <t>385</t>
        </is>
      </c>
      <c r="C40" s="45" t="inlineStr">
        <is>
          <t>114</t>
        </is>
      </c>
      <c r="D40" s="45" t="inlineStr">
        <is>
          <t>9841</t>
        </is>
      </c>
      <c r="E40" s="45" t="inlineStr">
        <is>
          <t>13×757</t>
        </is>
      </c>
      <c r="F40" s="45" t="inlineStr">
        <is>
          <t>5×7×11</t>
        </is>
      </c>
      <c r="G40" s="45" t="inlineStr"/>
      <c r="H40" s="45" t="inlineStr"/>
    </row>
    <row r="41" ht="15" customHeight="1">
      <c r="A41" s="49" t="inlineStr">
        <is>
          <t>39</t>
        </is>
      </c>
      <c r="B41" s="49" t="inlineStr">
        <is>
          <t>399</t>
        </is>
      </c>
      <c r="C41" s="49" t="inlineStr">
        <is>
          <t>110</t>
        </is>
      </c>
      <c r="D41" s="49" t="inlineStr">
        <is>
          <t>6728</t>
        </is>
      </c>
      <c r="E41" s="49" t="inlineStr">
        <is>
          <t>2×2×2×29×29</t>
        </is>
      </c>
      <c r="F41" s="49" t="inlineStr">
        <is>
          <t>3×7×19</t>
        </is>
      </c>
      <c r="G41" s="49" t="inlineStr"/>
      <c r="H41" s="49" t="inlineStr"/>
    </row>
    <row r="42" ht="15" customHeight="1">
      <c r="A42" s="45" t="inlineStr">
        <is>
          <t>40</t>
        </is>
      </c>
      <c r="B42" s="45" t="inlineStr">
        <is>
          <t>418</t>
        </is>
      </c>
      <c r="C42" s="45" t="inlineStr">
        <is>
          <t>105</t>
        </is>
      </c>
      <c r="D42" s="45" t="inlineStr">
        <is>
          <t>19167</t>
        </is>
      </c>
      <c r="E42" s="45" t="inlineStr">
        <is>
          <t>3×6389</t>
        </is>
      </c>
      <c r="F42" s="45" t="inlineStr">
        <is>
          <t>2×11×19</t>
        </is>
      </c>
      <c r="G42" s="45" t="inlineStr"/>
      <c r="H42" s="45" t="inlineStr"/>
    </row>
    <row r="43" ht="15" customHeight="1">
      <c r="A43" s="49" t="inlineStr">
        <is>
          <t>41</t>
        </is>
      </c>
      <c r="B43" s="49" t="inlineStr">
        <is>
          <t>462</t>
        </is>
      </c>
      <c r="C43" s="49" t="inlineStr">
        <is>
          <t>95</t>
        </is>
      </c>
      <c r="D43" s="49" t="inlineStr">
        <is>
          <t>2994</t>
        </is>
      </c>
      <c r="E43" s="49" t="inlineStr">
        <is>
          <t>2×3×499</t>
        </is>
      </c>
      <c r="F43" s="49" t="inlineStr">
        <is>
          <t>2×3×7×11</t>
        </is>
      </c>
      <c r="G43" s="49" t="inlineStr"/>
      <c r="H43" s="49" t="inlineStr"/>
    </row>
    <row r="44" ht="15" customHeight="1">
      <c r="A44" s="45" t="inlineStr">
        <is>
          <t>42</t>
        </is>
      </c>
      <c r="B44" s="45" t="inlineStr">
        <is>
          <t>570</t>
        </is>
      </c>
      <c r="C44" s="45" t="inlineStr">
        <is>
          <t>77</t>
        </is>
      </c>
      <c r="D44" s="45" t="inlineStr">
        <is>
          <t>38696</t>
        </is>
      </c>
      <c r="E44" s="45" t="inlineStr">
        <is>
          <t>2×2×2×7×691</t>
        </is>
      </c>
      <c r="F44" s="45" t="inlineStr">
        <is>
          <t>2×3×5×19</t>
        </is>
      </c>
      <c r="G44" s="45" t="inlineStr"/>
      <c r="H44" s="45" t="inlineStr"/>
    </row>
    <row r="45" ht="15" customHeight="1">
      <c r="A45" s="27" t="inlineStr">
        <is>
          <t>43</t>
        </is>
      </c>
      <c r="B45" s="27" t="inlineStr">
        <is>
          <t>627</t>
        </is>
      </c>
      <c r="C45" s="27" t="inlineStr">
        <is>
          <t>70</t>
        </is>
      </c>
      <c r="D45" s="27" t="inlineStr">
        <is>
          <t>31153</t>
        </is>
      </c>
      <c r="E45" s="27" t="inlineStr">
        <is>
          <t>31153</t>
        </is>
      </c>
      <c r="F45" s="27" t="inlineStr">
        <is>
          <t>3×11×19</t>
        </is>
      </c>
      <c r="G45" s="27" t="inlineStr">
        <is>
          <t>PRIME</t>
        </is>
      </c>
      <c r="H45" s="27" t="inlineStr"/>
    </row>
    <row r="46" ht="15" customHeight="1">
      <c r="A46" s="45" t="inlineStr">
        <is>
          <t>44</t>
        </is>
      </c>
      <c r="B46" s="45" t="inlineStr">
        <is>
          <t>665</t>
        </is>
      </c>
      <c r="C46" s="45" t="inlineStr">
        <is>
          <t>66</t>
        </is>
      </c>
      <c r="D46" s="45" t="inlineStr">
        <is>
          <t>32432</t>
        </is>
      </c>
      <c r="E46" s="45" t="inlineStr">
        <is>
          <t>2×2×2×2×2027</t>
        </is>
      </c>
      <c r="F46" s="45" t="inlineStr">
        <is>
          <t>5×7×19</t>
        </is>
      </c>
      <c r="G46" s="45" t="inlineStr"/>
      <c r="H46" s="45" t="inlineStr"/>
    </row>
    <row r="47" ht="15" customHeight="1">
      <c r="A47" s="49" t="inlineStr">
        <is>
          <t>45</t>
        </is>
      </c>
      <c r="B47" s="49" t="inlineStr">
        <is>
          <t>770</t>
        </is>
      </c>
      <c r="C47" s="49" t="inlineStr">
        <is>
          <t>57</t>
        </is>
      </c>
      <c r="D47" s="49" t="inlineStr">
        <is>
          <t>21735</t>
        </is>
      </c>
      <c r="E47" s="49" t="inlineStr">
        <is>
          <t>3×3×3×5×7×23</t>
        </is>
      </c>
      <c r="F47" s="49" t="inlineStr">
        <is>
          <t>2×5×7×11</t>
        </is>
      </c>
      <c r="G47" s="49" t="inlineStr"/>
      <c r="H47" s="49" t="inlineStr"/>
    </row>
    <row r="48" ht="15" customHeight="1">
      <c r="A48" s="45" t="inlineStr">
        <is>
          <t>46</t>
        </is>
      </c>
      <c r="B48" s="45" t="inlineStr">
        <is>
          <t>798</t>
        </is>
      </c>
      <c r="C48" s="45" t="inlineStr">
        <is>
          <t>55</t>
        </is>
      </c>
      <c r="D48" s="45" t="inlineStr">
        <is>
          <t>14363</t>
        </is>
      </c>
      <c r="E48" s="45" t="inlineStr">
        <is>
          <t>53×271</t>
        </is>
      </c>
      <c r="F48" s="45" t="inlineStr">
        <is>
          <t>2×3×7×19</t>
        </is>
      </c>
      <c r="G48" s="45" t="inlineStr"/>
      <c r="H48" s="45" t="inlineStr"/>
    </row>
    <row r="49" ht="15" customHeight="1">
      <c r="A49" s="49" t="inlineStr">
        <is>
          <t>47</t>
        </is>
      </c>
      <c r="B49" s="49" t="inlineStr">
        <is>
          <t>1045</t>
        </is>
      </c>
      <c r="C49" s="49" t="inlineStr">
        <is>
          <t>42</t>
        </is>
      </c>
      <c r="D49" s="49" t="inlineStr">
        <is>
          <t>16387</t>
        </is>
      </c>
      <c r="E49" s="49" t="inlineStr">
        <is>
          <t>7×2341</t>
        </is>
      </c>
      <c r="F49" s="49" t="inlineStr">
        <is>
          <t>5×11×19</t>
        </is>
      </c>
      <c r="G49" s="49" t="inlineStr"/>
      <c r="H49" s="49" t="inlineStr"/>
    </row>
    <row r="50" ht="15" customHeight="1">
      <c r="A50" s="45" t="inlineStr">
        <is>
          <t>48</t>
        </is>
      </c>
      <c r="B50" s="45" t="inlineStr">
        <is>
          <t>1155</t>
        </is>
      </c>
      <c r="C50" s="45" t="inlineStr">
        <is>
          <t>38</t>
        </is>
      </c>
      <c r="D50" s="45" t="inlineStr">
        <is>
          <t>13292</t>
        </is>
      </c>
      <c r="E50" s="45" t="inlineStr">
        <is>
          <t>2×2×3323</t>
        </is>
      </c>
      <c r="F50" s="45" t="inlineStr">
        <is>
          <t>3×5×7×11</t>
        </is>
      </c>
      <c r="G50" s="45" t="inlineStr"/>
      <c r="H50" s="45" t="inlineStr"/>
    </row>
    <row r="51" ht="15" customHeight="1">
      <c r="A51" s="49" t="inlineStr">
        <is>
          <t>49</t>
        </is>
      </c>
      <c r="B51" s="49" t="inlineStr">
        <is>
          <t>1254</t>
        </is>
      </c>
      <c r="C51" s="49" t="inlineStr">
        <is>
          <t>35</t>
        </is>
      </c>
      <c r="D51" s="49" t="inlineStr">
        <is>
          <t>35508</t>
        </is>
      </c>
      <c r="E51" s="49" t="inlineStr">
        <is>
          <t>2×2×3×11×269</t>
        </is>
      </c>
      <c r="F51" s="49" t="inlineStr">
        <is>
          <t>2×3×11×19</t>
        </is>
      </c>
      <c r="G51" s="49" t="inlineStr"/>
      <c r="H51" s="49" t="inlineStr"/>
    </row>
    <row r="52" ht="15" customHeight="1">
      <c r="A52" s="45" t="inlineStr">
        <is>
          <t>50</t>
        </is>
      </c>
      <c r="B52" s="45" t="inlineStr">
        <is>
          <t>1330</t>
        </is>
      </c>
      <c r="C52" s="45" t="inlineStr">
        <is>
          <t>33</t>
        </is>
      </c>
      <c r="D52" s="45" t="inlineStr">
        <is>
          <t>30700</t>
        </is>
      </c>
      <c r="E52" s="45" t="inlineStr">
        <is>
          <t>2×2×5×5×307</t>
        </is>
      </c>
      <c r="F52" s="45" t="inlineStr">
        <is>
          <t>2×5×7×19</t>
        </is>
      </c>
      <c r="G52" s="45" t="inlineStr"/>
      <c r="H52" s="45" t="inlineStr"/>
    </row>
    <row r="53" ht="15" customHeight="1">
      <c r="A53" s="49" t="inlineStr">
        <is>
          <t>51</t>
        </is>
      </c>
      <c r="B53" s="49" t="inlineStr">
        <is>
          <t>1463</t>
        </is>
      </c>
      <c r="C53" s="49" t="inlineStr">
        <is>
          <t>30</t>
        </is>
      </c>
      <c r="D53" s="49" t="inlineStr">
        <is>
          <t>5633</t>
        </is>
      </c>
      <c r="E53" s="49" t="inlineStr">
        <is>
          <t>43×131</t>
        </is>
      </c>
      <c r="F53" s="49" t="inlineStr">
        <is>
          <t>7×11×19</t>
        </is>
      </c>
      <c r="G53" s="49" t="inlineStr"/>
      <c r="H53" s="49" t="inlineStr"/>
    </row>
    <row r="54" ht="15" customHeight="1">
      <c r="A54" s="45" t="inlineStr">
        <is>
          <t>52</t>
        </is>
      </c>
      <c r="B54" s="45" t="inlineStr">
        <is>
          <t>1995</t>
        </is>
      </c>
      <c r="C54" s="45" t="inlineStr">
        <is>
          <t>22</t>
        </is>
      </c>
      <c r="D54" s="45" t="inlineStr">
        <is>
          <t>38956</t>
        </is>
      </c>
      <c r="E54" s="45" t="inlineStr">
        <is>
          <t>2×2×9739</t>
        </is>
      </c>
      <c r="F54" s="45" t="inlineStr">
        <is>
          <t>3×5×7×19</t>
        </is>
      </c>
      <c r="G54" s="45" t="inlineStr"/>
      <c r="H54" s="45" t="inlineStr"/>
    </row>
    <row r="55" ht="15" customHeight="1">
      <c r="A55" s="49" t="inlineStr">
        <is>
          <t>53</t>
        </is>
      </c>
      <c r="B55" s="49" t="inlineStr">
        <is>
          <t>2090</t>
        </is>
      </c>
      <c r="C55" s="49" t="inlineStr">
        <is>
          <t>21</t>
        </is>
      </c>
      <c r="D55" s="49" t="inlineStr">
        <is>
          <t>8631</t>
        </is>
      </c>
      <c r="E55" s="49" t="inlineStr">
        <is>
          <t>3×3×7×137</t>
        </is>
      </c>
      <c r="F55" s="49" t="inlineStr">
        <is>
          <t>2×5×11×19</t>
        </is>
      </c>
      <c r="G55" s="49" t="inlineStr"/>
      <c r="H55" s="49" t="inlineStr"/>
    </row>
    <row r="56" ht="15" customHeight="1">
      <c r="A56" s="45" t="inlineStr">
        <is>
          <t>54</t>
        </is>
      </c>
      <c r="B56" s="45" t="inlineStr">
        <is>
          <t>2310</t>
        </is>
      </c>
      <c r="C56" s="45" t="inlineStr">
        <is>
          <t>19</t>
        </is>
      </c>
      <c r="D56" s="45" t="inlineStr">
        <is>
          <t>15989</t>
        </is>
      </c>
      <c r="E56" s="45" t="inlineStr">
        <is>
          <t>59×271</t>
        </is>
      </c>
      <c r="F56" s="45" t="inlineStr">
        <is>
          <t>2×3×5×7×11</t>
        </is>
      </c>
      <c r="G56" s="45" t="inlineStr"/>
      <c r="H56" s="45" t="inlineStr"/>
    </row>
    <row r="57" ht="15" customHeight="1">
      <c r="A57" s="27" t="inlineStr">
        <is>
          <t>55</t>
        </is>
      </c>
      <c r="B57" s="27" t="inlineStr">
        <is>
          <t>2926</t>
        </is>
      </c>
      <c r="C57" s="27" t="inlineStr">
        <is>
          <t>15</t>
        </is>
      </c>
      <c r="D57" s="27" t="inlineStr">
        <is>
          <t>41387</t>
        </is>
      </c>
      <c r="E57" s="27" t="inlineStr">
        <is>
          <t>41387</t>
        </is>
      </c>
      <c r="F57" s="27" t="inlineStr">
        <is>
          <t>2×7×11×19</t>
        </is>
      </c>
      <c r="G57" s="27" t="inlineStr">
        <is>
          <t>PRIME</t>
        </is>
      </c>
      <c r="H57" s="27" t="inlineStr"/>
    </row>
    <row r="58" ht="15" customHeight="1">
      <c r="A58" s="45" t="inlineStr">
        <is>
          <t>56</t>
        </is>
      </c>
      <c r="B58" s="45" t="inlineStr">
        <is>
          <t>3135</t>
        </is>
      </c>
      <c r="C58" s="45" t="inlineStr">
        <is>
          <t>14</t>
        </is>
      </c>
      <c r="D58" s="45" t="inlineStr">
        <is>
          <t>19395</t>
        </is>
      </c>
      <c r="E58" s="45" t="inlineStr">
        <is>
          <t>3×3×5×431</t>
        </is>
      </c>
      <c r="F58" s="45" t="inlineStr">
        <is>
          <t>3×5×11×19</t>
        </is>
      </c>
      <c r="G58" s="45" t="inlineStr"/>
      <c r="H58" s="45" t="inlineStr"/>
    </row>
    <row r="59" ht="15" customHeight="1">
      <c r="A59" s="27" t="inlineStr">
        <is>
          <t>57</t>
        </is>
      </c>
      <c r="B59" s="27" t="inlineStr">
        <is>
          <t>3990</t>
        </is>
      </c>
      <c r="C59" s="27" t="inlineStr">
        <is>
          <t>11</t>
        </is>
      </c>
      <c r="D59" s="27" t="inlineStr">
        <is>
          <t>38611</t>
        </is>
      </c>
      <c r="E59" s="27" t="inlineStr">
        <is>
          <t>38611</t>
        </is>
      </c>
      <c r="F59" s="27" t="inlineStr">
        <is>
          <t>2×3×5×7×19</t>
        </is>
      </c>
      <c r="G59" s="27" t="inlineStr">
        <is>
          <t>PRIME</t>
        </is>
      </c>
      <c r="H59" s="27" t="inlineStr"/>
    </row>
    <row r="60" ht="15" customHeight="1">
      <c r="A60" s="45" t="inlineStr">
        <is>
          <t>58</t>
        </is>
      </c>
      <c r="B60" s="45" t="inlineStr">
        <is>
          <t>4389</t>
        </is>
      </c>
      <c r="C60" s="45" t="inlineStr">
        <is>
          <t>10</t>
        </is>
      </c>
      <c r="D60" s="45" t="inlineStr">
        <is>
          <t>27870</t>
        </is>
      </c>
      <c r="E60" s="45" t="inlineStr">
        <is>
          <t>2×3×5×929</t>
        </is>
      </c>
      <c r="F60" s="45" t="inlineStr">
        <is>
          <t>3×7×11×19</t>
        </is>
      </c>
      <c r="G60" s="45" t="inlineStr"/>
      <c r="H60" s="45" t="inlineStr"/>
    </row>
    <row r="61" ht="15" customHeight="1">
      <c r="A61" s="49" t="inlineStr">
        <is>
          <t>59</t>
        </is>
      </c>
      <c r="B61" s="49" t="inlineStr">
        <is>
          <t>6270</t>
        </is>
      </c>
      <c r="C61" s="49" t="inlineStr">
        <is>
          <t>7</t>
        </is>
      </c>
      <c r="D61" s="49" t="inlineStr">
        <is>
          <t>20155</t>
        </is>
      </c>
      <c r="E61" s="49" t="inlineStr">
        <is>
          <t>5×29×139</t>
        </is>
      </c>
      <c r="F61" s="49" t="inlineStr">
        <is>
          <t>2×3×5×11×19</t>
        </is>
      </c>
      <c r="G61" s="49" t="inlineStr"/>
      <c r="H61" s="49" t="inlineStr"/>
    </row>
    <row r="62" ht="15" customHeight="1">
      <c r="A62" s="23" t="inlineStr">
        <is>
          <t>60</t>
        </is>
      </c>
      <c r="B62" s="23" t="inlineStr">
        <is>
          <t>7315</t>
        </is>
      </c>
      <c r="C62" s="23" t="inlineStr">
        <is>
          <t>6</t>
        </is>
      </c>
      <c r="D62" s="23" t="inlineStr">
        <is>
          <t>210</t>
        </is>
      </c>
      <c r="E62" s="23" t="inlineStr">
        <is>
          <t>2×3×5×7</t>
        </is>
      </c>
      <c r="F62" s="23" t="inlineStr">
        <is>
          <t>5×7×11×19</t>
        </is>
      </c>
      <c r="G62" s="23" t="inlineStr"/>
      <c r="H62" s="23" t="inlineStr">
        <is>
          <t>P(7)# · bus primorial</t>
        </is>
      </c>
    </row>
    <row r="63" ht="15" customHeight="1">
      <c r="A63" s="49" t="inlineStr">
        <is>
          <t>61</t>
        </is>
      </c>
      <c r="B63" s="49" t="inlineStr">
        <is>
          <t>8778</t>
        </is>
      </c>
      <c r="C63" s="49" t="inlineStr">
        <is>
          <t>5</t>
        </is>
      </c>
      <c r="D63" s="49" t="inlineStr">
        <is>
          <t>41764</t>
        </is>
      </c>
      <c r="E63" s="49" t="inlineStr">
        <is>
          <t>2×2×53×197</t>
        </is>
      </c>
      <c r="F63" s="49" t="inlineStr">
        <is>
          <t>2×3×7×11×19</t>
        </is>
      </c>
      <c r="G63" s="49" t="inlineStr"/>
      <c r="H63" s="49" t="inlineStr"/>
    </row>
    <row r="64" ht="15" customHeight="1">
      <c r="A64" s="25" t="inlineStr">
        <is>
          <t>62</t>
        </is>
      </c>
      <c r="B64" s="25" t="inlineStr">
        <is>
          <t>14630</t>
        </is>
      </c>
      <c r="C64" s="25" t="inlineStr">
        <is>
          <t>3</t>
        </is>
      </c>
      <c r="D64" s="25" t="inlineStr">
        <is>
          <t>209</t>
        </is>
      </c>
      <c r="E64" s="25" t="inlineStr">
        <is>
          <t>11×19</t>
        </is>
      </c>
      <c r="F64" s="25" t="inlineStr">
        <is>
          <t>2×5×7×11×19</t>
        </is>
      </c>
      <c r="G64" s="25" t="inlineStr"/>
      <c r="H64" s="25" t="inlineStr">
        <is>
          <t>11×19 · alignment×copin</t>
        </is>
      </c>
    </row>
    <row r="65" ht="15" customHeight="1">
      <c r="A65" s="21" t="inlineStr">
        <is>
          <t>63</t>
        </is>
      </c>
      <c r="B65" s="21" t="inlineStr">
        <is>
          <t>21945</t>
        </is>
      </c>
      <c r="C65" s="21" t="inlineStr">
        <is>
          <t>2</t>
        </is>
      </c>
      <c r="D65" s="21" t="inlineStr">
        <is>
          <t>43890</t>
        </is>
      </c>
      <c r="E65" s="21" t="inlineStr">
        <is>
          <t>2×3×5×7×11×19</t>
        </is>
      </c>
      <c r="F65" s="21" t="inlineStr">
        <is>
          <t>3×5×7×11×19</t>
        </is>
      </c>
      <c r="G65" s="21" t="inlineStr"/>
      <c r="H65" s="21" t="inlineStr">
        <is>
          <t>orbit period · −1 mod 43891 · spinor half-turn</t>
        </is>
      </c>
    </row>
    <row r="66" ht="15" customHeight="1">
      <c r="A66" s="45" t="inlineStr">
        <is>
          <t>64</t>
        </is>
      </c>
      <c r="B66" s="45" t="inlineStr">
        <is>
          <t>43890</t>
        </is>
      </c>
      <c r="C66" s="45" t="inlineStr">
        <is>
          <t>1</t>
        </is>
      </c>
      <c r="D66" s="45" t="inlineStr">
        <is>
          <t>1</t>
        </is>
      </c>
      <c r="E66" s="45" t="inlineStr">
        <is>
          <t>1</t>
        </is>
      </c>
      <c r="F66" s="45" t="inlineStr">
        <is>
          <t>2×3×5×7×11×19</t>
        </is>
      </c>
      <c r="G66" s="45" t="inlineStr"/>
      <c r="H66" s="4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0" customWidth="1" min="5" max="5"/>
    <col width="24" customWidth="1" min="6" max="6"/>
    <col width="44" customWidth="1" min="7" max="7"/>
  </cols>
  <sheetData>
    <row r="1" ht="26" customHeight="1">
      <c r="A1" s="52" t="inlineStr">
        <is>
          <t>PRIME HARMONIC NODES — Primes at Divisor Steps  ·  Fundamental Tones of the Orbit Field</t>
        </is>
      </c>
      <c r="B1" s="11" t="n"/>
      <c r="C1" s="11" t="n"/>
      <c r="D1" s="11" t="n"/>
      <c r="E1" s="11" t="n"/>
      <c r="F1" s="11" t="n"/>
      <c r="G1" s="12" t="n"/>
    </row>
    <row r="2" ht="22" customHeight="1">
      <c r="A2" s="47" t="inlineStr">
        <is>
          <t>#</t>
        </is>
      </c>
      <c r="B2" s="47" t="inlineStr">
        <is>
          <t>d (step)</t>
        </is>
      </c>
      <c r="C2" s="47" t="inlineStr">
        <is>
          <t>Freq</t>
        </is>
      </c>
      <c r="D2" s="47" t="inlineStr">
        <is>
          <t>Prime p</t>
        </is>
      </c>
      <c r="E2" s="47" t="inlineStr">
        <is>
          <t>Step Factors</t>
        </is>
      </c>
      <c r="F2" s="47" t="inlineStr">
        <is>
          <t>p−1 Factors</t>
        </is>
      </c>
      <c r="G2" s="47" t="inlineStr">
        <is>
          <t>Notes</t>
        </is>
      </c>
    </row>
    <row r="3" ht="22" customHeight="1">
      <c r="A3" s="53" t="inlineStr">
        <is>
          <t>1</t>
        </is>
      </c>
      <c r="B3" s="53" t="inlineStr">
        <is>
          <t>1</t>
        </is>
      </c>
      <c r="C3" s="53" t="inlineStr">
        <is>
          <t>43890</t>
        </is>
      </c>
      <c r="D3" s="53" t="inlineStr">
        <is>
          <t>3</t>
        </is>
      </c>
      <c r="E3" s="53" t="inlineStr">
        <is>
          <t>1</t>
        </is>
      </c>
      <c r="F3" s="53" t="inlineStr">
        <is>
          <t>2</t>
        </is>
      </c>
      <c r="G3" s="53" t="inlineStr">
        <is>
          <t>ternary · orbit generator · L1 anchor. The seed. Everything emerges from this.</t>
        </is>
      </c>
    </row>
    <row r="4" ht="22" customHeight="1">
      <c r="A4" s="53" t="inlineStr">
        <is>
          <t>2</t>
        </is>
      </c>
      <c r="B4" s="53" t="inlineStr">
        <is>
          <t>11</t>
        </is>
      </c>
      <c r="C4" s="53" t="inlineStr">
        <is>
          <t>3990</t>
        </is>
      </c>
      <c r="D4" s="53" t="inlineStr">
        <is>
          <t>1583</t>
        </is>
      </c>
      <c r="E4" s="53" t="inlineStr">
        <is>
          <t>11</t>
        </is>
      </c>
      <c r="F4" s="53" t="inlineStr">
        <is>
          <t>2×7×113</t>
        </is>
      </c>
      <c r="G4" s="53" t="inlineStr">
        <is>
          <t>Alignment harmonic. 1583−1=2×7×113. Tower×weak-E8-gate-BP in period.</t>
        </is>
      </c>
    </row>
    <row r="5" ht="22" customHeight="1">
      <c r="A5" s="53" t="inlineStr">
        <is>
          <t>3</t>
        </is>
      </c>
      <c r="B5" s="53" t="inlineStr">
        <is>
          <t>30</t>
        </is>
      </c>
      <c r="C5" s="53" t="inlineStr">
        <is>
          <t>1463</t>
        </is>
      </c>
      <c r="D5" s="53" t="inlineStr">
        <is>
          <t>8039</t>
        </is>
      </c>
      <c r="E5" s="53" t="inlineStr">
        <is>
          <t>2×3×5</t>
        </is>
      </c>
      <c r="F5" s="53" t="inlineStr">
        <is>
          <t>2×4019</t>
        </is>
      </c>
      <c r="G5" s="53" t="inlineStr">
        <is>
          <t>E8 ring-clock harmonic (2×3×5). 8039−1=2×4019. Pure bus step.</t>
        </is>
      </c>
    </row>
    <row r="6" ht="22" customHeight="1">
      <c r="A6" s="53" t="inlineStr">
        <is>
          <t>4</t>
        </is>
      </c>
      <c r="B6" s="53" t="inlineStr">
        <is>
          <t>35</t>
        </is>
      </c>
      <c r="C6" s="53" t="inlineStr">
        <is>
          <t>1254</t>
        </is>
      </c>
      <c r="D6" s="53" t="inlineStr">
        <is>
          <t>22273</t>
        </is>
      </c>
      <c r="E6" s="53" t="inlineStr">
        <is>
          <t>5×7</t>
        </is>
      </c>
      <c r="F6" s="53" t="inlineStr">
        <is>
          <t>2×2×2×2×2×2×2×2×3×29</t>
        </is>
      </c>
      <c r="G6" s="53" t="inlineStr">
        <is>
          <t>Pentac×tower harmonic (5×7). 22273−1=2×3×7×23×23.</t>
        </is>
      </c>
    </row>
    <row r="7" ht="22" customHeight="1">
      <c r="A7" s="53" t="inlineStr">
        <is>
          <t>5</t>
        </is>
      </c>
      <c r="B7" s="53" t="inlineStr">
        <is>
          <t>266</t>
        </is>
      </c>
      <c r="C7" s="53" t="inlineStr">
        <is>
          <t>165</t>
        </is>
      </c>
      <c r="D7" s="53" t="inlineStr">
        <is>
          <t>3919</t>
        </is>
      </c>
      <c r="E7" s="53" t="inlineStr">
        <is>
          <t>2×7×19</t>
        </is>
      </c>
      <c r="F7" s="53" t="inlineStr">
        <is>
          <t>2×3×653</t>
        </is>
      </c>
      <c r="G7" s="53" t="inlineStr">
        <is>
          <t>2×7×19 harmonic. 3919−1=2×3×653. Co-pin in step.</t>
        </is>
      </c>
    </row>
    <row r="8" ht="22" customHeight="1">
      <c r="A8" s="53" t="inlineStr">
        <is>
          <t>6</t>
        </is>
      </c>
      <c r="B8" s="53" t="inlineStr">
        <is>
          <t>627</t>
        </is>
      </c>
      <c r="C8" s="53" t="inlineStr">
        <is>
          <t>70</t>
        </is>
      </c>
      <c r="D8" s="53" t="inlineStr">
        <is>
          <t>31153</t>
        </is>
      </c>
      <c r="E8" s="53" t="inlineStr">
        <is>
          <t>3×11×19</t>
        </is>
      </c>
      <c r="F8" s="53" t="inlineStr">
        <is>
          <t>2×2×2×2×3×11×59</t>
        </is>
      </c>
      <c r="G8" s="53" t="inlineStr">
        <is>
          <t>3×11×19 harmonic (ternary×alignment×copin). 31153−1=2⁴×3²×7×31.</t>
        </is>
      </c>
    </row>
    <row r="9" ht="22" customHeight="1">
      <c r="A9" s="53" t="inlineStr">
        <is>
          <t>7</t>
        </is>
      </c>
      <c r="B9" s="53" t="inlineStr">
        <is>
          <t>2926</t>
        </is>
      </c>
      <c r="C9" s="53" t="inlineStr">
        <is>
          <t>15</t>
        </is>
      </c>
      <c r="D9" s="53" t="inlineStr">
        <is>
          <t>41387</t>
        </is>
      </c>
      <c r="E9" s="53" t="inlineStr">
        <is>
          <t>2×7×11×19</t>
        </is>
      </c>
      <c r="F9" s="53" t="inlineStr">
        <is>
          <t>2×20693</t>
        </is>
      </c>
      <c r="G9" s="53" t="inlineStr">
        <is>
          <t>2×7×11×19 harmonic. 41387−1=2×20693 (prime).</t>
        </is>
      </c>
    </row>
    <row r="10" ht="22" customHeight="1">
      <c r="A10" s="53" t="inlineStr">
        <is>
          <t>8</t>
        </is>
      </c>
      <c r="B10" s="53" t="inlineStr">
        <is>
          <t>3990</t>
        </is>
      </c>
      <c r="C10" s="53" t="inlineStr">
        <is>
          <t>11</t>
        </is>
      </c>
      <c r="D10" s="53" t="inlineStr">
        <is>
          <t>38611</t>
        </is>
      </c>
      <c r="E10" s="53" t="inlineStr">
        <is>
          <t>2×3×5×7×19</t>
        </is>
      </c>
      <c r="F10" s="53" t="inlineStr">
        <is>
          <t>2×3×3×3×5×11×13</t>
        </is>
      </c>
      <c r="G10" s="53" t="inlineStr">
        <is>
          <t>2×3×5×7×19 harmonic (all orbit primes except alignment). 38611−1=2×3×5×7×367.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  <col width="46" customWidth="1" min="7" max="7"/>
  </cols>
  <sheetData>
    <row r="1" ht="26" customHeight="1">
      <c r="A1" s="52" t="inlineStr">
        <is>
          <t>THE HARMONIC TRIAD</t>
        </is>
      </c>
      <c r="B1" s="11" t="n"/>
      <c r="C1" s="11" t="n"/>
      <c r="D1" s="11" t="n"/>
      <c r="E1" s="11" t="n"/>
      <c r="F1" s="11" t="n"/>
      <c r="G1" s="12" t="n"/>
    </row>
    <row r="2" ht="22" customHeight="1">
      <c r="A2" s="47" t="inlineStr">
        <is>
          <t>d</t>
        </is>
      </c>
      <c r="B2" s="47" t="inlineStr">
        <is>
          <t>Orbit fraction</t>
        </is>
      </c>
      <c r="C2" s="47" t="inlineStr">
        <is>
          <t>Freq</t>
        </is>
      </c>
      <c r="D2" s="47" t="inlineStr">
        <is>
          <t>rec10(d)</t>
        </is>
      </c>
      <c r="E2" s="47" t="inlineStr">
        <is>
          <t>Value</t>
        </is>
      </c>
      <c r="F2" s="47" t="inlineStr">
        <is>
          <t>Factors</t>
        </is>
      </c>
      <c r="G2" s="47" t="inlineStr">
        <is>
          <t>Identity</t>
        </is>
      </c>
    </row>
    <row r="3" ht="28" customHeight="1">
      <c r="A3" s="54" t="inlineStr">
        <is>
          <t>7315</t>
        </is>
      </c>
      <c r="B3" s="54" t="inlineStr">
        <is>
          <t>orbit/6</t>
        </is>
      </c>
      <c r="C3" s="54" t="inlineStr">
        <is>
          <t>6</t>
        </is>
      </c>
      <c r="D3" s="54" t="inlineStr">
        <is>
          <t>210</t>
        </is>
      </c>
      <c r="E3" s="54" t="inlineStr">
        <is>
          <t>2×3×5×7</t>
        </is>
      </c>
      <c r="F3" s="54" t="inlineStr">
        <is>
          <t>BUS PRIMORIAL — all four bus primes together. P(7)#. Step=5×7×11×19.</t>
        </is>
      </c>
    </row>
    <row r="4" ht="28" customHeight="1">
      <c r="A4" s="55" t="inlineStr">
        <is>
          <t>14630</t>
        </is>
      </c>
      <c r="B4" s="55" t="inlineStr">
        <is>
          <t>orbit/3</t>
        </is>
      </c>
      <c r="C4" s="55" t="inlineStr">
        <is>
          <t>3</t>
        </is>
      </c>
      <c r="D4" s="55" t="inlineStr">
        <is>
          <t>209</t>
        </is>
      </c>
      <c r="E4" s="55" t="inlineStr">
        <is>
          <t>11×19</t>
        </is>
      </c>
      <c r="F4" s="55" t="inlineStr">
        <is>
          <t>UPPER PRIMORIAL — alignment×copin. Both upper orbit primes.</t>
        </is>
      </c>
    </row>
    <row r="5" ht="28" customHeight="1">
      <c r="A5" s="56" t="inlineStr">
        <is>
          <t>21945</t>
        </is>
      </c>
      <c r="B5" s="56" t="inlineStr">
        <is>
          <t>orbit/2</t>
        </is>
      </c>
      <c r="C5" s="56" t="inlineStr">
        <is>
          <t>2</t>
        </is>
      </c>
      <c r="D5" s="56" t="inlineStr">
        <is>
          <t>43890</t>
        </is>
      </c>
      <c r="E5" s="56" t="inlineStr">
        <is>
          <t>2×3×5×7×11×19</t>
        </is>
      </c>
      <c r="F5" s="56" t="inlineStr">
        <is>
          <t>ORBIT PERIOD = −1 mod 43891. SPINOR HALF-TURN. SU(2) double cover.</t>
        </is>
      </c>
    </row>
    <row r="6" ht="22" customHeight="1">
      <c r="B6" s="57" t="inlineStr">
        <is>
          <t>210 × 209 = 43890  ✓   (bus primorial × upper primorial = orbit period)</t>
        </is>
      </c>
    </row>
    <row r="8" ht="26" customHeight="1">
      <c r="A8" s="52" t="inlineStr">
        <is>
          <t>MUSICAL INTERVAL CORRESPONDENCES  (reference — for future musical study)</t>
        </is>
      </c>
      <c r="B8" s="11" t="n"/>
      <c r="C8" s="11" t="n"/>
      <c r="D8" s="11" t="n"/>
      <c r="E8" s="11" t="n"/>
      <c r="F8" s="11" t="n"/>
      <c r="G8" s="12" t="n"/>
    </row>
    <row r="9" ht="20" customHeight="1">
      <c r="B9" s="58" t="inlineStr">
        <is>
          <t>The bus primes {2,3,5,7} define both just intonation AND the orbit bus structure. Kept here as reference for the planned musical study.</t>
        </is>
      </c>
    </row>
    <row r="10" ht="22" customHeight="1">
      <c r="A10" s="47" t="inlineStr">
        <is>
          <t>Interval</t>
        </is>
      </c>
      <c r="B10" s="47" t="inlineStr">
        <is>
          <t>Ratio</t>
        </is>
      </c>
      <c r="C10" s="47" t="inlineStr">
        <is>
          <t>SD identity</t>
        </is>
      </c>
      <c r="D10" s="47" t="inlineStr">
        <is>
          <t>Orbit gap (steps)</t>
        </is>
      </c>
      <c r="E10" s="47" t="inlineStr">
        <is>
          <t>Gap factors</t>
        </is>
      </c>
      <c r="F10" s="47" t="inlineStr">
        <is>
          <t>—</t>
        </is>
      </c>
      <c r="G10" s="47" t="inlineStr">
        <is>
          <t>Notes</t>
        </is>
      </c>
    </row>
    <row r="11" ht="16" customHeight="1">
      <c r="A11" s="45" t="inlineStr">
        <is>
          <t>Unison</t>
        </is>
      </c>
      <c r="B11" s="45" t="inlineStr">
        <is>
          <t>1:1</t>
        </is>
      </c>
      <c r="C11" s="45" t="inlineStr">
        <is>
          <t>Identity</t>
        </is>
      </c>
      <c r="D11" s="45" t="inlineStr">
        <is>
          <t>0</t>
        </is>
      </c>
      <c r="E11" s="45" t="inlineStr">
        <is>
          <t>—</t>
        </is>
      </c>
      <c r="F11" s="45" t="inlineStr"/>
      <c r="G11" s="45" t="inlineStr">
        <is>
          <t>Identity. The orbit returns to itself.</t>
        </is>
      </c>
    </row>
    <row r="12" ht="16" customHeight="1">
      <c r="A12" s="49" t="inlineStr">
        <is>
          <t>Octave</t>
        </is>
      </c>
      <c r="B12" s="49" t="inlineStr">
        <is>
          <t>2:1</t>
        </is>
      </c>
      <c r="C12" s="49" t="inlineStr">
        <is>
          <t>Binary harmonic</t>
        </is>
      </c>
      <c r="D12" s="49" t="inlineStr">
        <is>
          <t>21945</t>
        </is>
      </c>
      <c r="E12" s="49" t="inlineStr">
        <is>
          <t>3×5×7×11×19</t>
        </is>
      </c>
      <c r="F12" s="49" t="inlineStr"/>
      <c r="G12" s="49" t="inlineStr">
        <is>
          <t>Half orbit. Spinor node. rec10=−1.</t>
        </is>
      </c>
    </row>
    <row r="13" ht="16" customHeight="1">
      <c r="A13" s="45" t="inlineStr">
        <is>
          <t>Perfect fifth</t>
        </is>
      </c>
      <c r="B13" s="45" t="inlineStr">
        <is>
          <t>3:2</t>
        </is>
      </c>
      <c r="C13" s="45" t="inlineStr">
        <is>
          <t>Ternary:binary</t>
        </is>
      </c>
      <c r="D13" s="45" t="inlineStr">
        <is>
          <t>7315</t>
        </is>
      </c>
      <c r="E13" s="45" t="inlineStr">
        <is>
          <t>5×7×11×19</t>
        </is>
      </c>
      <c r="F13" s="45" t="inlineStr"/>
      <c r="G13" s="45" t="inlineStr">
        <is>
          <t>Bus primorial step. rec10=210=2×3×5×7.</t>
        </is>
      </c>
    </row>
    <row r="14" ht="16" customHeight="1">
      <c r="A14" s="49" t="inlineStr">
        <is>
          <t>Minor third</t>
        </is>
      </c>
      <c r="B14" s="49" t="inlineStr">
        <is>
          <t>6:5</t>
        </is>
      </c>
      <c r="C14" s="49" t="inlineStr">
        <is>
          <t>Ring:pentac</t>
        </is>
      </c>
      <c r="D14" s="49" t="inlineStr">
        <is>
          <t>1463</t>
        </is>
      </c>
      <c r="E14" s="49" t="inlineStr">
        <is>
          <t>7×11×19</t>
        </is>
      </c>
      <c r="F14" s="49" t="inlineStr"/>
      <c r="G14" s="49" t="inlineStr">
        <is>
          <t>Tower×alignment×copin.</t>
        </is>
      </c>
    </row>
    <row r="15" ht="16" customHeight="1">
      <c r="A15" s="45" t="inlineStr">
        <is>
          <t>Harmonic 11th</t>
        </is>
      </c>
      <c r="B15" s="45" t="inlineStr">
        <is>
          <t>11:8</t>
        </is>
      </c>
      <c r="C15" s="45" t="inlineStr">
        <is>
          <t>Alignment:QD(8)</t>
        </is>
      </c>
      <c r="D15" s="45" t="inlineStr">
        <is>
          <t>3990</t>
        </is>
      </c>
      <c r="E15" s="45" t="inlineStr">
        <is>
          <t>2×3×5×7×19</t>
        </is>
      </c>
      <c r="F15" s="45" t="inlineStr"/>
      <c r="G15" s="45" t="inlineStr">
        <is>
          <t>rec10(3990)=38611 (prime harmonic node).</t>
        </is>
      </c>
    </row>
    <row r="16" ht="16" customHeight="1">
      <c r="A16" s="49" t="inlineStr">
        <is>
          <t>Harmonic 19th</t>
        </is>
      </c>
      <c r="B16" s="49" t="inlineStr">
        <is>
          <t>19:?</t>
        </is>
      </c>
      <c r="C16" s="49" t="inlineStr">
        <is>
          <t>Co-pin</t>
        </is>
      </c>
      <c r="D16" s="49" t="inlineStr">
        <is>
          <t>2310</t>
        </is>
      </c>
      <c r="E16" s="49" t="inlineStr">
        <is>
          <t>2×3×5×7×11</t>
        </is>
      </c>
      <c r="F16" s="49" t="inlineStr"/>
      <c r="G16" s="49" t="inlineStr">
        <is>
          <t>orbit/19=2310=P(11)#. Inner primorial.</t>
        </is>
      </c>
    </row>
  </sheetData>
  <mergeCells count="4">
    <mergeCell ref="A8:G8"/>
    <mergeCell ref="A1:G1"/>
    <mergeCell ref="B9:G9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46" customWidth="1" min="8" max="8"/>
  </cols>
  <sheetData>
    <row r="1" ht="26" customHeight="1">
      <c r="A1" s="52" t="inlineStr">
        <is>
          <t>BEAT FREQUENCIES — Coupling Constants as Orbit Interference</t>
        </is>
      </c>
      <c r="B1" s="11" t="n"/>
      <c r="C1" s="11" t="n"/>
      <c r="D1" s="11" t="n"/>
      <c r="E1" s="11" t="n"/>
      <c r="F1" s="11" t="n"/>
      <c r="G1" s="11" t="n"/>
      <c r="H1" s="12" t="n"/>
    </row>
    <row r="2" ht="30" customHeight="1">
      <c r="B2" s="59" t="inlineStr">
        <is>
          <t>Steps 9027, 9426, 16388 are NOT harmonic nodes (not divisors of 43890). They are beats — interference between harmonics. Their values (137, 25, 59) are the coupling constants. Identity: 137+25+59=221=13×17.</t>
        </is>
      </c>
    </row>
    <row r="4" ht="22" customHeight="1">
      <c r="A4" s="47" t="inlineStr">
        <is>
          <t>Coupling</t>
        </is>
      </c>
      <c r="B4" s="47" t="inlineStr">
        <is>
          <t>Step</t>
        </is>
      </c>
      <c r="C4" s="47" t="inlineStr">
        <is>
          <t>rec10</t>
        </is>
      </c>
      <c r="D4" s="47" t="inlineStr">
        <is>
          <t>Harm↓</t>
        </is>
      </c>
      <c r="E4" s="47" t="inlineStr">
        <is>
          <t>Harm↑</t>
        </is>
      </c>
      <c r="F4" s="47" t="inlineStr">
        <is>
          <t>Excess</t>
        </is>
      </c>
      <c r="G4" s="47" t="inlineStr">
        <is>
          <t>Ratio</t>
        </is>
      </c>
      <c r="H4" s="47" t="inlineStr">
        <is>
          <t>Notes</t>
        </is>
      </c>
    </row>
    <row r="5" ht="38" customHeight="1">
      <c r="A5" s="29" t="inlineStr">
        <is>
          <t>EM  1/α</t>
        </is>
      </c>
      <c r="B5" s="29" t="inlineStr">
        <is>
          <t>9027</t>
        </is>
      </c>
      <c r="C5" s="29" t="inlineStr">
        <is>
          <t>137</t>
        </is>
      </c>
      <c r="D5" s="29" t="inlineStr">
        <is>
          <t>8778 (2×3×7×11×19)</t>
        </is>
      </c>
      <c r="E5" s="29" t="inlineStr">
        <is>
          <t>14630 (2×5×7×11×19)</t>
        </is>
      </c>
      <c r="F5" s="29" t="inlineStr">
        <is>
          <t>249=3×83</t>
        </is>
      </c>
      <c r="G5" s="29" t="inlineStr">
        <is>
          <t>1.0284</t>
        </is>
      </c>
      <c r="H5" s="29" t="inlineStr">
        <is>
          <t>9027=3²×17×59. 17 and 59: excluded EM generator and strong denom.</t>
        </is>
      </c>
    </row>
    <row r="6" ht="38" customHeight="1">
      <c r="A6" s="29" t="inlineStr">
        <is>
          <t>Weak θ_W</t>
        </is>
      </c>
      <c r="B6" s="29" t="inlineStr">
        <is>
          <t>9426</t>
        </is>
      </c>
      <c r="C6" s="29" t="inlineStr">
        <is>
          <t>25</t>
        </is>
      </c>
      <c r="D6" s="29" t="inlineStr">
        <is>
          <t>8778 (2×3×7×11×19)</t>
        </is>
      </c>
      <c r="E6" s="29" t="inlineStr">
        <is>
          <t>14630 (2×5×7×11×19)</t>
        </is>
      </c>
      <c r="F6" s="29" t="inlineStr">
        <is>
          <t>648=2³×3⁴</t>
        </is>
      </c>
      <c r="G6" s="29" t="inlineStr">
        <is>
          <t>1.0738</t>
        </is>
      </c>
      <c r="H6" s="29" t="inlineStr">
        <is>
          <t>9426=2×3×1571. Excess=648=8×81=QD×L4 anchor.</t>
        </is>
      </c>
    </row>
    <row r="7" ht="38" customHeight="1">
      <c r="A7" s="29" t="inlineStr">
        <is>
          <t>Strong α_s</t>
        </is>
      </c>
      <c r="B7" s="29" t="inlineStr">
        <is>
          <t>16388</t>
        </is>
      </c>
      <c r="C7" s="29" t="inlineStr">
        <is>
          <t>59</t>
        </is>
      </c>
      <c r="D7" s="29" t="inlineStr">
        <is>
          <t>14630 (2×5×7×11×19)</t>
        </is>
      </c>
      <c r="E7" s="29" t="inlineStr">
        <is>
          <t>21945 (3×5×7×11×19)</t>
        </is>
      </c>
      <c r="F7" s="29" t="inlineStr">
        <is>
          <t>1758=2×3×293</t>
        </is>
      </c>
      <c r="G7" s="29" t="inlineStr">
        <is>
          <t>1.1202</t>
        </is>
      </c>
      <c r="H7" s="29" t="inlineStr">
        <is>
          <t>16388=2²×17×241. Between 3rd and 2nd harmonics. 241=E8_roots+1.</t>
        </is>
      </c>
    </row>
    <row r="9" ht="26" customHeight="1">
      <c r="A9" s="16" t="inlineStr">
        <is>
          <t>BEAT IDENTITY</t>
        </is>
      </c>
      <c r="B9" s="17" t="n"/>
      <c r="C9" s="17" t="n"/>
      <c r="D9" s="17" t="n"/>
      <c r="E9" s="17" t="n"/>
      <c r="F9" s="17" t="n"/>
      <c r="G9" s="17" t="n"/>
      <c r="H9" s="18" t="n"/>
    </row>
    <row r="10" ht="20" customHeight="1">
      <c r="A10" s="60" t="inlineStr">
        <is>
          <t>137+25+59</t>
        </is>
      </c>
      <c r="B10" s="60" t="inlineStr">
        <is>
          <t>=</t>
        </is>
      </c>
      <c r="C10" s="60" t="inlineStr">
        <is>
          <t>221</t>
        </is>
      </c>
      <c r="D10" s="60" t="inlineStr">
        <is>
          <t>=</t>
        </is>
      </c>
      <c r="E10" s="60" t="inlineStr">
        <is>
          <t>13×17</t>
        </is>
      </c>
      <c r="F10" s="60" t="inlineStr"/>
      <c r="G10" s="60" t="inlineStr"/>
      <c r="H10" s="60" t="inlineStr">
        <is>
          <t>Beat sum = product of the two excluded orbit generators</t>
        </is>
      </c>
    </row>
    <row r="11" ht="20" customHeight="1">
      <c r="A11" s="61" t="inlineStr">
        <is>
          <t>13×17</t>
        </is>
      </c>
      <c r="B11" s="61" t="inlineStr">
        <is>
          <t>=</t>
        </is>
      </c>
      <c r="C11" s="61" t="inlineStr">
        <is>
          <t>221</t>
        </is>
      </c>
      <c r="D11" s="61" t="inlineStr">
        <is>
          <t>=</t>
        </is>
      </c>
      <c r="E11" s="61" t="inlineStr">
        <is>
          <t>coupling sum</t>
        </is>
      </c>
      <c r="F11" s="61" t="inlineStr"/>
      <c r="G11" s="61" t="inlineStr"/>
      <c r="H11" s="61" t="inlineStr">
        <is>
          <t>Window gate × IPOV DoF = sum of three coupling constants</t>
        </is>
      </c>
    </row>
    <row r="12" ht="20" customHeight="1">
      <c r="A12" s="60" t="inlineStr">
        <is>
          <t>P(19)#/(13×17)</t>
        </is>
      </c>
      <c r="B12" s="60" t="inlineStr">
        <is>
          <t>=</t>
        </is>
      </c>
      <c r="C12" s="60" t="inlineStr">
        <is>
          <t>43890</t>
        </is>
      </c>
      <c r="D12" s="60" t="inlineStr">
        <is>
          <t>=</t>
        </is>
      </c>
      <c r="E12" s="60" t="inlineStr">
        <is>
          <t>orbit period</t>
        </is>
      </c>
      <c r="F12" s="60" t="inlineStr"/>
      <c r="G12" s="60" t="inlineStr"/>
      <c r="H12" s="60" t="inlineStr">
        <is>
          <t>Orbit IS what remains when excluded primes are divided out</t>
        </is>
      </c>
    </row>
    <row r="13" ht="20" customHeight="1">
      <c r="A13" s="61" t="inlineStr">
        <is>
          <t>43890+1</t>
        </is>
      </c>
      <c r="B13" s="61" t="inlineStr">
        <is>
          <t>=</t>
        </is>
      </c>
      <c r="C13" s="61" t="inlineStr">
        <is>
          <t>43891</t>
        </is>
      </c>
      <c r="D13" s="61" t="inlineStr">
        <is>
          <t>=</t>
        </is>
      </c>
      <c r="E13" s="61" t="inlineStr">
        <is>
          <t>prime</t>
        </is>
      </c>
      <c r="F13" s="61" t="inlineStr"/>
      <c r="G13" s="61" t="inlineStr"/>
      <c r="H13" s="61" t="inlineStr">
        <is>
          <t>Unique prime at period+1 — the modulus</t>
        </is>
      </c>
    </row>
  </sheetData>
  <mergeCells count="3">
    <mergeCell ref="A9:H9"/>
    <mergeCell ref="B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50" customWidth="1" min="4" max="4"/>
  </cols>
  <sheetData>
    <row r="1" ht="26" customHeight="1">
      <c r="A1" s="62" t="inlineStr">
        <is>
          <t>PART III — RATIO PROPAGATION</t>
        </is>
      </c>
      <c r="B1" s="14" t="n"/>
      <c r="C1" s="14" t="n"/>
      <c r="D1" s="15" t="n"/>
    </row>
    <row r="2" ht="36" customHeight="1">
      <c r="B2" s="63" t="inlineStr">
        <is>
          <t>Five primitive ratios propagate across every domain of the SD system. Not analogies — the same object in different frames. The system has a small number of modes; each mode recurs wherever the same structural function is needed.</t>
        </is>
      </c>
    </row>
    <row r="4" ht="26" customHeight="1">
      <c r="A4" s="16" t="inlineStr">
        <is>
          <t>1/2 — THE FULCRUM RATIO</t>
        </is>
      </c>
      <c r="B4" s="17" t="n"/>
      <c r="C4" s="17" t="n"/>
      <c r="D4" s="18" t="n"/>
    </row>
    <row r="5" ht="22" customHeight="1">
      <c r="A5" s="47" t="inlineStr">
        <is>
          <t>Domain</t>
        </is>
      </c>
      <c r="B5" s="47" t="inlineStr">
        <is>
          <t>Value / Expression</t>
        </is>
      </c>
      <c r="C5" s="47" t="inlineStr">
        <is>
          <t>Cross-domain reading</t>
        </is>
      </c>
    </row>
    <row r="6" ht="16" customHeight="1">
      <c r="B6" s="64" t="inlineStr">
        <is>
          <t>Riemann zeta</t>
        </is>
      </c>
      <c r="C6" s="65" t="inlineStr">
        <is>
          <t>Re(s) = 1/2</t>
        </is>
      </c>
      <c r="D6" s="64" t="inlineStr">
        <is>
          <t>All non-trivial zeros on this line. Depth-invariant fulcrum of the substrate.</t>
        </is>
      </c>
    </row>
    <row r="7" ht="16" customHeight="1">
      <c r="B7" s="66" t="inlineStr">
        <is>
          <t>Fulcrum</t>
        </is>
      </c>
      <c r="C7" s="67" t="inlineStr">
        <is>
          <t>9/2 = 4.5</t>
        </is>
      </c>
      <c r="D7" s="66" t="inlineStr">
        <is>
          <t>The dec10 ceiling finding its centre. Forced by odd ceiling.</t>
        </is>
      </c>
    </row>
    <row r="8" ht="16" customHeight="1">
      <c r="B8" s="64" t="inlineStr">
        <is>
          <t>J_z eigenvalues</t>
        </is>
      </c>
      <c r="C8" s="65" t="inlineStr">
        <is>
          <t>±1/2</t>
        </is>
      </c>
      <c r="D8" s="64" t="inlineStr">
        <is>
          <t>SU(2) spin-1/2. rec10=spin-down=−1/2, rev10=spin-up=+1/2.</t>
        </is>
      </c>
    </row>
    <row r="9" ht="16" customHeight="1">
      <c r="B9" s="66" t="inlineStr">
        <is>
          <t>PMNS θ₂₃</t>
        </is>
      </c>
      <c r="C9" s="67" t="inlineStr">
        <is>
          <t>sin²θ₂₃ = 1/2</t>
        </is>
      </c>
      <c r="D9" s="66" t="inlineStr">
        <is>
          <t>TBM maximal mixing. Exact at zeroth order.</t>
        </is>
      </c>
    </row>
    <row r="10" ht="16" customHeight="1">
      <c r="B10" s="64" t="inlineStr">
        <is>
          <t>Spinor half-turn</t>
        </is>
      </c>
      <c r="C10" s="65" t="inlineStr">
        <is>
          <t>rec10(21945) = −1</t>
        </is>
      </c>
      <c r="D10" s="64" t="inlineStr">
        <is>
          <t>Half orbit = negative identity. SU(2) double cover.</t>
        </is>
      </c>
    </row>
    <row r="11" ht="16" customHeight="1">
      <c r="B11" s="66" t="inlineStr">
        <is>
          <t>Zero-point energy</t>
        </is>
      </c>
      <c r="C11" s="67" t="inlineStr">
        <is>
          <t>E₀ = ½hν</t>
        </is>
      </c>
      <c r="D11" s="66" t="inlineStr">
        <is>
          <t>Vacuum energy. The 1/2 is the depth invariant in QFT language.</t>
        </is>
      </c>
    </row>
    <row r="12" ht="16" customHeight="1">
      <c r="B12" s="64" t="inlineStr">
        <is>
          <t>Depth invariant</t>
        </is>
      </c>
      <c r="C12" s="65" t="inlineStr">
        <is>
          <t>fulcrum(d)/9^d = 1/2</t>
        </is>
      </c>
      <c r="D12" s="64" t="inlineStr">
        <is>
          <t>Exact and identical at every dec10 depth d=1…9.</t>
        </is>
      </c>
    </row>
    <row r="13" ht="16" customHeight="1">
      <c r="B13" s="66" t="inlineStr">
        <is>
          <t>Binary stripping</t>
        </is>
      </c>
      <c r="C13" s="67" t="inlineStr">
        <is>
          <t>Weak BP: ord=(p−1)/2</t>
        </is>
      </c>
      <c r="D13" s="66" t="inlineStr">
        <is>
          <t>Half-group boundary primes. The 1/2 in the BP hierarchy.</t>
        </is>
      </c>
    </row>
    <row r="15" ht="26" customHeight="1">
      <c r="A15" s="52" t="inlineStr">
        <is>
          <t>1/3 — THE TERNARY RATIO</t>
        </is>
      </c>
      <c r="B15" s="11" t="n"/>
      <c r="C15" s="11" t="n"/>
      <c r="D15" s="12" t="n"/>
    </row>
    <row r="16" ht="22" customHeight="1">
      <c r="A16" s="68" t="inlineStr">
        <is>
          <t>Domain</t>
        </is>
      </c>
      <c r="B16" s="68" t="inlineStr">
        <is>
          <t>Value / Expression</t>
        </is>
      </c>
      <c r="C16" s="68" t="inlineStr">
        <is>
          <t>Cross-domain reading</t>
        </is>
      </c>
    </row>
    <row r="17" ht="16" customHeight="1">
      <c r="B17" s="69" t="inlineStr">
        <is>
          <t>Orbit generator</t>
        </is>
      </c>
      <c r="C17" s="70" t="inlineStr">
        <is>
          <t>3^k mod 43891</t>
        </is>
      </c>
      <c r="D17" s="69" t="inlineStr">
        <is>
          <t>The entire orbit is powers of 3. The ternary IS the orbit.</t>
        </is>
      </c>
    </row>
    <row r="18" ht="16" customHeight="1">
      <c r="B18" s="66" t="inlineStr">
        <is>
          <t>Colour charge</t>
        </is>
      </c>
      <c r="C18" s="71" t="inlineStr">
        <is>
          <t>SU(3): quark charges ±1/3, ±2/3</t>
        </is>
      </c>
      <c r="D18" s="66" t="inlineStr">
        <is>
          <t>The ternary base is the colour charge quantum.</t>
        </is>
      </c>
    </row>
    <row r="19" ht="16" customHeight="1">
      <c r="B19" s="69" t="inlineStr">
        <is>
          <t>PMNS solar angle</t>
        </is>
      </c>
      <c r="C19" s="70" t="inlineStr">
        <is>
          <t>sin²θ₁₂ = 1/3</t>
        </is>
      </c>
      <c r="D19" s="69" t="inlineStr">
        <is>
          <t>Distance ratio |L1|/|L2| = (3/2)/(9/2) = 1/3.</t>
        </is>
      </c>
    </row>
    <row r="20" ht="16" customHeight="1">
      <c r="B20" s="66" t="inlineStr">
        <is>
          <t>Dirac mass ratio</t>
        </is>
      </c>
      <c r="C20" s="71" t="inlineStr">
        <is>
          <t>m_D/m_e = 1/81 = (1/3)⁴</t>
        </is>
      </c>
      <c r="D20" s="66" t="inlineStr">
        <is>
          <t>Four Yukawa applications of the ternary ratio.</t>
        </is>
      </c>
    </row>
    <row r="21" ht="16" customHeight="1">
      <c r="B21" s="69" t="inlineStr">
        <is>
          <t>Reactor angle</t>
        </is>
      </c>
      <c r="C21" s="70" t="inlineStr">
        <is>
          <t>sin²θ₁₃ = 3/138</t>
        </is>
      </c>
      <c r="D21" s="69" t="inlineStr">
        <is>
          <t>Ternary/(α_floor+generator). Ratio recurs at EM scale.</t>
        </is>
      </c>
    </row>
    <row r="22" ht="16" customHeight="1">
      <c r="B22" s="66" t="inlineStr">
        <is>
          <t>3rd harmonic</t>
        </is>
      </c>
      <c r="C22" s="71" t="inlineStr">
        <is>
          <t>rec10(14630) = 209 = 11×19</t>
        </is>
      </c>
      <c r="D22" s="66" t="inlineStr">
        <is>
          <t>Period/3 harmonic. Alignment×copin at ternary node.</t>
        </is>
      </c>
    </row>
    <row r="23" ht="16" customHeight="1">
      <c r="B23" s="69" t="inlineStr">
        <is>
          <t>CKM Cabibbo</t>
        </is>
      </c>
      <c r="C23" s="70" t="inlineStr">
        <is>
          <t>λ = 2/9 = 2/3²</t>
        </is>
      </c>
      <c r="D23" s="69" t="inlineStr">
        <is>
          <t>Binary/ceiling². Ternary squared in denominator.</t>
        </is>
      </c>
    </row>
    <row r="24" ht="16" customHeight="1">
      <c r="B24" s="66" t="inlineStr">
        <is>
          <t>L1 multiplier</t>
        </is>
      </c>
      <c r="C24" s="71" t="inlineStr">
        <is>
          <t>−1/3</t>
        </is>
      </c>
      <c r="D24" s="66" t="inlineStr">
        <is>
          <t>The sole negative IPOV level. Mirror = ring via 1/3 chain.</t>
        </is>
      </c>
    </row>
    <row r="26" ht="26" customHeight="1">
      <c r="A26" s="62" t="inlineStr">
        <is>
          <t>1/9 — THE CEILING RATIO</t>
        </is>
      </c>
      <c r="B26" s="14" t="n"/>
      <c r="C26" s="14" t="n"/>
      <c r="D26" s="15" t="n"/>
    </row>
    <row r="27" ht="22" customHeight="1">
      <c r="A27" s="72" t="inlineStr">
        <is>
          <t>Domain</t>
        </is>
      </c>
      <c r="B27" s="72" t="inlineStr">
        <is>
          <t>Value / Expression</t>
        </is>
      </c>
      <c r="C27" s="72" t="inlineStr">
        <is>
          <t>Cross-domain reading</t>
        </is>
      </c>
    </row>
    <row r="28" ht="16" customHeight="1">
      <c r="B28" s="73" t="inlineStr">
        <is>
          <t>Dec10 ceiling</t>
        </is>
      </c>
      <c r="C28" s="74" t="inlineStr">
        <is>
          <t>9 = 3²</t>
        </is>
      </c>
      <c r="D28" s="73" t="inlineStr">
        <is>
          <t>Ceiling digit. ZeroInvert(0)=9. Self-closure: 3²=ceiling.</t>
        </is>
      </c>
    </row>
    <row r="29" ht="16" customHeight="1">
      <c r="B29" s="66" t="inlineStr">
        <is>
          <t>Substrate depth</t>
        </is>
      </c>
      <c r="C29" s="75" t="inlineStr">
        <is>
          <t>9^9 sub-positions</t>
        </is>
      </c>
      <c r="D29" s="66" t="inlineStr">
        <is>
          <t>Full decimalization depth = ceiling^ceiling.</t>
        </is>
      </c>
    </row>
    <row r="30" ht="16" customHeight="1">
      <c r="B30" s="73" t="inlineStr">
        <is>
          <t>IPOV L2 anchor</t>
        </is>
      </c>
      <c r="C30" s="74" t="inlineStr">
        <is>
          <t>3² = 9</t>
        </is>
      </c>
      <c r="D30" s="73" t="inlineStr">
        <is>
          <t>Second IPOV level = ternary squared.</t>
        </is>
      </c>
    </row>
    <row r="31" ht="16" customHeight="1">
      <c r="B31" s="66" t="inlineStr">
        <is>
          <t>Inverse fulcrum</t>
        </is>
      </c>
      <c r="C31" s="75" t="inlineStr">
        <is>
          <t>2/9</t>
        </is>
      </c>
      <c r="D31" s="66" t="inlineStr">
        <is>
          <t>The reciprocal of 4.5. Binary/ceiling².</t>
        </is>
      </c>
    </row>
    <row r="32" ht="16" customHeight="1">
      <c r="B32" s="73" t="inlineStr">
        <is>
          <t>CKM Cabibbo denom</t>
        </is>
      </c>
      <c r="C32" s="74" t="inlineStr">
        <is>
          <t>λ = 2/9</t>
        </is>
      </c>
      <c r="D32" s="73" t="inlineStr">
        <is>
          <t>The Cabibbo angle denominator = ceiling.</t>
        </is>
      </c>
    </row>
    <row r="33" ht="16" customHeight="1">
      <c r="B33" s="66" t="inlineStr">
        <is>
          <t>Half-unit scale</t>
        </is>
      </c>
      <c r="C33" s="75" t="inlineStr">
        <is>
          <t>all entries = 9×{…}</t>
        </is>
      </c>
      <c r="D33" s="66" t="inlineStr">
        <is>
          <t>IPOV half-unit distances: (−3,9,45,153,477) = 9×{−1/3,1,5,17,53}.</t>
        </is>
      </c>
    </row>
    <row r="34" ht="16" customHeight="1">
      <c r="B34" s="73" t="inlineStr">
        <is>
          <t>Staircase sum</t>
        </is>
      </c>
      <c r="C34" s="74" t="inlineStr">
        <is>
          <t>25/2 = 5²/2</t>
        </is>
      </c>
      <c r="D34" s="73" t="inlineStr">
        <is>
          <t>Sum of five structural dives = pentac²/binary. 9 governs the count.</t>
        </is>
      </c>
    </row>
    <row r="35" ht="16" customHeight="1">
      <c r="B35" s="66" t="inlineStr">
        <is>
          <t>Dec10 base</t>
        </is>
      </c>
      <c r="C35" s="75" t="inlineStr">
        <is>
          <t>base 10 = ceiling+1</t>
        </is>
      </c>
      <c r="D35" s="66" t="inlineStr">
        <is>
          <t>The base itself is ceiling+1. The carry fires at ceiling+1.</t>
        </is>
      </c>
    </row>
    <row r="37" ht="26" customHeight="1">
      <c r="A37" s="16" t="inlineStr">
        <is>
          <t>1/17 — THE IPOV SCALE</t>
        </is>
      </c>
      <c r="B37" s="17" t="n"/>
      <c r="C37" s="17" t="n"/>
      <c r="D37" s="18" t="n"/>
    </row>
    <row r="38" ht="22" customHeight="1">
      <c r="A38" s="47" t="inlineStr">
        <is>
          <t>Domain</t>
        </is>
      </c>
      <c r="B38" s="47" t="inlineStr">
        <is>
          <t>Value / Expression</t>
        </is>
      </c>
      <c r="C38" s="47" t="inlineStr">
        <is>
          <t>Cross-domain reading</t>
        </is>
      </c>
    </row>
    <row r="39" ht="16" customHeight="1">
      <c r="B39" s="64" t="inlineStr">
        <is>
          <t>Yukawa function</t>
        </is>
      </c>
      <c r="C39" s="65" t="inlineStr">
        <is>
          <t>y(m) = (m/17)⁴</t>
        </is>
      </c>
      <c r="D39" s="64" t="inlineStr">
        <is>
          <t>Universal fermion coupling. m∈{1,5,17}. m_top=17.</t>
        </is>
      </c>
    </row>
    <row r="40" ht="16" customHeight="1">
      <c r="B40" s="66" t="inlineStr">
        <is>
          <t>IPOV DoF in E8</t>
        </is>
      </c>
      <c r="C40" s="67" t="inlineStr">
        <is>
          <t>248−17 = 231 = 3×7×11</t>
        </is>
      </c>
      <c r="D40" s="66" t="inlineStr">
        <is>
          <t>Monster interior = all three rec10 generators.</t>
        </is>
      </c>
    </row>
    <row r="41" ht="16" customHeight="1">
      <c r="B41" s="64" t="inlineStr">
        <is>
          <t>EM step index</t>
        </is>
      </c>
      <c r="C41" s="65" t="inlineStr">
        <is>
          <t>9027 = 3²×17×59</t>
        </is>
      </c>
      <c r="D41" s="64" t="inlineStr">
        <is>
          <t>17 is a factor of the EM orbit step. Marks IPOV extension.</t>
        </is>
      </c>
    </row>
    <row r="42" ht="16" customHeight="1">
      <c r="B42" s="66" t="inlineStr">
        <is>
          <t>Strong step index</t>
        </is>
      </c>
      <c r="C42" s="67" t="inlineStr">
        <is>
          <t>16388 = 2²×17×241</t>
        </is>
      </c>
      <c r="D42" s="66" t="inlineStr">
        <is>
          <t>17 in strong step too. Both coupling steps carry 17.</t>
        </is>
      </c>
    </row>
    <row r="43" ht="16" customHeight="1">
      <c r="B43" s="64" t="inlineStr">
        <is>
          <t>CKM denominator</t>
        </is>
      </c>
      <c r="C43" s="65" t="inlineStr">
        <is>
          <t>λ = 4/(17+1) = 4/18</t>
        </is>
      </c>
      <c r="D43" s="64" t="inlineStr">
        <is>
          <t>Cabibbo = Q/(m_top+generator).</t>
        </is>
      </c>
    </row>
    <row r="44" ht="16" customHeight="1">
      <c r="B44" s="66" t="inlineStr">
        <is>
          <t>Coupling identity</t>
        </is>
      </c>
      <c r="C44" s="67" t="inlineStr">
        <is>
          <t>13×17 = 221 = 137+25+59</t>
        </is>
      </c>
      <c r="D44" s="66" t="inlineStr">
        <is>
          <t>Product of excluded primes = sum of coupling constants.</t>
        </is>
      </c>
    </row>
    <row r="45" ht="16" customHeight="1">
      <c r="B45" s="64" t="inlineStr">
        <is>
          <t>Fulcrum dive</t>
        </is>
      </c>
      <c r="C45" s="65" t="inlineStr">
        <is>
          <t>17 → 8.5 = E8+0.5</t>
        </is>
      </c>
      <c r="D45" s="64" t="inlineStr">
        <is>
          <t>IPOV DoF dives to E8 rank + half-unit. Upper staircase.</t>
        </is>
      </c>
    </row>
    <row r="46" ht="16" customHeight="1">
      <c r="B46" s="66" t="inlineStr">
        <is>
          <t>Perimeter</t>
        </is>
      </c>
      <c r="C46" s="67" t="inlineStr">
        <is>
          <t>14722 = 2×17×433</t>
        </is>
      </c>
      <c r="D46" s="66" t="inlineStr">
        <is>
          <t>Coupling triangle perimeter. EM generator in perimeter.</t>
        </is>
      </c>
    </row>
    <row r="48" ht="26" customHeight="1">
      <c r="A48" s="52" t="inlineStr">
        <is>
          <t>108 — THE LOTUS SCALE</t>
        </is>
      </c>
      <c r="B48" s="11" t="n"/>
      <c r="C48" s="11" t="n"/>
      <c r="D48" s="12" t="n"/>
    </row>
    <row r="49" ht="22" customHeight="1">
      <c r="A49" s="68" t="inlineStr">
        <is>
          <t>Domain</t>
        </is>
      </c>
      <c r="B49" s="68" t="inlineStr">
        <is>
          <t>Value / Expression</t>
        </is>
      </c>
      <c r="C49" s="68" t="inlineStr">
        <is>
          <t>Cross-domain reading</t>
        </is>
      </c>
    </row>
    <row r="50" ht="16" customHeight="1">
      <c r="B50" s="69" t="inlineStr">
        <is>
          <t>IPOV L3+L4</t>
        </is>
      </c>
      <c r="C50" s="70" t="inlineStr">
        <is>
          <t>27+81 = 108</t>
        </is>
      </c>
      <c r="D50" s="69" t="inlineStr">
        <is>
          <t>Third plus fourth IPOV anchors. Direct definition.</t>
        </is>
      </c>
    </row>
    <row r="51" ht="16" customHeight="1">
      <c r="B51" s="66" t="inlineStr">
        <is>
          <t>Fulcrum×24</t>
        </is>
      </c>
      <c r="C51" s="71" t="inlineStr">
        <is>
          <t>4.5×24 = 108</t>
        </is>
      </c>
      <c r="D51" s="66" t="inlineStr">
        <is>
          <t>Lotus = fulcrum at Leech-binary scale.</t>
        </is>
      </c>
    </row>
    <row r="52" ht="16" customHeight="1">
      <c r="B52" s="69" t="inlineStr">
        <is>
          <t>BCS load-bearing</t>
        </is>
      </c>
      <c r="C52" s="70" t="inlineStr">
        <is>
          <t>80+28 = 108</t>
        </is>
      </c>
      <c r="D52" s="69" t="inlineStr">
        <is>
          <t>4th-gen boundary + BCS nodes. BCS carries orbit to lotus.</t>
        </is>
      </c>
    </row>
    <row r="53" ht="16" customHeight="1">
      <c r="B53" s="66" t="inlineStr">
        <is>
          <t>Weak coupling denom</t>
        </is>
      </c>
      <c r="C53" s="71" t="inlineStr">
        <is>
          <t>sin²θ_W = 25/108</t>
        </is>
      </c>
      <c r="D53" s="66" t="inlineStr">
        <is>
          <t>Pentac²/lotus. Weak mixing angle denominator.</t>
        </is>
      </c>
    </row>
    <row r="54" ht="16" customHeight="1">
      <c r="B54" s="69" t="inlineStr">
        <is>
          <t>GUT running</t>
        </is>
      </c>
      <c r="C54" s="70" t="inlineStr">
        <is>
          <t>3/8−25/108 = 31/216 = 31/6³</t>
        </is>
      </c>
      <c r="D54" s="69" t="inlineStr">
        <is>
          <t>6³=216=2×108. GUT correction in half-lotus units.</t>
        </is>
      </c>
    </row>
    <row r="55" ht="16" customHeight="1">
      <c r="B55" s="66" t="inlineStr">
        <is>
          <t>V_cb amplitude</t>
        </is>
      </c>
      <c r="C55" s="71" t="inlineStr">
        <is>
          <t>1/24 = 1/(108/4.5)</t>
        </is>
      </c>
      <c r="D55" s="66" t="inlineStr">
        <is>
          <t>Gen2→Gen3 CKM amplitude = 1/(lotus/fulcrum).</t>
        </is>
      </c>
    </row>
    <row r="56" ht="16" customHeight="1">
      <c r="B56" s="69" t="inlineStr">
        <is>
          <t>EM precision</t>
        </is>
      </c>
      <c r="C56" s="70" t="inlineStr">
        <is>
          <t>79 = 108−28−1</t>
        </is>
      </c>
      <c r="D56" s="69" t="inlineStr">
        <is>
          <t>Correction numerator = lotus−BCS_nodes−generator.</t>
        </is>
      </c>
    </row>
    <row r="57" ht="16" customHeight="1">
      <c r="B57" s="66" t="inlineStr">
        <is>
          <t>Window gate</t>
        </is>
      </c>
      <c r="C57" s="71" t="inlineStr">
        <is>
          <t>rec10(41028) = MOD−108</t>
        </is>
      </c>
      <c r="D57" s="66" t="inlineStr">
        <is>
          <t>Entry window value = modulus−lotus.</t>
        </is>
      </c>
    </row>
    <row r="58" ht="16" customHeight="1">
      <c r="B58" s="69" t="inlineStr">
        <is>
          <t>Lotus prime</t>
        </is>
      </c>
      <c r="C58" s="70" t="inlineStr">
        <is>
          <t>109 = 108+1</t>
        </is>
      </c>
      <c r="D58" s="69" t="inlineStr">
        <is>
          <t>Strong BP of 108. Boundary prime of the lotus.</t>
        </is>
      </c>
    </row>
    <row r="59" ht="16" customHeight="1">
      <c r="B59" s="66" t="inlineStr">
        <is>
          <t>Perimeter factor</t>
        </is>
      </c>
      <c r="C59" s="71" t="inlineStr">
        <is>
          <t>433 = 4×108+1</t>
        </is>
      </c>
      <c r="D59" s="66" t="inlineStr">
        <is>
          <t>Coupling triangle perimeter carries 433=4×lotus+1.</t>
        </is>
      </c>
    </row>
    <row r="61" ht="26" customHeight="1">
      <c r="A61" s="62" t="inlineStr">
        <is>
          <t>PRODUCTS THAT EQUAL OTHER PRODUCTS — OVERDETERMINATION</t>
        </is>
      </c>
      <c r="B61" s="14" t="n"/>
      <c r="C61" s="14" t="n"/>
      <c r="D61" s="15" t="n"/>
    </row>
    <row r="62" ht="22" customHeight="1">
      <c r="A62" s="72" t="inlineStr">
        <is>
          <t>Expression</t>
        </is>
      </c>
      <c r="B62" s="72">
        <f> Form 2</f>
        <v/>
      </c>
      <c r="C62" s="72">
        <f> Form 3</f>
        <v/>
      </c>
      <c r="D62" s="72" t="inlineStr">
        <is>
          <t>Reading</t>
        </is>
      </c>
    </row>
    <row r="63" ht="18" customHeight="1">
      <c r="A63" s="76" t="inlineStr">
        <is>
          <t>108 = 27+81</t>
        </is>
      </c>
      <c r="B63" s="76">
        <f> 4×27 = 4×3³</f>
        <v/>
      </c>
      <c r="C63" s="76">
        <f> 4.5×24</f>
        <v/>
      </c>
      <c r="D63" s="76" t="inlineStr">
        <is>
          <t>Lotus: sum · power · fulcrum-scale. Three independent paths.</t>
        </is>
      </c>
    </row>
    <row r="64" ht="18" customHeight="1">
      <c r="A64" s="77" t="inlineStr">
        <is>
          <t>43890 = 210×209</t>
        </is>
      </c>
      <c r="B64" s="77">
        <f> 2×3×5×7×11×19</f>
        <v/>
      </c>
      <c r="C64" s="77">
        <f> P(19)#/(13×17)</f>
        <v/>
      </c>
      <c r="D64" s="77" t="inlineStr">
        <is>
          <t>Orbit period: product · primorial · exclusion.</t>
        </is>
      </c>
    </row>
    <row r="65" ht="18" customHeight="1">
      <c r="A65" s="76" t="inlineStr">
        <is>
          <t>221 = 13×17</t>
        </is>
      </c>
      <c r="B65" s="76">
        <f> 137+25+59</f>
        <v/>
      </c>
      <c r="C65" s="76">
        <f> coupling sum</f>
        <v/>
      </c>
      <c r="D65" s="76" t="inlineStr">
        <is>
          <t>Excluded product = coupling sum. The IPOV2 identity.</t>
        </is>
      </c>
    </row>
    <row r="66" ht="18" customHeight="1">
      <c r="A66" s="77" t="inlineStr">
        <is>
          <t>231 = 3×7×11</t>
        </is>
      </c>
      <c r="B66" s="77">
        <f> 248−17</f>
        <v/>
      </c>
      <c r="C66" s="77">
        <f> Monster interior</f>
        <v/>
      </c>
      <c r="D66" s="77" t="inlineStr">
        <is>
          <t>E8−IPOV = product of all rec10 generators.</t>
        </is>
      </c>
    </row>
    <row r="67" ht="18" customHeight="1">
      <c r="A67" s="76" t="inlineStr">
        <is>
          <t>363 = 3×11²</t>
        </is>
      </c>
      <c r="B67" s="76">
        <f> 3+9+27+81+243</f>
        <v/>
      </c>
      <c r="C67" s="76">
        <f> ternary×alignment²</f>
        <v/>
      </c>
      <c r="D67" s="76" t="inlineStr">
        <is>
          <t>IPOV anchor sum = ternary×orbit_prime².</t>
        </is>
      </c>
    </row>
    <row r="68" ht="18" customHeight="1">
      <c r="A68" s="77" t="inlineStr">
        <is>
          <t>28 = 7×4</t>
        </is>
      </c>
      <c r="B68" s="77">
        <f> 56/2</f>
        <v/>
      </c>
      <c r="C68" s="77">
        <f> BCS_nodes</f>
        <v/>
      </c>
      <c r="D68" s="77" t="inlineStr">
        <is>
          <t>Tower×Q = half of 56 = BCS intersection nodes.</t>
        </is>
      </c>
    </row>
    <row r="69" ht="18" customHeight="1">
      <c r="A69" s="76" t="inlineStr">
        <is>
          <t>24 = 12×2</t>
        </is>
      </c>
      <c r="B69" s="76">
        <f> 108/4.5</f>
        <v/>
      </c>
      <c r="C69" s="76">
        <f> QT×D</f>
        <v/>
      </c>
      <c r="D69" s="76" t="inlineStr">
        <is>
          <t>Lotus scale factor: Leech×binary = lotus/fulcrum.</t>
        </is>
      </c>
    </row>
    <row r="70" ht="18" customHeight="1">
      <c r="A70" s="77" t="inlineStr">
        <is>
          <t>1580 = 20×79</t>
        </is>
      </c>
      <c r="B70" s="77">
        <f> 4×5×79</f>
        <v/>
      </c>
      <c r="C70" s="77">
        <f> EM correction</f>
        <v/>
      </c>
      <c r="D70" s="77" t="inlineStr">
        <is>
          <t>EM fractional numerator = Q×pentac×precision_bridge.</t>
        </is>
      </c>
    </row>
    <row r="72" ht="26" customHeight="1">
      <c r="A72" s="62" t="inlineStr">
        <is>
          <t>THE BOUNDARY PRINCIPLE — Every Structural Constant Sits at a Boundary</t>
        </is>
      </c>
      <c r="B72" s="14" t="n"/>
      <c r="C72" s="14" t="n"/>
      <c r="D72" s="15" t="n"/>
    </row>
    <row r="73" ht="22" customHeight="1">
      <c r="A73" s="72" t="inlineStr">
        <is>
          <t>Constant</t>
        </is>
      </c>
      <c r="B73" s="72" t="inlineStr">
        <is>
          <t>Boundary type</t>
        </is>
      </c>
      <c r="C73" s="72" t="inlineStr">
        <is>
          <t>What it bounds</t>
        </is>
      </c>
      <c r="D73" s="72" t="inlineStr">
        <is>
          <t>Reading</t>
        </is>
      </c>
    </row>
    <row r="74" ht="18" customHeight="1">
      <c r="A74" s="78" t="inlineStr">
        <is>
          <t>3</t>
        </is>
      </c>
      <c r="B74" s="78" t="inlineStr">
        <is>
          <t>First odd prime above binary</t>
        </is>
      </c>
      <c r="C74" s="78" t="inlineStr">
        <is>
          <t>2 → 3</t>
        </is>
      </c>
      <c r="D74" s="78" t="inlineStr">
        <is>
          <t>First step where self-closure is possible (3²=9).</t>
        </is>
      </c>
    </row>
    <row r="75" ht="18" customHeight="1">
      <c r="A75" s="77" t="inlineStr">
        <is>
          <t>9</t>
        </is>
      </c>
      <c r="B75" s="77" t="inlineStr">
        <is>
          <t>Ceiling of atomic alphabet</t>
        </is>
      </c>
      <c r="C75" s="77" t="inlineStr">
        <is>
          <t>Last digit before carry</t>
        </is>
      </c>
      <c r="D75" s="77" t="inlineStr">
        <is>
          <t>3²=9. Self-closure. The carry fires at 10.</t>
        </is>
      </c>
    </row>
    <row r="76" ht="18" customHeight="1">
      <c r="A76" s="78" t="inlineStr">
        <is>
          <t>11</t>
        </is>
      </c>
      <c r="B76" s="78" t="inlineStr">
        <is>
          <t>First prime above bus {2,3,5,7}</t>
        </is>
      </c>
      <c r="C76" s="78" t="inlineStr">
        <is>
          <t>Bus → alignment</t>
        </is>
      </c>
      <c r="D76" s="78" t="inlineStr">
        <is>
          <t>First prime the bus cannot generate. Enters orbit as alignment.</t>
        </is>
      </c>
    </row>
    <row r="77" ht="18" customHeight="1">
      <c r="A77" s="77" t="inlineStr">
        <is>
          <t>13</t>
        </is>
      </c>
      <c r="B77" s="77" t="inlineStr">
        <is>
          <t>E8 entry gate</t>
        </is>
      </c>
      <c r="C77" s="77" t="inlineStr">
        <is>
          <t>Outside→inside E8</t>
        </is>
      </c>
      <c r="D77" s="77" t="inlineStr">
        <is>
          <t>Excluded from period. Deposited at window step 41028.</t>
        </is>
      </c>
    </row>
    <row r="78" ht="18" customHeight="1">
      <c r="A78" s="78" t="inlineStr">
        <is>
          <t>17</t>
        </is>
      </c>
      <c r="B78" s="78" t="inlineStr">
        <is>
          <t>IPOV boundary inside E8</t>
        </is>
      </c>
      <c r="C78" s="78" t="inlineStr">
        <is>
          <t>IPOV (17 DoF) → Monster interior (231)</t>
        </is>
      </c>
      <c r="D78" s="78" t="inlineStr">
        <is>
          <t>248−17=231. The IPOV boundary within E8.</t>
        </is>
      </c>
    </row>
    <row r="79" ht="18" customHeight="1">
      <c r="A79" s="77" t="inlineStr">
        <is>
          <t>19</t>
        </is>
      </c>
      <c r="B79" s="77" t="inlineStr">
        <is>
          <t>Orbit period ceiling</t>
        </is>
      </c>
      <c r="C79" s="77" t="inlineStr">
        <is>
          <t>Last prime in 43890</t>
        </is>
      </c>
      <c r="D79" s="77" t="inlineStr">
        <is>
          <t>Largest prime factor of orbit period. The co-pin.</t>
        </is>
      </c>
    </row>
    <row r="80" ht="18" customHeight="1">
      <c r="A80" s="78" t="inlineStr">
        <is>
          <t>43891</t>
        </is>
      </c>
      <c r="B80" s="78" t="inlineStr">
        <is>
          <t>Orbit modulus</t>
        </is>
      </c>
      <c r="C80" s="78" t="inlineStr">
        <is>
          <t>Period → modulus</t>
        </is>
      </c>
      <c r="D80" s="78" t="inlineStr">
        <is>
          <t>43890+1. Unique prime. The orbit boundary.</t>
        </is>
      </c>
    </row>
    <row r="81" ht="18" customHeight="1">
      <c r="A81" s="77" t="inlineStr">
        <is>
          <t>109</t>
        </is>
      </c>
      <c r="B81" s="77" t="inlineStr">
        <is>
          <t>Lotus boundary prime</t>
        </is>
      </c>
      <c r="C81" s="77" t="inlineStr">
        <is>
          <t>108 → 109</t>
        </is>
      </c>
      <c r="D81" s="77" t="inlineStr">
        <is>
          <t>Strong BP of 108. The prime above the lotus.</t>
        </is>
      </c>
    </row>
    <row r="82" ht="18" customHeight="1">
      <c r="A82" s="78" t="inlineStr">
        <is>
          <t>137</t>
        </is>
      </c>
      <c r="B82" s="78" t="inlineStr">
        <is>
          <t>Floor of 1/α</t>
        </is>
      </c>
      <c r="C82" s="78" t="inlineStr">
        <is>
          <t>Continuous → discrete</t>
        </is>
      </c>
      <c r="D82" s="78" t="inlineStr">
        <is>
          <t>Integer floor of the EM coupling constant.</t>
        </is>
      </c>
    </row>
    <row r="83" ht="18" customHeight="1">
      <c r="A83" s="77" t="inlineStr">
        <is>
          <t>221</t>
        </is>
      </c>
      <c r="B83" s="77" t="inlineStr">
        <is>
          <t>Coupling sum boundary</t>
        </is>
      </c>
      <c r="C83" s="77" t="inlineStr">
        <is>
          <t>Couplings → excluded primes</t>
        </is>
      </c>
      <c r="D83" s="77" t="inlineStr">
        <is>
          <t>137+25+59=221=13×17. Where SM couplings meet excluded generators.</t>
        </is>
      </c>
    </row>
    <row r="85" ht="24" customHeight="1">
      <c r="A85" s="13" t="inlineStr">
        <is>
          <t>UNIFYING STATEMENT</t>
        </is>
      </c>
      <c r="B85" s="14" t="n"/>
      <c r="C85" s="14" t="n"/>
      <c r="D85" s="15" t="n"/>
    </row>
    <row r="86" ht="22" customHeight="1">
      <c r="A86" s="79" t="inlineStr">
        <is>
          <t>The SD system has a small number of primitive ratios — 1/2, 1/3, 1/9, 1/17, 108 — that each appear in multiple unrelated domains at different scales.</t>
        </is>
      </c>
      <c r="B86" s="7" t="n"/>
      <c r="C86" s="7" t="n"/>
      <c r="D86" s="8" t="n"/>
    </row>
    <row r="87" ht="22" customHeight="1">
      <c r="A87" s="79" t="inlineStr">
        <is>
          <t>They are not analogies. They are the same object expressed in different frames: geometric, algebraic, physical, analytic.</t>
        </is>
      </c>
      <c r="B87" s="7" t="n"/>
      <c r="C87" s="7" t="n"/>
      <c r="D87" s="8" t="n"/>
    </row>
    <row r="88" ht="22" customHeight="1">
      <c r="A88" s="79" t="inlineStr">
        <is>
          <t>The 'string' is the orbit 3^k mod 43891. The 'tension' is the self-closure condition 3²=9=ceiling.</t>
        </is>
      </c>
      <c r="B88" s="7" t="n"/>
      <c r="C88" s="7" t="n"/>
      <c r="D88" s="8" t="n"/>
    </row>
    <row r="89" ht="22" customHeight="1">
      <c r="A89" s="79" t="inlineStr">
        <is>
          <t>The 'modes' are the recurring ratios. Each mode is the orbit expressing one of its primitive ratios across every domain it touches.</t>
        </is>
      </c>
      <c r="B89" s="7" t="n"/>
      <c r="C89" s="7" t="n"/>
      <c r="D89" s="8" t="n"/>
    </row>
    <row r="90" ht="22" customHeight="1">
      <c r="A90" s="79" t="inlineStr">
        <is>
          <t>The system is constituted entirely of boundaries. Structure is what happens at the edge between one regime and the next.</t>
        </is>
      </c>
      <c r="B90" s="7" t="n"/>
      <c r="C90" s="7" t="n"/>
      <c r="D90" s="8" t="n"/>
    </row>
    <row r="91" ht="22" customHeight="1">
      <c r="A91" s="79" t="inlineStr">
        <is>
          <t>Every structural constant sits at a boundary. Every boundary generates a structural constant.</t>
        </is>
      </c>
      <c r="B91" s="7" t="n"/>
      <c r="C91" s="7" t="n"/>
      <c r="D91" s="8" t="n"/>
    </row>
  </sheetData>
  <mergeCells count="16">
    <mergeCell ref="A1:D1"/>
    <mergeCell ref="A37:D37"/>
    <mergeCell ref="A89:D89"/>
    <mergeCell ref="A61:D61"/>
    <mergeCell ref="A88:D88"/>
    <mergeCell ref="A91:D91"/>
    <mergeCell ref="A4:D4"/>
    <mergeCell ref="A48:D48"/>
    <mergeCell ref="A26:D26"/>
    <mergeCell ref="A72:D72"/>
    <mergeCell ref="A15:D15"/>
    <mergeCell ref="A86:D86"/>
    <mergeCell ref="A87:D87"/>
    <mergeCell ref="A85:D85"/>
    <mergeCell ref="A90:D90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2026-03-23T06:53:48Z</dcterms:created>
  <dcterms:modified xmlns:dcterms="http://purl.org/dc/terms/" xmlns:xsi="http://www.w3.org/2001/XMLSchema-instance" xsi:type="dcterms:W3CDTF">2026-03-23T06:53:50Z</dcterms:modified>
</cp:coreProperties>
</file>